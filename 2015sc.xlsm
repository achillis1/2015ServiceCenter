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-15" yWindow="105" windowWidth="17190" windowHeight="8130"/>
  </bookViews>
  <sheets>
    <sheet name="SC" sheetId="1" r:id="rId1"/>
    <sheet name="Sponsor" sheetId="2" state="hidden" r:id="rId2"/>
    <sheet name="Setting" sheetId="3" state="hidden" r:id="rId3"/>
    <sheet name="Data" sheetId="4" r:id="rId4"/>
    <sheet name="Cut Sheets" sheetId="5" r:id="rId5"/>
    <sheet name="Service Center" sheetId="16" r:id="rId6"/>
    <sheet name="Converter" sheetId="18" r:id="rId7"/>
    <sheet name="Pre-Inspection" sheetId="15" state="hidden" r:id="rId8"/>
    <sheet name="Post-Inspection" sheetId="14" state="hidden" r:id="rId9"/>
    <sheet name="NC-Inspection" sheetId="13" state="hidden" r:id="rId10"/>
    <sheet name="Field-Report" sheetId="12" state="hidden" r:id="rId11"/>
    <sheet name="Pre-Logging" sheetId="11" state="hidden" r:id="rId12"/>
    <sheet name="Post-Logging" sheetId="10" state="hidden" r:id="rId13"/>
    <sheet name="NC-Logging" sheetId="9" state="hidden" r:id="rId14"/>
    <sheet name="CWT" sheetId="7" state="hidden" r:id="rId15"/>
  </sheets>
  <functionGroups builtInGroupCount="17"/>
  <externalReferences>
    <externalReference r:id="rId16"/>
  </externalReferences>
  <definedNames>
    <definedName name="_xlnm._FilterDatabase" localSheetId="4" hidden="1">'Cut Sheets'!$Y$1:$AP$52</definedName>
    <definedName name="_xlnm._FilterDatabase" localSheetId="3" hidden="1">Data!$A$1:$Z$33</definedName>
    <definedName name="_xlnm._FilterDatabase" localSheetId="1" hidden="1">Sponsor!$A$1:$Q$500</definedName>
    <definedName name="C_CV_sel" localSheetId="5">'Service Center'!$I$45</definedName>
    <definedName name="Conf_sel" localSheetId="5">'Service Center'!$C$45</definedName>
    <definedName name="E_CV_sel" localSheetId="5">'Service Center'!$G$45</definedName>
    <definedName name="iFormTypeValue" localSheetId="5">'Service Center'!$I$41</definedName>
    <definedName name="iToolVersion" localSheetId="5">'Service Center'!$I$40</definedName>
    <definedName name="lue">'Service Center'!$I$41</definedName>
    <definedName name="P_value" localSheetId="5">'Service Center'!$I$20</definedName>
    <definedName name="Post_inspect" localSheetId="5">'Service Center'!$I$39</definedName>
    <definedName name="Pre_inspect" localSheetId="5">'Service Center'!$I$38</definedName>
    <definedName name="Prec_sel" localSheetId="5">'Service Center'!$E$45</definedName>
    <definedName name="_xlnm.Print_Area" localSheetId="9">'NC-Inspection'!$A$1:$K$84</definedName>
    <definedName name="_xlnm.Print_Area" localSheetId="8">'Post-Inspection'!$A$1:$K$84</definedName>
    <definedName name="Prompt_hours" localSheetId="5">'Service Center'!$I$36</definedName>
    <definedName name="ProposedFixtureList">OFFSET('Cut Sheets'!$AI$2,,,'Cut Sheets'!$B$9,)</definedName>
    <definedName name="Sample_type" localSheetId="5">'Service Center'!$F$36</definedName>
    <definedName name="Savings_type" localSheetId="5">'Service Center'!$C$36</definedName>
    <definedName name="ScaleFactor" localSheetId="5">'Service Center'!$K$20</definedName>
    <definedName name="Select_samples" localSheetId="5">'Service Center'!$I$37</definedName>
    <definedName name="SType">'[1]Customer Information'!$K$9</definedName>
    <definedName name="Z_value" localSheetId="5">'Service Center'!$I$19</definedName>
  </definedNames>
  <calcPr calcId="144525"/>
</workbook>
</file>

<file path=xl/calcChain.xml><?xml version="1.0" encoding="utf-8"?>
<calcChain xmlns="http://schemas.openxmlformats.org/spreadsheetml/2006/main">
  <c r="AD1" i="4" l="1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F1" i="4"/>
  <c r="H17" i="1"/>
  <c r="H16" i="1"/>
  <c r="C15" i="18"/>
  <c r="C14" i="18"/>
  <c r="C13" i="18"/>
  <c r="A439" i="2"/>
  <c r="A438" i="2"/>
  <c r="A437" i="2"/>
  <c r="A436" i="2"/>
  <c r="A435" i="2"/>
  <c r="A434" i="2"/>
  <c r="E13" i="1"/>
  <c r="E8" i="1" s="1"/>
  <c r="E12" i="1"/>
  <c r="E11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A1" i="2"/>
  <c r="D2" i="5" a="1"/>
  <c r="D2" i="5" s="1"/>
  <c r="E2" i="5" s="1"/>
  <c r="D3" i="5" a="1"/>
  <c r="D3" i="5" s="1"/>
  <c r="D4" i="5" a="1"/>
  <c r="D4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3" i="2"/>
  <c r="A368" i="2"/>
  <c r="A355" i="2"/>
  <c r="A118" i="2"/>
  <c r="A271" i="2"/>
  <c r="A55" i="2"/>
  <c r="A164" i="2"/>
  <c r="A173" i="2"/>
  <c r="A182" i="2"/>
  <c r="A277" i="2"/>
  <c r="A347" i="2"/>
  <c r="A196" i="2"/>
  <c r="A200" i="2"/>
  <c r="A97" i="2"/>
  <c r="A253" i="2"/>
  <c r="A349" i="2"/>
  <c r="A160" i="2"/>
  <c r="A199" i="2"/>
  <c r="A309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4" i="2"/>
  <c r="A353" i="2"/>
  <c r="A352" i="2"/>
  <c r="A351" i="2"/>
  <c r="A350" i="2"/>
  <c r="A348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6" i="2"/>
  <c r="A275" i="2"/>
  <c r="A274" i="2"/>
  <c r="A273" i="2"/>
  <c r="A272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198" i="2"/>
  <c r="A197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1" i="2"/>
  <c r="A180" i="2"/>
  <c r="A179" i="2"/>
  <c r="A178" i="2"/>
  <c r="A177" i="2"/>
  <c r="A176" i="2"/>
  <c r="A175" i="2"/>
  <c r="A174" i="2"/>
  <c r="A172" i="2"/>
  <c r="A171" i="2"/>
  <c r="A170" i="2"/>
  <c r="A169" i="2"/>
  <c r="A168" i="2"/>
  <c r="A167" i="2"/>
  <c r="A166" i="2"/>
  <c r="A165" i="2"/>
  <c r="A163" i="2"/>
  <c r="A162" i="2"/>
  <c r="A161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6" i="2"/>
  <c r="A95" i="2"/>
  <c r="A94" i="2"/>
  <c r="A93" i="2"/>
  <c r="A92" i="2"/>
  <c r="A91" i="2"/>
  <c r="A90" i="2"/>
  <c r="A89" i="2"/>
  <c r="A88" i="2"/>
  <c r="A87" i="2"/>
  <c r="A86" i="2"/>
  <c r="A74" i="2"/>
  <c r="A85" i="2"/>
  <c r="A84" i="2"/>
  <c r="A83" i="2"/>
  <c r="A82" i="2"/>
  <c r="A81" i="2"/>
  <c r="A80" i="2"/>
  <c r="A79" i="2"/>
  <c r="A78" i="2"/>
  <c r="A77" i="2"/>
  <c r="A76" i="2"/>
  <c r="A75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6" i="1"/>
  <c r="B10" i="1"/>
  <c r="B14" i="1"/>
  <c r="B18" i="1"/>
  <c r="B7" i="1"/>
  <c r="B11" i="1"/>
  <c r="B15" i="1"/>
  <c r="B19" i="1"/>
  <c r="B8" i="1"/>
  <c r="B12" i="1"/>
  <c r="B16" i="1"/>
  <c r="B20" i="1"/>
  <c r="B9" i="1"/>
  <c r="B13" i="1"/>
  <c r="B17" i="1"/>
  <c r="B5" i="1"/>
  <c r="E4" i="1" l="1"/>
  <c r="K17" i="1"/>
  <c r="M17" i="1"/>
  <c r="L17" i="1"/>
  <c r="F10" i="5"/>
  <c r="E10" i="5"/>
  <c r="G10" i="5"/>
  <c r="F6" i="5"/>
  <c r="E6" i="5"/>
  <c r="G9" i="5"/>
  <c r="E9" i="5"/>
  <c r="F9" i="5"/>
  <c r="E30" i="5"/>
  <c r="G30" i="5"/>
  <c r="F30" i="5"/>
  <c r="G26" i="5"/>
  <c r="E26" i="5"/>
  <c r="F26" i="5"/>
  <c r="E22" i="5"/>
  <c r="G22" i="5"/>
  <c r="F22" i="5"/>
  <c r="G18" i="5"/>
  <c r="E18" i="5"/>
  <c r="F18" i="5"/>
  <c r="E14" i="5"/>
  <c r="G14" i="5"/>
  <c r="F14" i="5"/>
  <c r="G8" i="5"/>
  <c r="E8" i="5"/>
  <c r="F8" i="5"/>
  <c r="F5" i="5"/>
  <c r="G5" i="5"/>
  <c r="E5" i="5"/>
  <c r="G23" i="5"/>
  <c r="E23" i="5"/>
  <c r="F23" i="5"/>
  <c r="F19" i="5"/>
  <c r="E19" i="5"/>
  <c r="G19" i="5"/>
  <c r="E15" i="5"/>
  <c r="F15" i="5"/>
  <c r="G15" i="5"/>
  <c r="E11" i="5"/>
  <c r="F11" i="5"/>
  <c r="G11" i="5"/>
  <c r="G29" i="5"/>
  <c r="E29" i="5"/>
  <c r="F29" i="5"/>
  <c r="G25" i="5"/>
  <c r="E25" i="5"/>
  <c r="F25" i="5"/>
  <c r="F21" i="5"/>
  <c r="G21" i="5"/>
  <c r="E21" i="5"/>
  <c r="E17" i="5"/>
  <c r="G17" i="5"/>
  <c r="F17" i="5"/>
  <c r="G13" i="5"/>
  <c r="E13" i="5"/>
  <c r="F13" i="5"/>
  <c r="F7" i="5"/>
  <c r="E7" i="5"/>
  <c r="G7" i="5"/>
  <c r="G4" i="5"/>
  <c r="E4" i="5"/>
  <c r="F4" i="5"/>
  <c r="G27" i="5"/>
  <c r="E27" i="5"/>
  <c r="F27" i="5"/>
  <c r="F28" i="5"/>
  <c r="G28" i="5"/>
  <c r="E28" i="5"/>
  <c r="F24" i="5"/>
  <c r="E24" i="5"/>
  <c r="G24" i="5"/>
  <c r="F20" i="5"/>
  <c r="G20" i="5"/>
  <c r="E20" i="5"/>
  <c r="F16" i="5"/>
  <c r="E16" i="5"/>
  <c r="G16" i="5"/>
  <c r="F12" i="5"/>
  <c r="E12" i="5"/>
  <c r="G12" i="5"/>
  <c r="E3" i="5"/>
  <c r="F3" i="5"/>
  <c r="G3" i="5"/>
  <c r="G6" i="5"/>
  <c r="F2" i="5"/>
  <c r="G2" i="5"/>
</calcChain>
</file>

<file path=xl/sharedStrings.xml><?xml version="1.0" encoding="utf-8"?>
<sst xmlns="http://schemas.openxmlformats.org/spreadsheetml/2006/main" count="45535" uniqueCount="8384">
  <si>
    <t>Contact Last Name</t>
  </si>
  <si>
    <t>Contact Title</t>
  </si>
  <si>
    <t>Contact Address 1</t>
  </si>
  <si>
    <t>Contact Address 2</t>
  </si>
  <si>
    <t>City</t>
  </si>
  <si>
    <t>State</t>
  </si>
  <si>
    <t>Zip</t>
  </si>
  <si>
    <t>Phone</t>
  </si>
  <si>
    <t>Fax</t>
  </si>
  <si>
    <t>Email</t>
  </si>
  <si>
    <t>Shaw</t>
  </si>
  <si>
    <t>Intern</t>
  </si>
  <si>
    <t xml:space="preserve">2555 Central Pkwy, </t>
  </si>
  <si>
    <t>Houston</t>
  </si>
  <si>
    <t>TX</t>
  </si>
  <si>
    <t>713-977-5400</t>
  </si>
  <si>
    <t>chriss@seeberger.com</t>
  </si>
  <si>
    <t>2555 Central Parkway</t>
  </si>
  <si>
    <t>Mock</t>
  </si>
  <si>
    <t>Building Operations Manager</t>
  </si>
  <si>
    <t xml:space="preserve">3010 Briarpark </t>
  </si>
  <si>
    <t>Suite 190</t>
  </si>
  <si>
    <t>281-647-9223</t>
  </si>
  <si>
    <t>jmock@streamrealty.com</t>
  </si>
  <si>
    <t>Knight</t>
  </si>
  <si>
    <t>3M Territory Manager</t>
  </si>
  <si>
    <t>4450 West 12th St</t>
  </si>
  <si>
    <t>713-376-9675</t>
  </si>
  <si>
    <t>rknight@mmm.com</t>
  </si>
  <si>
    <t>Weeks</t>
  </si>
  <si>
    <t>Executive</t>
  </si>
  <si>
    <t>5828 Ashleyanne Circle Suite 100</t>
  </si>
  <si>
    <t>Wichita Falls</t>
  </si>
  <si>
    <t>940-228-0124</t>
  </si>
  <si>
    <t>mandy@411NRG.com</t>
  </si>
  <si>
    <t>Bautista</t>
  </si>
  <si>
    <t>Chief Engineer</t>
  </si>
  <si>
    <t xml:space="preserve">500 McKinney Ave </t>
  </si>
  <si>
    <t>77002-2534</t>
  </si>
  <si>
    <t>832-393-8027</t>
  </si>
  <si>
    <t>humberto.bautista@houstontx.gov</t>
  </si>
  <si>
    <t>Harris</t>
  </si>
  <si>
    <t>Project Manager</t>
  </si>
  <si>
    <t>801 Travis</t>
  </si>
  <si>
    <t>Ste. 100</t>
  </si>
  <si>
    <t>713-224-8999</t>
  </si>
  <si>
    <t>713-224-7999</t>
  </si>
  <si>
    <t>kharris@pearlhospitality.com</t>
  </si>
  <si>
    <t>Loftus</t>
  </si>
  <si>
    <t>Owner</t>
  </si>
  <si>
    <t>6790 Cutten Parkway</t>
  </si>
  <si>
    <t>713-253-1259</t>
  </si>
  <si>
    <t>houstoninfrared@gmail.com</t>
  </si>
  <si>
    <t>LUPRETE</t>
  </si>
  <si>
    <t>OWNER</t>
  </si>
  <si>
    <t xml:space="preserve">8550 HANSEN RD. SUITE A </t>
  </si>
  <si>
    <t>HOUSTON</t>
  </si>
  <si>
    <t>713-643-4400</t>
  </si>
  <si>
    <t>ANTHONY@ALVALVE.COM</t>
  </si>
  <si>
    <t>jariwala</t>
  </si>
  <si>
    <t>owner</t>
  </si>
  <si>
    <t>2102 bay hill dr.</t>
  </si>
  <si>
    <t>League City</t>
  </si>
  <si>
    <t>832-646-5610</t>
  </si>
  <si>
    <t>gkjariwala@gmail.com</t>
  </si>
  <si>
    <t>Sirangi</t>
  </si>
  <si>
    <t>Mr</t>
  </si>
  <si>
    <t>307 Duncan St</t>
  </si>
  <si>
    <t>Irving</t>
  </si>
  <si>
    <t>479-799-7704</t>
  </si>
  <si>
    <t>sir.ravs84@yahoo.com</t>
  </si>
  <si>
    <t>Maxwell</t>
  </si>
  <si>
    <t>Operations Manager</t>
  </si>
  <si>
    <t>2411 NW 16 Lane #5</t>
  </si>
  <si>
    <t>Pompano Beach</t>
  </si>
  <si>
    <t>FL</t>
  </si>
  <si>
    <t>877-337-4123</t>
  </si>
  <si>
    <t>jmaxwell@abacolighting.com</t>
  </si>
  <si>
    <t>Holden</t>
  </si>
  <si>
    <t>Sr. VP</t>
  </si>
  <si>
    <t>Two Riverway, Suite 800</t>
  </si>
  <si>
    <t>713-589-4084</t>
  </si>
  <si>
    <t>rholden@acclaimenenergy.com</t>
  </si>
  <si>
    <t>Jackson</t>
  </si>
  <si>
    <t>Energy and Environment Analyst</t>
  </si>
  <si>
    <t>4001 International Pkwy</t>
  </si>
  <si>
    <t>Carrollton</t>
  </si>
  <si>
    <t>972-360-5802</t>
  </si>
  <si>
    <t>sjackson@accor-na.com</t>
  </si>
  <si>
    <t>McFarland</t>
  </si>
  <si>
    <t>Administrative Assistant</t>
  </si>
  <si>
    <t xml:space="preserve">2653 Austin Highway </t>
  </si>
  <si>
    <t>San Antonio</t>
  </si>
  <si>
    <t>210-323-4439</t>
  </si>
  <si>
    <t>210-323-4404</t>
  </si>
  <si>
    <t>smcfarland@acemart.com</t>
  </si>
  <si>
    <t>Rothery</t>
  </si>
  <si>
    <t>224 Birmingham Dr</t>
  </si>
  <si>
    <t>1A2</t>
  </si>
  <si>
    <t>Cardiff</t>
  </si>
  <si>
    <t>CA</t>
  </si>
  <si>
    <t>760-436-2116</t>
  </si>
  <si>
    <t>760-436-6355</t>
  </si>
  <si>
    <t>maybeth@acenergysystems.com</t>
  </si>
  <si>
    <t>Kapileshwari</t>
  </si>
  <si>
    <t>Senior Engineer</t>
  </si>
  <si>
    <t>907 S. Congress Ave.</t>
  </si>
  <si>
    <t>Austin</t>
  </si>
  <si>
    <t>832-266-8346</t>
  </si>
  <si>
    <t>512-440-8328</t>
  </si>
  <si>
    <t>rajesh@acreng.com</t>
  </si>
  <si>
    <t>Christensen</t>
  </si>
  <si>
    <t xml:space="preserve">Accountant </t>
  </si>
  <si>
    <t>3099 South 1030 West</t>
  </si>
  <si>
    <t>Salt Lake City</t>
  </si>
  <si>
    <t>UT</t>
  </si>
  <si>
    <t>801-972-9530</t>
  </si>
  <si>
    <t>801-746-0089</t>
  </si>
  <si>
    <t>Stonebraker</t>
  </si>
  <si>
    <t>Vice President</t>
  </si>
  <si>
    <t>13105 NW FWY</t>
  </si>
  <si>
    <t>Suite 690</t>
  </si>
  <si>
    <t>713-896-6990</t>
  </si>
  <si>
    <t>713-896-6992</t>
  </si>
  <si>
    <t>tstonebraker@advtechinc.com</t>
  </si>
  <si>
    <t>Hoover</t>
  </si>
  <si>
    <t>Rebate Admin</t>
  </si>
  <si>
    <t>115 West Ave, Suite 204</t>
  </si>
  <si>
    <t>Jenkintown</t>
  </si>
  <si>
    <t>PA</t>
  </si>
  <si>
    <t>267-627-1711</t>
  </si>
  <si>
    <t>215-576-1249</t>
  </si>
  <si>
    <t>rhoover@aelux.com</t>
  </si>
  <si>
    <t>Throckmorton</t>
  </si>
  <si>
    <t>Program Coordinator</t>
  </si>
  <si>
    <t>910 Energy Dr.</t>
  </si>
  <si>
    <t>Abilene</t>
  </si>
  <si>
    <t>325-674-7341</t>
  </si>
  <si>
    <t>gjthrockmorton@aep.com</t>
  </si>
  <si>
    <t>Karbach</t>
  </si>
  <si>
    <t>Investment Development Manager</t>
  </si>
  <si>
    <t>2700 Post Oak Blvd.</t>
  </si>
  <si>
    <t>713-402-2358</t>
  </si>
  <si>
    <t>713-624-8350</t>
  </si>
  <si>
    <t>bill.phillips@airliquide.com</t>
  </si>
  <si>
    <t>Ambrose</t>
  </si>
  <si>
    <t>Sales Associate</t>
  </si>
  <si>
    <t>11921 Windfern Rd</t>
  </si>
  <si>
    <t>713-979-0720</t>
  </si>
  <si>
    <t>JAmbrose@airperformance.com</t>
  </si>
  <si>
    <t>Long</t>
  </si>
  <si>
    <t>Commercial Account Manager</t>
  </si>
  <si>
    <t>1724 Townhurst Drive</t>
  </si>
  <si>
    <t>281-987-0665</t>
  </si>
  <si>
    <t>281-985-0824</t>
  </si>
  <si>
    <t>blong@airtexasmechanical.com</t>
  </si>
  <si>
    <t>Graff</t>
  </si>
  <si>
    <t>CFO</t>
  </si>
  <si>
    <t xml:space="preserve">6320 US HWY 377 S </t>
  </si>
  <si>
    <t>Stephenville</t>
  </si>
  <si>
    <t>866-865-5084</t>
  </si>
  <si>
    <t>eric@airwindsolar.com</t>
  </si>
  <si>
    <t>Dodson</t>
  </si>
  <si>
    <t>Deal Manager</t>
  </si>
  <si>
    <t>5011 Rittiman Rd</t>
  </si>
  <si>
    <t xml:space="preserve"> </t>
  </si>
  <si>
    <t>830-832-3540</t>
  </si>
  <si>
    <t>210/654-0114</t>
  </si>
  <si>
    <t>jeff.dodson@grainger.com</t>
  </si>
  <si>
    <t>Pickhaver</t>
  </si>
  <si>
    <t>Energy Consultant</t>
  </si>
  <si>
    <t>6402 Encenada Green Trail</t>
  </si>
  <si>
    <t>Kingwood</t>
  </si>
  <si>
    <t>832-250-4820</t>
  </si>
  <si>
    <t>jay.pickhaver@alliance-energy.net</t>
  </si>
  <si>
    <t>Dawson</t>
  </si>
  <si>
    <t>Project Development</t>
  </si>
  <si>
    <t>15150 Sommermeyer</t>
  </si>
  <si>
    <t>Suite 100</t>
  </si>
  <si>
    <t>877-861-3061</t>
  </si>
  <si>
    <t>donovan.dawson@apowersolutions.com</t>
  </si>
  <si>
    <t>Martin</t>
  </si>
  <si>
    <t>Account Manager</t>
  </si>
  <si>
    <t>10601 Mission Road, Suite 210</t>
  </si>
  <si>
    <t>Leawood</t>
  </si>
  <si>
    <t>KS</t>
  </si>
  <si>
    <t>913-433-7815</t>
  </si>
  <si>
    <t>913-433-7801</t>
  </si>
  <si>
    <t>dmartin@americanenergy.com</t>
  </si>
  <si>
    <t>Castleman</t>
  </si>
  <si>
    <t>Division  Manager</t>
  </si>
  <si>
    <t>5091 Steadmont</t>
  </si>
  <si>
    <t>713-462-6258</t>
  </si>
  <si>
    <t>713-462-6282</t>
  </si>
  <si>
    <t>ryan.castleman@fsgi.com</t>
  </si>
  <si>
    <t>Beach</t>
  </si>
  <si>
    <t>Energy Services Project Specialist</t>
  </si>
  <si>
    <t>11222 Pinehurst Dr</t>
  </si>
  <si>
    <t>512-699-8416</t>
  </si>
  <si>
    <t>651-331-5336</t>
  </si>
  <si>
    <t>bobb@fsgconnect.com</t>
  </si>
  <si>
    <t>LaRoe</t>
  </si>
  <si>
    <t>Senior Account Representative</t>
  </si>
  <si>
    <t>8101 Pinemont</t>
  </si>
  <si>
    <t>713-690-6677</t>
  </si>
  <si>
    <t>claroe@abm.com</t>
  </si>
  <si>
    <t>Murray</t>
  </si>
  <si>
    <t>Sustainability Director</t>
  </si>
  <si>
    <t>5116 Bissonnet, #262</t>
  </si>
  <si>
    <t>Bellaire</t>
  </si>
  <si>
    <t>713-869-0000</t>
  </si>
  <si>
    <t>tmurray@apollobbc.com</t>
  </si>
  <si>
    <t>Fleischer</t>
  </si>
  <si>
    <t>Director of Sales Development</t>
  </si>
  <si>
    <t>77 Rumford MA</t>
  </si>
  <si>
    <t>Suite 1</t>
  </si>
  <si>
    <t xml:space="preserve">Waltham </t>
  </si>
  <si>
    <t>MA</t>
  </si>
  <si>
    <t>781-392-3410</t>
  </si>
  <si>
    <t>781-894-5455</t>
  </si>
  <si>
    <t>bfleischer@aqualine-resources.com</t>
  </si>
  <si>
    <t>asdf</t>
  </si>
  <si>
    <t>safd</t>
  </si>
  <si>
    <t>asfd</t>
  </si>
  <si>
    <t>234-234-2342</t>
  </si>
  <si>
    <t>asdf@asdf</t>
  </si>
  <si>
    <t>Nowak</t>
  </si>
  <si>
    <t>Director EMS, Sales &amp; Business Development</t>
  </si>
  <si>
    <t>631 International Parkway</t>
  </si>
  <si>
    <t>Richardson</t>
  </si>
  <si>
    <t>972-692-3173</t>
  </si>
  <si>
    <t>dnowak@vcegroup.com</t>
  </si>
  <si>
    <t>Economou</t>
  </si>
  <si>
    <t>Managing Partner</t>
  </si>
  <si>
    <t>784 Oak Creek Drive</t>
  </si>
  <si>
    <t>Lombard</t>
  </si>
  <si>
    <t>IL</t>
  </si>
  <si>
    <t>630-967-6315</t>
  </si>
  <si>
    <t>jeconomou@aureoleled.com</t>
  </si>
  <si>
    <t>Jacobsen</t>
  </si>
  <si>
    <t>120 Texas Ave.</t>
  </si>
  <si>
    <t>77573-4214</t>
  </si>
  <si>
    <t>832-289-2654</t>
  </si>
  <si>
    <t>1-877-680-7772</t>
  </si>
  <si>
    <t>cj@uenergys.com</t>
  </si>
  <si>
    <t>Vaughn</t>
  </si>
  <si>
    <t>Business Development Manager</t>
  </si>
  <si>
    <t>4107 New West Drive</t>
  </si>
  <si>
    <t>Pasadena</t>
  </si>
  <si>
    <t>281-837-4132</t>
  </si>
  <si>
    <t>281-837-1123</t>
  </si>
  <si>
    <t>kirkv@uescontrols.com</t>
  </si>
  <si>
    <t>Stauder</t>
  </si>
  <si>
    <t>7892 W. Grand River</t>
  </si>
  <si>
    <t>Brighton</t>
  </si>
  <si>
    <t>MI</t>
  </si>
  <si>
    <t>810-227-3377</t>
  </si>
  <si>
    <t>810-227-3399</t>
  </si>
  <si>
    <t>nstauder@edssenergy.com</t>
  </si>
  <si>
    <t>Dimiceli</t>
  </si>
  <si>
    <t>Manager</t>
  </si>
  <si>
    <t>10702 Cash Road</t>
  </si>
  <si>
    <t>Stafford</t>
  </si>
  <si>
    <t>281-277-9696</t>
  </si>
  <si>
    <t>281-277-9691</t>
  </si>
  <si>
    <t>dimiceli@bspmarkeitng.com</t>
  </si>
  <si>
    <t>Thompson</t>
  </si>
  <si>
    <t>Office Manger</t>
  </si>
  <si>
    <t>406 Deats Rd.</t>
  </si>
  <si>
    <t>Dickinson</t>
  </si>
  <si>
    <t>832-738-1541</t>
  </si>
  <si>
    <t>281-337-6986</t>
  </si>
  <si>
    <t>kevin.thompson@bmsconstruction.net</t>
  </si>
  <si>
    <t>Bass</t>
  </si>
  <si>
    <t>16806 S. Lighthouse Dr</t>
  </si>
  <si>
    <t>Crosby</t>
  </si>
  <si>
    <t>512-944-3024</t>
  </si>
  <si>
    <t>kbass@b3econsulting.com</t>
  </si>
  <si>
    <t>Horridge</t>
  </si>
  <si>
    <t>Corporate Manager of Facilities</t>
  </si>
  <si>
    <t>9100 Emmott Road</t>
  </si>
  <si>
    <t>713-466-2912</t>
  </si>
  <si>
    <t>713-849-8767</t>
  </si>
  <si>
    <t>Richard.Horridge@bakerhughes.com</t>
  </si>
  <si>
    <t>Hothan</t>
  </si>
  <si>
    <t>Facility manager</t>
  </si>
  <si>
    <t>2001 Rankin Raod</t>
  </si>
  <si>
    <t>713-879-3860</t>
  </si>
  <si>
    <t>Jared.Hothan@bakerhughes.com</t>
  </si>
  <si>
    <t>Barkley</t>
  </si>
  <si>
    <t>President</t>
  </si>
  <si>
    <t>3100 Main Street</t>
  </si>
  <si>
    <t>Suite 237</t>
  </si>
  <si>
    <t>Dallas</t>
  </si>
  <si>
    <t>469-371-4663</t>
  </si>
  <si>
    <t>dbarkley@bambu-energy.com</t>
  </si>
  <si>
    <t>Silverstein</t>
  </si>
  <si>
    <t>Director, Store Design</t>
  </si>
  <si>
    <t>120 Fifth Ave</t>
  </si>
  <si>
    <t>New York</t>
  </si>
  <si>
    <t>NY</t>
  </si>
  <si>
    <t>212-633-3518</t>
  </si>
  <si>
    <t>212-633-2088</t>
  </si>
  <si>
    <t>jsilverstein@bn.com</t>
  </si>
  <si>
    <t>Shelton</t>
  </si>
  <si>
    <t>8105 Almeda Genoa Rd</t>
  </si>
  <si>
    <t>713-991-5875</t>
  </si>
  <si>
    <t>713-991-4737</t>
  </si>
  <si>
    <t>Jshelton@beeelectrical.com</t>
  </si>
  <si>
    <t>Fershtand</t>
  </si>
  <si>
    <t>Director of Fleet and Energy</t>
  </si>
  <si>
    <t>7600 Will Rogers Blvd</t>
  </si>
  <si>
    <t>Fort Worth</t>
  </si>
  <si>
    <t>817-749-6824</t>
  </si>
  <si>
    <t>817-759-6886</t>
  </si>
  <si>
    <t>jbfershtand@benekeith.com</t>
  </si>
  <si>
    <t>Harrison</t>
  </si>
  <si>
    <t>5858 Westhiemer</t>
  </si>
  <si>
    <t>713-882-3567</t>
  </si>
  <si>
    <t>bharrison@kdwltd.com</t>
  </si>
  <si>
    <t>Boothe</t>
  </si>
  <si>
    <t>Energy Engineer</t>
  </si>
  <si>
    <t xml:space="preserve">7892 W. Grand River </t>
  </si>
  <si>
    <t>kboothe@edssenergy.com</t>
  </si>
  <si>
    <t>Aframian</t>
  </si>
  <si>
    <t>Managing Owner</t>
  </si>
  <si>
    <t xml:space="preserve">640 S Hill St. </t>
  </si>
  <si>
    <t>Suite #352-356</t>
  </si>
  <si>
    <t>California</t>
  </si>
  <si>
    <t>213-623-1444</t>
  </si>
  <si>
    <t>213-623-5511</t>
  </si>
  <si>
    <t>b@binz1001.com</t>
  </si>
  <si>
    <t>Blanco</t>
  </si>
  <si>
    <t>Service Manager</t>
  </si>
  <si>
    <t>915 Lehman St</t>
  </si>
  <si>
    <t>713-686-6767</t>
  </si>
  <si>
    <t>713-686-7313</t>
  </si>
  <si>
    <t>service@blancoelectric.com</t>
  </si>
  <si>
    <t>Asarch</t>
  </si>
  <si>
    <t>VP/Sales &amp; Marketing</t>
  </si>
  <si>
    <t>1826 Chimney Rock</t>
  </si>
  <si>
    <t>713-301-3924</t>
  </si>
  <si>
    <t>jsasarch@sbcglobal.net</t>
  </si>
  <si>
    <t>Callham</t>
  </si>
  <si>
    <t>363 W Erie Street</t>
  </si>
  <si>
    <t>Suite 700 West</t>
  </si>
  <si>
    <t>Chicago</t>
  </si>
  <si>
    <t>312-890-9969</t>
  </si>
  <si>
    <t>dsmrebates@bluestarenergy.com</t>
  </si>
  <si>
    <t>Laswell</t>
  </si>
  <si>
    <t>3600 Chamberlain Lane</t>
  </si>
  <si>
    <t>Suite 232</t>
  </si>
  <si>
    <t>Louisville</t>
  </si>
  <si>
    <t>KY</t>
  </si>
  <si>
    <t>502-254-6089</t>
  </si>
  <si>
    <t>502-254-7257</t>
  </si>
  <si>
    <t>jim.laswell@bluestoneconstruct.com</t>
  </si>
  <si>
    <t>Mozafari</t>
  </si>
  <si>
    <t>4265 San Felipe #550</t>
  </si>
  <si>
    <t>713-875-9394</t>
  </si>
  <si>
    <t>713-621-3222</t>
  </si>
  <si>
    <t>bmozafari@bmsmgmt.com</t>
  </si>
  <si>
    <t>Lami</t>
  </si>
  <si>
    <t>CEO</t>
  </si>
  <si>
    <t>12706 Pine Dr.</t>
  </si>
  <si>
    <t>Cypress</t>
  </si>
  <si>
    <t>713-575-2400</t>
  </si>
  <si>
    <t>832-304-2295</t>
  </si>
  <si>
    <t>lianne.lami@bocciengineering.com</t>
  </si>
  <si>
    <t>Boyd</t>
  </si>
  <si>
    <t>24600 Old Creek Lane</t>
  </si>
  <si>
    <t>Hockley</t>
  </si>
  <si>
    <t>936-931-5744</t>
  </si>
  <si>
    <t>936-931-5749</t>
  </si>
  <si>
    <t>rboydelectric@att.net</t>
  </si>
  <si>
    <t>Loredo</t>
  </si>
  <si>
    <t>Senior Project Manager</t>
  </si>
  <si>
    <t>10103 Kitty Ave</t>
  </si>
  <si>
    <t>Chicago Ridge</t>
  </si>
  <si>
    <t>708-952-4500</t>
  </si>
  <si>
    <t>708-952-4572</t>
  </si>
  <si>
    <t>mloredo@boydelectric.com</t>
  </si>
  <si>
    <t>Ray</t>
  </si>
  <si>
    <t>Energy Program Manager</t>
  </si>
  <si>
    <t>150 W. Warrenville Road</t>
  </si>
  <si>
    <t>Naperville</t>
  </si>
  <si>
    <t>630-405-3786</t>
  </si>
  <si>
    <t>sumit.ray@bp.com</t>
  </si>
  <si>
    <t>Brewer</t>
  </si>
  <si>
    <t>675 Bering Dr.</t>
  </si>
  <si>
    <t>Suite 650</t>
  </si>
  <si>
    <t>sbrewercapital@gmail.com</t>
  </si>
  <si>
    <t>brinson</t>
  </si>
  <si>
    <t>vice president</t>
  </si>
  <si>
    <t>12534 westheimer</t>
  </si>
  <si>
    <t>boco999@gmail.com</t>
  </si>
  <si>
    <t>Diggins</t>
  </si>
  <si>
    <t>3336 Spring Stuebner Rd, Suite P</t>
  </si>
  <si>
    <t>Spring</t>
  </si>
  <si>
    <t>281-444-7737</t>
  </si>
  <si>
    <t>281-444-7720</t>
  </si>
  <si>
    <t>brendan@brotherslighting.com</t>
  </si>
  <si>
    <t>Miller</t>
  </si>
  <si>
    <t>Mr.</t>
  </si>
  <si>
    <t>3907 Main Street</t>
  </si>
  <si>
    <t>713-430-6438</t>
  </si>
  <si>
    <t>info@bryanmillergallery.com</t>
  </si>
  <si>
    <t>Johnson</t>
  </si>
  <si>
    <t>BLI Lighting Specialist</t>
  </si>
  <si>
    <t>15275 Minnetonka Blvd.</t>
  </si>
  <si>
    <t>Minnetonka</t>
  </si>
  <si>
    <t>MN</t>
  </si>
  <si>
    <t>952-939-1714</t>
  </si>
  <si>
    <t>952-933-6443</t>
  </si>
  <si>
    <t>juliann.johnson@budgetlighting.com</t>
  </si>
  <si>
    <t xml:space="preserve">Zhou </t>
  </si>
  <si>
    <t xml:space="preserve">Engineering Director </t>
  </si>
  <si>
    <t>4640 South 59th Street</t>
  </si>
  <si>
    <t>Omaha</t>
  </si>
  <si>
    <t>NE</t>
  </si>
  <si>
    <t>68117-1358</t>
  </si>
  <si>
    <t>402-502-2340</t>
  </si>
  <si>
    <t>(402) 502-2283</t>
  </si>
  <si>
    <t>jzhou@bes-tech.net</t>
  </si>
  <si>
    <t>Mandelko</t>
  </si>
  <si>
    <t>Energy Coordinator</t>
  </si>
  <si>
    <t>1830 Route 130 N</t>
  </si>
  <si>
    <t>Burlington</t>
  </si>
  <si>
    <t>NJ</t>
  </si>
  <si>
    <t>609-387-7800</t>
  </si>
  <si>
    <t>609-589-3236</t>
  </si>
  <si>
    <t>diane.mandelko@coat.com</t>
  </si>
  <si>
    <t>Energy Manager</t>
  </si>
  <si>
    <t>1830 Route 130</t>
  </si>
  <si>
    <t>949-547-9636</t>
  </si>
  <si>
    <t>McCoy</t>
  </si>
  <si>
    <t>320 Westcott Street</t>
  </si>
  <si>
    <t>713-861-3016</t>
  </si>
  <si>
    <t>713-861-3067</t>
  </si>
  <si>
    <t>jdmccoy@bdmi-ce.com</t>
  </si>
  <si>
    <t>Lumsden</t>
  </si>
  <si>
    <t>Business Developer</t>
  </si>
  <si>
    <t>13111 Springmint Court</t>
  </si>
  <si>
    <t>281-251-2976</t>
  </si>
  <si>
    <t>lynnlumsden@live.com</t>
  </si>
  <si>
    <t>MACCARONE</t>
  </si>
  <si>
    <t>MANAGER PLANNING &amp; DESIGN</t>
  </si>
  <si>
    <t>12800 TUCKAHOE CREEK</t>
  </si>
  <si>
    <t>RICHMOND</t>
  </si>
  <si>
    <t>VA</t>
  </si>
  <si>
    <t>804-747-0422</t>
  </si>
  <si>
    <t>JOE_MACCARONE@CARMAX.COM</t>
  </si>
  <si>
    <t>Putman</t>
  </si>
  <si>
    <t>Sales Account Manager</t>
  </si>
  <si>
    <t>100 Southbelt Industrial Drive</t>
  </si>
  <si>
    <t>77047-7012</t>
  </si>
  <si>
    <t>713-560-5404</t>
  </si>
  <si>
    <t>1-860-998-2664</t>
  </si>
  <si>
    <t>kevin.putman@carrier.utc.com</t>
  </si>
  <si>
    <t>Orcutt</t>
  </si>
  <si>
    <t>Commercial Sales Manager</t>
  </si>
  <si>
    <t>16230 Port Northwest Drive</t>
  </si>
  <si>
    <t>713-939-6036</t>
  </si>
  <si>
    <t>(860)998-1399</t>
  </si>
  <si>
    <t>bruce.orcutt@carrier.utc.com</t>
  </si>
  <si>
    <t>Wilson</t>
  </si>
  <si>
    <t>Project Engineer</t>
  </si>
  <si>
    <t>4587 W Cedar Hills Dr. #220</t>
  </si>
  <si>
    <t>Cedar Hills</t>
  </si>
  <si>
    <t>801-770-4335</t>
  </si>
  <si>
    <t>paul.wilson@cascadeenergy.com</t>
  </si>
  <si>
    <t>Sample</t>
  </si>
  <si>
    <t>106 Gladstell Rd East</t>
  </si>
  <si>
    <t>Conroe</t>
  </si>
  <si>
    <t>936-539-4446</t>
  </si>
  <si>
    <t>936-539-4645</t>
  </si>
  <si>
    <t>jsample@cedconroe.com</t>
  </si>
  <si>
    <t>Jenson</t>
  </si>
  <si>
    <t>Energy Products Director</t>
  </si>
  <si>
    <t>850 Greens Parkway #200</t>
  </si>
  <si>
    <t>713-819-2566</t>
  </si>
  <si>
    <t>mjenson@cedhouston.com</t>
  </si>
  <si>
    <t>Van Lith</t>
  </si>
  <si>
    <t>Manufacturing Engineer</t>
  </si>
  <si>
    <t>407 7th St. NW</t>
  </si>
  <si>
    <t>New Prague</t>
  </si>
  <si>
    <t>952-758-8272</t>
  </si>
  <si>
    <t>dan.vanlith@chartindustries.com</t>
  </si>
  <si>
    <t>Cox</t>
  </si>
  <si>
    <t>12980 Foster Drive, Suite 400</t>
  </si>
  <si>
    <t>Overland Park</t>
  </si>
  <si>
    <t>913-748-8646</t>
  </si>
  <si>
    <t>EricCox@chevron.com</t>
  </si>
  <si>
    <t>Chilson</t>
  </si>
  <si>
    <t>President and CEO</t>
  </si>
  <si>
    <t>2809 Miller Ranch Road, Suite 429</t>
  </si>
  <si>
    <t>Pearland</t>
  </si>
  <si>
    <t>713-436-3000</t>
  </si>
  <si>
    <t>713-436-3002</t>
  </si>
  <si>
    <t>pchilson@magnumamerica.com</t>
  </si>
  <si>
    <t>Conger</t>
  </si>
  <si>
    <t>Mechanical Dept. Manager</t>
  </si>
  <si>
    <t>7660 Woodway, Suite 400</t>
  </si>
  <si>
    <t>713-977-3430</t>
  </si>
  <si>
    <t>713-977-3828</t>
  </si>
  <si>
    <t>Assistant Director</t>
  </si>
  <si>
    <t>P.O. Box 1562</t>
  </si>
  <si>
    <t>77251-1562</t>
  </si>
  <si>
    <t>713-437-6235</t>
  </si>
  <si>
    <t>felix.johnson@cityofhouston.net</t>
  </si>
  <si>
    <t>Sullivan</t>
  </si>
  <si>
    <t>GC</t>
  </si>
  <si>
    <t>5599 San Felipe, Suite 1440</t>
  </si>
  <si>
    <t>713-789-2529</t>
  </si>
  <si>
    <t>dsullivan@claydevelopment.com</t>
  </si>
  <si>
    <t>Strickstein</t>
  </si>
  <si>
    <t>Business Services Supervisor</t>
  </si>
  <si>
    <t>20830 N. Tatum Boulevard</t>
  </si>
  <si>
    <t>Suite 330</t>
  </si>
  <si>
    <t>Phoenix</t>
  </si>
  <si>
    <t>AZ</t>
  </si>
  <si>
    <t>480-346-5829</t>
  </si>
  <si>
    <t>480-346-5811</t>
  </si>
  <si>
    <t>jeanette.strickstein@ems.schneider-electric.com</t>
  </si>
  <si>
    <t>Jsilverstein@bn.com</t>
  </si>
  <si>
    <t>Timmer</t>
  </si>
  <si>
    <t>Energy Department Administrator</t>
  </si>
  <si>
    <t>6750 LBJ Freeway</t>
  </si>
  <si>
    <t>972-770-1767</t>
  </si>
  <si>
    <t>972-770-8933</t>
  </si>
  <si>
    <t>diana.timmer@brinker.com</t>
  </si>
  <si>
    <t>Urwitz</t>
  </si>
  <si>
    <t>Process Manager</t>
  </si>
  <si>
    <t>8502 E Princess Dr., Ste 260</t>
  </si>
  <si>
    <t>Scottsdale</t>
  </si>
  <si>
    <t>480-346-5807</t>
  </si>
  <si>
    <t>lurwitz@colemanhines.com</t>
  </si>
  <si>
    <t>Patel</t>
  </si>
  <si>
    <t>GM/Partner</t>
  </si>
  <si>
    <t>2830 Wilcrest Dr</t>
  </si>
  <si>
    <t>832-489-8884</t>
  </si>
  <si>
    <t>281-667-3507</t>
  </si>
  <si>
    <t>siaram@hotmail.com</t>
  </si>
  <si>
    <t>LaValley</t>
  </si>
  <si>
    <t>Director of Operations</t>
  </si>
  <si>
    <t>7 Waterside Crossing</t>
  </si>
  <si>
    <t>Windsor</t>
  </si>
  <si>
    <t>CT</t>
  </si>
  <si>
    <t>860-687-0709</t>
  </si>
  <si>
    <t>albert.lavalley@comfortsystemsusa.com</t>
  </si>
  <si>
    <t>Fawcett</t>
  </si>
  <si>
    <t>1221 Lamar St</t>
  </si>
  <si>
    <t>713-826-7675</t>
  </si>
  <si>
    <t>ian.fawcett@constellation.com</t>
  </si>
  <si>
    <t>Balentine</t>
  </si>
  <si>
    <t>10555 Westpark Drive</t>
  </si>
  <si>
    <t>713-201-5895</t>
  </si>
  <si>
    <t>wbalentine@convergentz.com</t>
  </si>
  <si>
    <t>Hughes</t>
  </si>
  <si>
    <t>Mgr, Utilities</t>
  </si>
  <si>
    <t>999 Lake Drive</t>
  </si>
  <si>
    <t>Issaquah</t>
  </si>
  <si>
    <t>WA</t>
  </si>
  <si>
    <t>425-313-6025</t>
  </si>
  <si>
    <t>dhughes@costco.com</t>
  </si>
  <si>
    <t>Gardner</t>
  </si>
  <si>
    <t>Facilities Administrator</t>
  </si>
  <si>
    <t>1 CVS Drive</t>
  </si>
  <si>
    <t>Woonsocket</t>
  </si>
  <si>
    <t>RI</t>
  </si>
  <si>
    <t>401-770-6002</t>
  </si>
  <si>
    <t>amgardner@cvs.com</t>
  </si>
  <si>
    <t>Sciacca</t>
  </si>
  <si>
    <t>Mgr Manufacturing Engineering &amp; Facilities</t>
  </si>
  <si>
    <t>100 Cyberonics Blvd</t>
  </si>
  <si>
    <t>281-228-7408</t>
  </si>
  <si>
    <t>joseph.sciacca@cyberonics.com</t>
  </si>
  <si>
    <t>Rhoden</t>
  </si>
  <si>
    <t>11430 Perry Rd</t>
  </si>
  <si>
    <t>281-807-8918</t>
  </si>
  <si>
    <t>281-897-3806</t>
  </si>
  <si>
    <t>henry.rhoden@cfisd.net</t>
  </si>
  <si>
    <t>Taylor</t>
  </si>
  <si>
    <t>Sales Coordinator</t>
  </si>
  <si>
    <t>PO Box 11307</t>
  </si>
  <si>
    <t>Lexington</t>
  </si>
  <si>
    <t>859-685-0207</t>
  </si>
  <si>
    <t>alex.taylor@bigassfans.com</t>
  </si>
  <si>
    <t>Figueredo</t>
  </si>
  <si>
    <t>Sales Rep</t>
  </si>
  <si>
    <t>703-462-6258</t>
  </si>
  <si>
    <t>(713) 462-6282</t>
  </si>
  <si>
    <t>abelf@fsgconnect.com</t>
  </si>
  <si>
    <t xml:space="preserve">Account Manager </t>
  </si>
  <si>
    <t xml:space="preserve">5094 Steadmont </t>
  </si>
  <si>
    <t>713-690-6301</t>
  </si>
  <si>
    <t>713-690-5331</t>
  </si>
  <si>
    <t>Abelf@FSGconnect.com</t>
  </si>
  <si>
    <t>Poyner</t>
  </si>
  <si>
    <t>Project Specialist</t>
  </si>
  <si>
    <t>101 South Farrar Drive</t>
  </si>
  <si>
    <t>Cape Girardeau</t>
  </si>
  <si>
    <t>MO</t>
  </si>
  <si>
    <t>573-335-3134</t>
  </si>
  <si>
    <t>danielle.poyner@drurysouthwest.com</t>
  </si>
  <si>
    <t>Capozzoli</t>
  </si>
  <si>
    <t>Training Coordinator</t>
  </si>
  <si>
    <t>1501 rt 34 south</t>
  </si>
  <si>
    <t>Farmingdale</t>
  </si>
  <si>
    <t>ccapozzoli@dialight.com</t>
  </si>
  <si>
    <t>Spann</t>
  </si>
  <si>
    <t>5829 W. Sam Houston Pkwy. North, Suite 1110</t>
  </si>
  <si>
    <t>713-856-0130</t>
  </si>
  <si>
    <t>TSpann@DBattery.net</t>
  </si>
  <si>
    <t>Krest</t>
  </si>
  <si>
    <t>3704 Hilltop STE 200</t>
  </si>
  <si>
    <t>936-494-3900</t>
  </si>
  <si>
    <t>MikeK@Divinelighting.net</t>
  </si>
  <si>
    <t>Dworaczyk</t>
  </si>
  <si>
    <t>15160 Nautique Way</t>
  </si>
  <si>
    <t>281-646-9500</t>
  </si>
  <si>
    <t>kelly@dpei.com</t>
  </si>
  <si>
    <t>DiBello</t>
  </si>
  <si>
    <t>IT Director</t>
  </si>
  <si>
    <t>11155 S. Main St.</t>
  </si>
  <si>
    <t>713-747-4171</t>
  </si>
  <si>
    <t>andrewd@dynamicoandp.com</t>
  </si>
  <si>
    <t>Mendoza</t>
  </si>
  <si>
    <t>Sr. Business Development Manager</t>
  </si>
  <si>
    <t>4403 Greenbriar Drive</t>
  </si>
  <si>
    <t>281-491-5990</t>
  </si>
  <si>
    <t>281-491-5991</t>
  </si>
  <si>
    <t>fmendoza@dvd-inc.com</t>
  </si>
  <si>
    <t>Drewett</t>
  </si>
  <si>
    <t>Branch Manager</t>
  </si>
  <si>
    <t>461 West 38th Street</t>
  </si>
  <si>
    <t>713-699-2600</t>
  </si>
  <si>
    <t>713-699-1666</t>
  </si>
  <si>
    <t>rdrewett@esamjones.com</t>
  </si>
  <si>
    <t>Koehn</t>
  </si>
  <si>
    <t>24 Greenway Plaza, suite 601</t>
  </si>
  <si>
    <t>713-840-0177</t>
  </si>
  <si>
    <t>713-840-8677</t>
  </si>
  <si>
    <t>ckoehn@ebeemce.com</t>
  </si>
  <si>
    <t>Decker</t>
  </si>
  <si>
    <t>12200 E. Barbary Coast Rd.</t>
  </si>
  <si>
    <t>Tucson</t>
  </si>
  <si>
    <t>rdecker@earthsavers.com</t>
  </si>
  <si>
    <t>Gonzales</t>
  </si>
  <si>
    <t>National Accounts Manager</t>
  </si>
  <si>
    <t>11815 Highway Drive, Suite 600</t>
  </si>
  <si>
    <t>Cincinnati</t>
  </si>
  <si>
    <t>OH</t>
  </si>
  <si>
    <t>513-324-2280</t>
  </si>
  <si>
    <t>513-985-9940</t>
  </si>
  <si>
    <t>cgonzales@ecoengineering.com</t>
  </si>
  <si>
    <t>Longardner</t>
  </si>
  <si>
    <t>Associate</t>
  </si>
  <si>
    <t>9084 Technology Drive</t>
  </si>
  <si>
    <t>Fishers</t>
  </si>
  <si>
    <t>IN</t>
  </si>
  <si>
    <t>317-509-1543</t>
  </si>
  <si>
    <t>317.576.8473</t>
  </si>
  <si>
    <t>william@ecolightingsolutions.com</t>
  </si>
  <si>
    <t>Rebate Analyst</t>
  </si>
  <si>
    <t>Po Box 2443</t>
  </si>
  <si>
    <t>Spokane</t>
  </si>
  <si>
    <t>971-201-4221</t>
  </si>
  <si>
    <t>503-525-4800</t>
  </si>
  <si>
    <t xml:space="preserve">htaylor@ecova.com </t>
  </si>
  <si>
    <t>Purcell</t>
  </si>
  <si>
    <t>Owner/Manager</t>
  </si>
  <si>
    <t>3801 W. Sundown Ln.</t>
  </si>
  <si>
    <t>Amarillo</t>
  </si>
  <si>
    <t>79118-5022</t>
  </si>
  <si>
    <t>806-467-1567</t>
  </si>
  <si>
    <t>danp@efficiencyenergy.com</t>
  </si>
  <si>
    <t xml:space="preserve">Conway </t>
  </si>
  <si>
    <t xml:space="preserve">Director of Utility Incentives </t>
  </si>
  <si>
    <t xml:space="preserve">1025A N Lake Park Blvd </t>
  </si>
  <si>
    <t xml:space="preserve">Carolina Beach </t>
  </si>
  <si>
    <t>NC</t>
  </si>
  <si>
    <t>888-291-5251</t>
  </si>
  <si>
    <t xml:space="preserve">chris@e2america.com </t>
  </si>
  <si>
    <t>Polski</t>
  </si>
  <si>
    <t>VP of Operations</t>
  </si>
  <si>
    <t>31 Pecks Lane Unit #2</t>
  </si>
  <si>
    <t>Newtown</t>
  </si>
  <si>
    <t>203-270-7400</t>
  </si>
  <si>
    <t>203-270-8400</t>
  </si>
  <si>
    <t>tom@elc-inc.com</t>
  </si>
  <si>
    <t>Dickerson</t>
  </si>
  <si>
    <t>20315 Via Las Villas</t>
  </si>
  <si>
    <t>Yorba Linda</t>
  </si>
  <si>
    <t>281-293-8145</t>
  </si>
  <si>
    <t>281-293-8146</t>
  </si>
  <si>
    <t>jdickerson@efficientlightingmasters.com</t>
  </si>
  <si>
    <t>Eisenbach</t>
  </si>
  <si>
    <t>Managing Director</t>
  </si>
  <si>
    <t>921 Shiloh Road B300</t>
  </si>
  <si>
    <t>Tyler</t>
  </si>
  <si>
    <t>817-966-8603</t>
  </si>
  <si>
    <t>sandy@eisenbachconsulting.com</t>
  </si>
  <si>
    <t>Rose</t>
  </si>
  <si>
    <t>14614 Almeece</t>
  </si>
  <si>
    <t>281-777-0762</t>
  </si>
  <si>
    <t>Gphiliprose@gmail.com</t>
  </si>
  <si>
    <t>Segletes</t>
  </si>
  <si>
    <t>Director</t>
  </si>
  <si>
    <t>3141 Fairview Park Drive</t>
  </si>
  <si>
    <t>Suite 450</t>
  </si>
  <si>
    <t>Falls Church</t>
  </si>
  <si>
    <t>703-205-0445</t>
  </si>
  <si>
    <t>703-205-0449</t>
  </si>
  <si>
    <t>jsegletes@emoenergy.com</t>
  </si>
  <si>
    <t>Zolton</t>
  </si>
  <si>
    <t>28530 Ashlyn Ridge Ln</t>
  </si>
  <si>
    <t>713-498-6360</t>
  </si>
  <si>
    <t>jeff@eli-lighting.com</t>
  </si>
  <si>
    <t>Dweck</t>
  </si>
  <si>
    <t xml:space="preserve">55 Washington St. </t>
  </si>
  <si>
    <t>Suite 302A</t>
  </si>
  <si>
    <t>Brooklyn</t>
  </si>
  <si>
    <t>718-855-5888</t>
  </si>
  <si>
    <t>718-855-3553</t>
  </si>
  <si>
    <t>ricky@enerconsupply.com</t>
  </si>
  <si>
    <t>Energy Specialist</t>
  </si>
  <si>
    <t>Horton</t>
  </si>
  <si>
    <t>5821 W. Sam Houston Parkway N.</t>
  </si>
  <si>
    <t>Suite 400</t>
  </si>
  <si>
    <t xml:space="preserve">Houston </t>
  </si>
  <si>
    <t>281-377-8808</t>
  </si>
  <si>
    <t>855-773-3379</t>
  </si>
  <si>
    <t>ahorton@itseesy.com</t>
  </si>
  <si>
    <t>Watson</t>
  </si>
  <si>
    <t>410 Pierce Street Suite 110</t>
  </si>
  <si>
    <t>832-467-1190</t>
  </si>
  <si>
    <t>cwatson@eesenergyconsulting.com</t>
  </si>
  <si>
    <t>Parsley</t>
  </si>
  <si>
    <t>dparsley@eesenergyconsulting.com</t>
  </si>
  <si>
    <t>Lipinski</t>
  </si>
  <si>
    <t>PE</t>
  </si>
  <si>
    <t>6615 Vaught Ranch Road</t>
  </si>
  <si>
    <t>512-744-4460</t>
  </si>
  <si>
    <t>512-744-4444</t>
  </si>
  <si>
    <t>donlipinski@eeace.com</t>
  </si>
  <si>
    <t>Banks</t>
  </si>
  <si>
    <t>Energy Consultant, c/o Energy Logic, Inc.</t>
  </si>
  <si>
    <t>239 Rt. 28, P.O. Box 204</t>
  </si>
  <si>
    <t>Dennisport</t>
  </si>
  <si>
    <t>508-398-0533</t>
  </si>
  <si>
    <t>508 394 7001</t>
  </si>
  <si>
    <t>cbanks@energylogicinc.com</t>
  </si>
  <si>
    <t>Case</t>
  </si>
  <si>
    <t>Rebate Administrator</t>
  </si>
  <si>
    <t>16305 36th Ave. N., Ste. 100</t>
  </si>
  <si>
    <t>Plymouth</t>
  </si>
  <si>
    <t>952-542-7978</t>
  </si>
  <si>
    <t>952-545-6514</t>
  </si>
  <si>
    <t>jcase@emcllc.us</t>
  </si>
  <si>
    <t>Mansfield</t>
  </si>
  <si>
    <t>Office Manager</t>
  </si>
  <si>
    <t>450 E. 96th St.</t>
  </si>
  <si>
    <t>Ste. 150</t>
  </si>
  <si>
    <t>Indianapolis</t>
  </si>
  <si>
    <t>317-660-7150</t>
  </si>
  <si>
    <t>317-660-7151</t>
  </si>
  <si>
    <t>gillianm@energymanagement.com</t>
  </si>
  <si>
    <t>Currie</t>
  </si>
  <si>
    <t>Commercial Sales</t>
  </si>
  <si>
    <t>3437 Courtyard Circle</t>
  </si>
  <si>
    <t>75234-3777</t>
  </si>
  <si>
    <t>972-877-7372</t>
  </si>
  <si>
    <t>tom.currie@savenergy.net</t>
  </si>
  <si>
    <t>Comercial Sales</t>
  </si>
  <si>
    <t>3767 Forest Lane</t>
  </si>
  <si>
    <t>Ste 124-1118</t>
  </si>
  <si>
    <t>877-6042321</t>
  </si>
  <si>
    <t>Norris</t>
  </si>
  <si>
    <t>4090 H C Meacham Blvd</t>
  </si>
  <si>
    <t>888-473-8763</t>
  </si>
  <si>
    <t>817-886-2544</t>
  </si>
  <si>
    <t>snorris@energyretrofitters.com</t>
  </si>
  <si>
    <t>Barich</t>
  </si>
  <si>
    <t>Energy Directives Manager</t>
  </si>
  <si>
    <t>PO Box 517</t>
  </si>
  <si>
    <t>Mukilteo</t>
  </si>
  <si>
    <t>425-359-9775</t>
  </si>
  <si>
    <t>karli@esmsystems.com</t>
  </si>
  <si>
    <t>Jokar</t>
  </si>
  <si>
    <t>102 Rustic Cedar Trail</t>
  </si>
  <si>
    <t>Georgetown</t>
  </si>
  <si>
    <t>512-577-1686</t>
  </si>
  <si>
    <t>512-233-5840</t>
  </si>
  <si>
    <t>fjokar@energyss.com</t>
  </si>
  <si>
    <t>Simmons</t>
  </si>
  <si>
    <t>1930 Lauder Road</t>
  </si>
  <si>
    <t>281-506-9090</t>
  </si>
  <si>
    <t>281-227-8010</t>
  </si>
  <si>
    <t>bsimmons@entechsales.com</t>
  </si>
  <si>
    <t>Kearns</t>
  </si>
  <si>
    <t>Managere</t>
  </si>
  <si>
    <t>1401 Rusk Avenue</t>
  </si>
  <si>
    <t>Houtons</t>
  </si>
  <si>
    <t>713-315-5205</t>
  </si>
  <si>
    <t>tkearns@entergy.com</t>
  </si>
  <si>
    <t>Oberstein</t>
  </si>
  <si>
    <t>2809 Firethorn Circle</t>
  </si>
  <si>
    <t>Plano</t>
  </si>
  <si>
    <t>214-802-5959</t>
  </si>
  <si>
    <t>972-378-7927</t>
  </si>
  <si>
    <t>ed@enviroliteusa.com</t>
  </si>
  <si>
    <t>LePere</t>
  </si>
  <si>
    <t>Admin Assistant</t>
  </si>
  <si>
    <t xml:space="preserve">10801 Hammerly Blvd. </t>
  </si>
  <si>
    <t>Suite 250</t>
  </si>
  <si>
    <t>281-888-3202</t>
  </si>
  <si>
    <t>281-888-3431</t>
  </si>
  <si>
    <t>slepere@esa-engineers.com</t>
  </si>
  <si>
    <t>Barack</t>
  </si>
  <si>
    <t>309 Pittsfield Road</t>
  </si>
  <si>
    <t>Lenox</t>
  </si>
  <si>
    <t>413-551-0055</t>
  </si>
  <si>
    <t>413-551-0001</t>
  </si>
  <si>
    <t>mbarack@goesco.com</t>
  </si>
  <si>
    <t>Siddons</t>
  </si>
  <si>
    <t>3421 Barcelona Street</t>
  </si>
  <si>
    <t>Denton</t>
  </si>
  <si>
    <t>940-320-6822</t>
  </si>
  <si>
    <t>s.siddons@essentiales.com</t>
  </si>
  <si>
    <t>Spilde</t>
  </si>
  <si>
    <t>r.spilde@essentiales.com</t>
  </si>
  <si>
    <t>Dunlap</t>
  </si>
  <si>
    <t>Rebate Coordinator</t>
  </si>
  <si>
    <t>4811 Nolda St</t>
  </si>
  <si>
    <t>512-680-0990</t>
  </si>
  <si>
    <t>dunlap@me.com</t>
  </si>
  <si>
    <t>Cahan</t>
  </si>
  <si>
    <t>Chief Operating Officer</t>
  </si>
  <si>
    <t>5100 Wilfong Road</t>
  </si>
  <si>
    <t>Memphis</t>
  </si>
  <si>
    <t>TN</t>
  </si>
  <si>
    <t>901-382-7809</t>
  </si>
  <si>
    <t>dustin@evaporcool.com</t>
  </si>
  <si>
    <t>Mager</t>
  </si>
  <si>
    <t>Director of Solutions</t>
  </si>
  <si>
    <t>570 Polaris Pkwy</t>
  </si>
  <si>
    <t>Westerville</t>
  </si>
  <si>
    <t>614-865-8341</t>
  </si>
  <si>
    <t>denise.mager@us.exel.com</t>
  </si>
  <si>
    <t>13614 Sunswept Way</t>
  </si>
  <si>
    <t>77082-1818</t>
  </si>
  <si>
    <t>713-818-4584</t>
  </si>
  <si>
    <t>281-416-5884</t>
  </si>
  <si>
    <t>jd1094@sbcglobal.net</t>
  </si>
  <si>
    <t>Deaver</t>
  </si>
  <si>
    <t>502 Freeport Street</t>
  </si>
  <si>
    <t>713-455-4928</t>
  </si>
  <si>
    <t>ddeaverexpress@aol.com</t>
  </si>
  <si>
    <t>Hohneke</t>
  </si>
  <si>
    <t>SVP Operations</t>
  </si>
  <si>
    <t>12933 Brittmoore Park Dr.</t>
  </si>
  <si>
    <t>713-980-2880</t>
  </si>
  <si>
    <t>jhohneke@facilitiesmechanical.com</t>
  </si>
  <si>
    <t>Dwyer</t>
  </si>
  <si>
    <t>Division Manager</t>
  </si>
  <si>
    <t>briand@fsgi.com</t>
  </si>
  <si>
    <t>Poole</t>
  </si>
  <si>
    <t>Principal</t>
  </si>
  <si>
    <t>2914 Taylorcrest Dr.</t>
  </si>
  <si>
    <t>832-647-4853</t>
  </si>
  <si>
    <t>gpoole@fe2solutions.com</t>
  </si>
  <si>
    <t>GARCIA</t>
  </si>
  <si>
    <t>Administrative Services Engr Manager</t>
  </si>
  <si>
    <t>1801 Allen Parkway</t>
  </si>
  <si>
    <t>713-870-6584</t>
  </si>
  <si>
    <t>JACOB.GARCIA@DAL.FRB.ORG</t>
  </si>
  <si>
    <t>Ghent</t>
  </si>
  <si>
    <t>Business Development</t>
  </si>
  <si>
    <t>3071 N Dixie Hwy</t>
  </si>
  <si>
    <t>954-786-8006</t>
  </si>
  <si>
    <t>nbruno@finelinecorp.com</t>
  </si>
  <si>
    <t>Sanins</t>
  </si>
  <si>
    <t>Administrative Coordinator</t>
  </si>
  <si>
    <t>5601 Fifth Street</t>
  </si>
  <si>
    <t>Katy</t>
  </si>
  <si>
    <t>281-391-2121</t>
  </si>
  <si>
    <t>281-391-7661</t>
  </si>
  <si>
    <t>dsanins@firstmethodistkaty.com</t>
  </si>
  <si>
    <t>Goetz</t>
  </si>
  <si>
    <t>Director - Sustainability &amp; Energy Management</t>
  </si>
  <si>
    <t>100 Fluor Daniel Drive</t>
  </si>
  <si>
    <t>C303C</t>
  </si>
  <si>
    <t>Greenville</t>
  </si>
  <si>
    <t>SC</t>
  </si>
  <si>
    <t>864-281-4123</t>
  </si>
  <si>
    <t>jeffrey.goetz@fluor.com</t>
  </si>
  <si>
    <t>Dunkin</t>
  </si>
  <si>
    <t>VP, Operations</t>
  </si>
  <si>
    <t>14209 29th Street East</t>
  </si>
  <si>
    <t>Suite 105</t>
  </si>
  <si>
    <t>Sumner</t>
  </si>
  <si>
    <t>253-826-9004</t>
  </si>
  <si>
    <t>LDunkin@FluxDrive.com</t>
  </si>
  <si>
    <t>Franke</t>
  </si>
  <si>
    <t>Technical Manager</t>
  </si>
  <si>
    <t>3310 Highway 36 North</t>
  </si>
  <si>
    <t>Rosenberg</t>
  </si>
  <si>
    <t>281-232-1550</t>
  </si>
  <si>
    <t>281 232 1516</t>
  </si>
  <si>
    <t>mark.franke1@fritolay.com</t>
  </si>
  <si>
    <t>Frontier Testing</t>
  </si>
  <si>
    <t>123-456-7890</t>
  </si>
  <si>
    <t>lclark@frontierassoc.com</t>
  </si>
  <si>
    <t>McGuire</t>
  </si>
  <si>
    <t>2525 WALNUT HILL LANE</t>
  </si>
  <si>
    <t>SUITE 400</t>
  </si>
  <si>
    <t>DALLAS</t>
  </si>
  <si>
    <t>214-351-6266</t>
  </si>
  <si>
    <t>214-357-5789</t>
  </si>
  <si>
    <t>garrett.mcguire@fsgi.com</t>
  </si>
  <si>
    <t>Williams</t>
  </si>
  <si>
    <t>Director of Service</t>
  </si>
  <si>
    <t>11875 W. Little York, Suite 208</t>
  </si>
  <si>
    <t>281-780-7944</t>
  </si>
  <si>
    <t>512-528-1959</t>
  </si>
  <si>
    <t>lisa@grelectric.net</t>
  </si>
  <si>
    <t>Popiak</t>
  </si>
  <si>
    <t>Energy specialist</t>
  </si>
  <si>
    <t xml:space="preserve">2 Folsom st </t>
  </si>
  <si>
    <t xml:space="preserve">Charlotte </t>
  </si>
  <si>
    <t>860-933-9441</t>
  </si>
  <si>
    <t>lucas.popiak@capitollight.com</t>
  </si>
  <si>
    <t>Schwarz</t>
  </si>
  <si>
    <t>Director Real Estate</t>
  </si>
  <si>
    <t>19411 Atrium Place</t>
  </si>
  <si>
    <t>Suite 170</t>
  </si>
  <si>
    <t>832-391-7325</t>
  </si>
  <si>
    <t>cschwarz@gardenridge.com</t>
  </si>
  <si>
    <t>Draper</t>
  </si>
  <si>
    <t>Sales</t>
  </si>
  <si>
    <t>6901 West Tidwell Rd</t>
  </si>
  <si>
    <t>713-939-5111</t>
  </si>
  <si>
    <t>valerie.draper@gexpro.com</t>
  </si>
  <si>
    <t>Goodrum</t>
  </si>
  <si>
    <t>1409 Jones Road</t>
  </si>
  <si>
    <t>Highlands</t>
  </si>
  <si>
    <t>281-426-6598</t>
  </si>
  <si>
    <t>281-426-3881</t>
  </si>
  <si>
    <t>tera@excelmechanicaltx.com</t>
  </si>
  <si>
    <t>Stolzenburg</t>
  </si>
  <si>
    <t>Manager, Lighting Business Development</t>
  </si>
  <si>
    <t>6161 Bingle Road</t>
  </si>
  <si>
    <t>281-814-2829</t>
  </si>
  <si>
    <t>Dale.Stolzenburg@graybar.com</t>
  </si>
  <si>
    <t>MOHIUDDIN</t>
  </si>
  <si>
    <t>VP. OPERATIONS</t>
  </si>
  <si>
    <t>P O BOX 10294</t>
  </si>
  <si>
    <t>BEAUMONT</t>
  </si>
  <si>
    <t>409-466-2813</t>
  </si>
  <si>
    <t>SYED@TXGBSNETWORK.COM</t>
  </si>
  <si>
    <t>SanDoval</t>
  </si>
  <si>
    <t>8120 Woodmont Avenue</t>
  </si>
  <si>
    <t>Bethesda</t>
  </si>
  <si>
    <t>MD</t>
  </si>
  <si>
    <t>301-202-2936</t>
  </si>
  <si>
    <t>nino@greengenerationsolutions.com</t>
  </si>
  <si>
    <t>McAlinden</t>
  </si>
  <si>
    <t>1727 S Indiana</t>
  </si>
  <si>
    <t>#117</t>
  </si>
  <si>
    <t>michael.mcalinden@greenlightmidwest.com</t>
  </si>
  <si>
    <t>Coons</t>
  </si>
  <si>
    <t xml:space="preserve">PO Box 1132 </t>
  </si>
  <si>
    <t>512-448-2300</t>
  </si>
  <si>
    <t>richard@greenlight-es.com</t>
  </si>
  <si>
    <t>Flynn</t>
  </si>
  <si>
    <t>10 Willow Ave.</t>
  </si>
  <si>
    <t>Larkspur</t>
  </si>
  <si>
    <t>415-924-8250</t>
  </si>
  <si>
    <t>tomflynn@sonic.net</t>
  </si>
  <si>
    <t>King</t>
  </si>
  <si>
    <t>Plant Manager</t>
  </si>
  <si>
    <t>9280 Baythorne Dr</t>
  </si>
  <si>
    <t>713-462-0073</t>
  </si>
  <si>
    <t>mandon.king@greif.com</t>
  </si>
  <si>
    <t>Linden</t>
  </si>
  <si>
    <t>Sales Engineer</t>
  </si>
  <si>
    <t>96 Swampscott Rd</t>
  </si>
  <si>
    <t>Salem</t>
  </si>
  <si>
    <t>781-589-7332</t>
  </si>
  <si>
    <t>978 306-6053</t>
  </si>
  <si>
    <t>mlinden@groomenergy,com</t>
  </si>
  <si>
    <t>Scorrano</t>
  </si>
  <si>
    <t>16 Frances Drive</t>
  </si>
  <si>
    <t>Katonah</t>
  </si>
  <si>
    <t>914-263-1199</t>
  </si>
  <si>
    <t>mscorrano@en-powergroup.com</t>
  </si>
  <si>
    <t>Hargrave</t>
  </si>
  <si>
    <t>14021 Hargrave Rd</t>
  </si>
  <si>
    <t>281-955-5491</t>
  </si>
  <si>
    <t>281-955-5698</t>
  </si>
  <si>
    <t>bryan@hargraveelectric.com</t>
  </si>
  <si>
    <t>Glassburn</t>
  </si>
  <si>
    <t>5128 W 79th St</t>
  </si>
  <si>
    <t>317-872-4242</t>
  </si>
  <si>
    <t>rglassburn@shambaugh.com</t>
  </si>
  <si>
    <t>Walker</t>
  </si>
  <si>
    <t>6300 A Hart Lane</t>
  </si>
  <si>
    <t>512-317-3834</t>
  </si>
  <si>
    <t>cwe1@live.com</t>
  </si>
  <si>
    <t>2404 Monaco Dr</t>
  </si>
  <si>
    <t>Cedar Park</t>
  </si>
  <si>
    <t>Garza</t>
  </si>
  <si>
    <t>Engineer</t>
  </si>
  <si>
    <t xml:space="preserve">646 S. Main </t>
  </si>
  <si>
    <t>210-938-7244</t>
  </si>
  <si>
    <t>210-938-7728</t>
  </si>
  <si>
    <t>garza.manuel@heb.com</t>
  </si>
  <si>
    <t>Coyan</t>
  </si>
  <si>
    <t>Professional Engineer Level II</t>
  </si>
  <si>
    <t>8325 Lenexa Drive</t>
  </si>
  <si>
    <t>Lenexa</t>
  </si>
  <si>
    <t>913-742-5347</t>
  </si>
  <si>
    <t>lisa.coyan@hei-eng.com</t>
  </si>
  <si>
    <t>Geniza</t>
  </si>
  <si>
    <t>Sustaining Engineer</t>
  </si>
  <si>
    <t>1000 NE Circle Blvd.  Mail Stop 415A</t>
  </si>
  <si>
    <t>Corvallis</t>
  </si>
  <si>
    <t>OR</t>
  </si>
  <si>
    <t>541-715-6895</t>
  </si>
  <si>
    <t>541-715-8633</t>
  </si>
  <si>
    <t>rene.geniza@hp.com</t>
  </si>
  <si>
    <t>Levandoski</t>
  </si>
  <si>
    <t>4544 S. Pinemont, Suite 208</t>
  </si>
  <si>
    <t>713-266-6464</t>
  </si>
  <si>
    <t>george@hohi.net</t>
  </si>
  <si>
    <t>Hillhouse</t>
  </si>
  <si>
    <t>8100 Oak Knoll Drive</t>
  </si>
  <si>
    <t>North Richland Hills</t>
  </si>
  <si>
    <t>817-428-0042</t>
  </si>
  <si>
    <t>817-428-9808</t>
  </si>
  <si>
    <t>mike@hillhousepower.com</t>
  </si>
  <si>
    <t>Melendez</t>
  </si>
  <si>
    <t>Project Coordinator</t>
  </si>
  <si>
    <t>6709 Hornwood Dr.</t>
  </si>
  <si>
    <t>ste 307</t>
  </si>
  <si>
    <t>alice@hkhouston.com</t>
  </si>
  <si>
    <t>Crews</t>
  </si>
  <si>
    <t>Energy Analyst</t>
  </si>
  <si>
    <t>7707 SW 44th Street</t>
  </si>
  <si>
    <t>Oklahoma City</t>
  </si>
  <si>
    <t>OK</t>
  </si>
  <si>
    <t>405-745-6184</t>
  </si>
  <si>
    <t>kathryn.crews@hobbylobby.com</t>
  </si>
  <si>
    <t>Foreman</t>
  </si>
  <si>
    <t>440 Louisiana, Suite 900</t>
  </si>
  <si>
    <t>713-459-8568</t>
  </si>
  <si>
    <t>lforeman@venturioutcomes.com</t>
  </si>
  <si>
    <t>Smyer</t>
  </si>
  <si>
    <t>Senior Staff Analyst</t>
  </si>
  <si>
    <t>George R. Brown Convention Center</t>
  </si>
  <si>
    <t>1001 Avenida de las Americas</t>
  </si>
  <si>
    <t>713-853-8287</t>
  </si>
  <si>
    <t>713-853-8290</t>
  </si>
  <si>
    <t>thomas.smyer@houstonfirst.com</t>
  </si>
  <si>
    <t>Black</t>
  </si>
  <si>
    <t>General Partner</t>
  </si>
  <si>
    <t>22503 Katy Freeway, Suite 18</t>
  </si>
  <si>
    <t>713-774-5750</t>
  </si>
  <si>
    <t>jblack721@aol.com</t>
  </si>
  <si>
    <t>Colborne</t>
  </si>
  <si>
    <t>10555 Westpark</t>
  </si>
  <si>
    <t>713-266-3900</t>
  </si>
  <si>
    <t>bjcolborne@trane.com</t>
  </si>
  <si>
    <t>Burrow</t>
  </si>
  <si>
    <t>5622 Luce St.</t>
  </si>
  <si>
    <t>832-358-7495</t>
  </si>
  <si>
    <t>tburrow@huntongroup.com</t>
  </si>
  <si>
    <t>Devlin</t>
  </si>
  <si>
    <t>713-643-8336</t>
  </si>
  <si>
    <t>jdevlin@huntongroup.com</t>
  </si>
  <si>
    <t xml:space="preserve">Operations Manager </t>
  </si>
  <si>
    <t>5821 w sam houston parkway north</t>
  </si>
  <si>
    <t xml:space="preserve">houston </t>
  </si>
  <si>
    <t>832-467-1170</t>
  </si>
  <si>
    <t>hrahman@huperoptikusa.com</t>
  </si>
  <si>
    <t>Barrow</t>
  </si>
  <si>
    <t>Two Greenway Plaza, Suite 700</t>
  </si>
  <si>
    <t>713-860-3674</t>
  </si>
  <si>
    <t>713 860-3799</t>
  </si>
  <si>
    <t>tbarrow@ianaman.com</t>
  </si>
  <si>
    <t>Burghli</t>
  </si>
  <si>
    <t>Managing Member</t>
  </si>
  <si>
    <t>4615 N. Freeway # 100</t>
  </si>
  <si>
    <t>713-692-6252</t>
  </si>
  <si>
    <t>713-692-6063</t>
  </si>
  <si>
    <t>i45n@sbcglobal.net</t>
  </si>
  <si>
    <t>MICHALAK</t>
  </si>
  <si>
    <t>PROJECT MANAGER</t>
  </si>
  <si>
    <t>121 EAST ASCOT LANE</t>
  </si>
  <si>
    <t>CUYAHOGA FALLS</t>
  </si>
  <si>
    <t>800-644-2566</t>
  </si>
  <si>
    <t>888-445-4500</t>
  </si>
  <si>
    <t>dmichalak@illumetek.com</t>
  </si>
  <si>
    <t>Brokhin</t>
  </si>
  <si>
    <t>Director of Operatons</t>
  </si>
  <si>
    <t>713-206-1565</t>
  </si>
  <si>
    <t>Pbrokhin@imperialsustainability.com</t>
  </si>
  <si>
    <t>c/o RealWinWin</t>
  </si>
  <si>
    <t>PO Box 15787</t>
  </si>
  <si>
    <t>Philadelphia</t>
  </si>
  <si>
    <t>215-732-4480</t>
  </si>
  <si>
    <t>215-732-0477</t>
  </si>
  <si>
    <t>lurwitz@realwinwin.com</t>
  </si>
  <si>
    <t>Kammerer</t>
  </si>
  <si>
    <t>Corporate Secretary</t>
  </si>
  <si>
    <t>17480 Dallas Parkway</t>
  </si>
  <si>
    <t>Suite 215</t>
  </si>
  <si>
    <t>214-461-1700</t>
  </si>
  <si>
    <t>214-461-1701</t>
  </si>
  <si>
    <t>johnny.kammerer@ipcenergy.com</t>
  </si>
  <si>
    <t>Rice</t>
  </si>
  <si>
    <t>8606 Riverwood Drive</t>
  </si>
  <si>
    <t>North Little Rock</t>
  </si>
  <si>
    <t>AR</t>
  </si>
  <si>
    <t>501-851-9990</t>
  </si>
  <si>
    <t>501-851-9985</t>
  </si>
  <si>
    <t>jrice@innpower.com</t>
  </si>
  <si>
    <t>Nobis</t>
  </si>
  <si>
    <t>Texas Regional Sales Manager</t>
  </si>
  <si>
    <t>12610 West Airport Blvd, Suite 100</t>
  </si>
  <si>
    <t>Sugar Land</t>
  </si>
  <si>
    <t>832-578-5259</t>
  </si>
  <si>
    <t>tom.nobis@wilsonmohr.com</t>
  </si>
  <si>
    <t>Kowenhoven</t>
  </si>
  <si>
    <t>Rubicon Energy Management</t>
  </si>
  <si>
    <t>130 Tanglewood Dr.</t>
  </si>
  <si>
    <t>Pittsburgh</t>
  </si>
  <si>
    <t>412-735-2674</t>
  </si>
  <si>
    <t>tkowenhoven@energyenablement.com</t>
  </si>
  <si>
    <t>Duong</t>
  </si>
  <si>
    <t>bduong@realwinwin.com</t>
  </si>
  <si>
    <t>Wood</t>
  </si>
  <si>
    <t>5415 Yale St</t>
  </si>
  <si>
    <t>713-699-0555</t>
  </si>
  <si>
    <t>713-699-0864</t>
  </si>
  <si>
    <t>jameslwood@comcast.net</t>
  </si>
  <si>
    <t>Granda</t>
  </si>
  <si>
    <t>COO</t>
  </si>
  <si>
    <t>14015 Interdrive West</t>
  </si>
  <si>
    <t>rgranda@jandvelectric.com</t>
  </si>
  <si>
    <t>Mickler</t>
  </si>
  <si>
    <t>2000 W. Parkwood</t>
  </si>
  <si>
    <t>Friendswood</t>
  </si>
  <si>
    <t>281-286-6666</t>
  </si>
  <si>
    <t>281.480.7510</t>
  </si>
  <si>
    <t>jmickler@jacobwhitecc.com</t>
  </si>
  <si>
    <t>Neal</t>
  </si>
  <si>
    <t>Electrician</t>
  </si>
  <si>
    <t>611 W. Manning street</t>
  </si>
  <si>
    <t>Chattanooga</t>
  </si>
  <si>
    <t>423-421-4797</t>
  </si>
  <si>
    <t>eneal@jmservice.com</t>
  </si>
  <si>
    <t>Tolbert</t>
  </si>
  <si>
    <t>5631 Stratum Dr</t>
  </si>
  <si>
    <t>817-589-1545</t>
  </si>
  <si>
    <t>btolbert@jbielectric.com</t>
  </si>
  <si>
    <t>Swift</t>
  </si>
  <si>
    <t>Consultant</t>
  </si>
  <si>
    <t>800 W. Broad St</t>
  </si>
  <si>
    <t>SUITE 303</t>
  </si>
  <si>
    <t>703-639-4265</t>
  </si>
  <si>
    <t>aswift@jdmgmt.com</t>
  </si>
  <si>
    <t xml:space="preserve">Whitten </t>
  </si>
  <si>
    <t>13279 Pond Springs Rd., Suite 3</t>
  </si>
  <si>
    <t>512-250-0999</t>
  </si>
  <si>
    <t>512-250-9711</t>
  </si>
  <si>
    <t>Cindy@jimwhitten.com</t>
  </si>
  <si>
    <t>Kapp</t>
  </si>
  <si>
    <t>20514 Withington Drive</t>
  </si>
  <si>
    <t>281-636-2443</t>
  </si>
  <si>
    <t>tiffany@knladvisors.com</t>
  </si>
  <si>
    <t>FABER</t>
  </si>
  <si>
    <t>VP OF FINANCE AND ADMINISTRATION</t>
  </si>
  <si>
    <t>PO BOX 959</t>
  </si>
  <si>
    <t xml:space="preserve">LAPORTE </t>
  </si>
  <si>
    <t>281-941-1024</t>
  </si>
  <si>
    <t>DFABER@KTNUSA.COM</t>
  </si>
  <si>
    <t>Blackwood</t>
  </si>
  <si>
    <t>Member</t>
  </si>
  <si>
    <t>5613 Lafayette Lane</t>
  </si>
  <si>
    <t>Frisco</t>
  </si>
  <si>
    <t>214-682-5831</t>
  </si>
  <si>
    <t>972-335-4038</t>
  </si>
  <si>
    <t>knallcwb@aol.com</t>
  </si>
  <si>
    <t>VP Energy management</t>
  </si>
  <si>
    <t>3455 Mist Hollow Ct</t>
  </si>
  <si>
    <t>832-928-7837</t>
  </si>
  <si>
    <t>travis.rice@kingsgateenergy.com</t>
  </si>
  <si>
    <t>Roberts</t>
  </si>
  <si>
    <t>1909 Desoto Dr</t>
  </si>
  <si>
    <t>McKinney</t>
  </si>
  <si>
    <t>214-491-0366</t>
  </si>
  <si>
    <t>214-548-5226</t>
  </si>
  <si>
    <t>miker.kirenergy@gmail.com</t>
  </si>
  <si>
    <t>UPADHYAYA</t>
  </si>
  <si>
    <t>ENERGY ANALYST</t>
  </si>
  <si>
    <t>6909 PORTWEST DRIVE</t>
  </si>
  <si>
    <t>713-426-7508</t>
  </si>
  <si>
    <t>kapilu@kirksey.com</t>
  </si>
  <si>
    <t>Corbitt</t>
  </si>
  <si>
    <t>7200 Spring Cypress Road</t>
  </si>
  <si>
    <t>832-249-4474</t>
  </si>
  <si>
    <t>jcorbitt1@kleinisd.net</t>
  </si>
  <si>
    <t xml:space="preserve">Selby </t>
  </si>
  <si>
    <t>10168 Linn Station Road</t>
  </si>
  <si>
    <t>502-423-4180</t>
  </si>
  <si>
    <t xml:space="preserve">502-423-4710 </t>
  </si>
  <si>
    <t>kip.selby@kroger.com</t>
  </si>
  <si>
    <t>Ernstberger</t>
  </si>
  <si>
    <t>Mananger</t>
  </si>
  <si>
    <t>13271 O'Bannon Station Way</t>
  </si>
  <si>
    <t>tim.ernstberger@bluestoneconstruct.com</t>
  </si>
  <si>
    <t>Seeling</t>
  </si>
  <si>
    <t>Corporate Incentive Engineer</t>
  </si>
  <si>
    <t>1014 Vine St - 19th Floor</t>
  </si>
  <si>
    <t>513-762-7047</t>
  </si>
  <si>
    <t>513-562-5058</t>
  </si>
  <si>
    <t>kyle.seeling@kroger.com</t>
  </si>
  <si>
    <t>Lara</t>
  </si>
  <si>
    <t>16801 Radholme Ct Suite E</t>
  </si>
  <si>
    <t xml:space="preserve">Round Rock </t>
  </si>
  <si>
    <t>512-252-1143</t>
  </si>
  <si>
    <t>alara@lgenergys.com</t>
  </si>
  <si>
    <t>Zubel</t>
  </si>
  <si>
    <t>11111 Wilcrest Green, #100</t>
  </si>
  <si>
    <t>713-817-0632</t>
  </si>
  <si>
    <t>713-789-2010</t>
  </si>
  <si>
    <t>mzubel@landmarkindustries.com</t>
  </si>
  <si>
    <t>Caplan</t>
  </si>
  <si>
    <t>933 Wakefield Dr.</t>
  </si>
  <si>
    <t>281-822-5233</t>
  </si>
  <si>
    <t>scaplan@langemechanical.com</t>
  </si>
  <si>
    <t>Pitts</t>
  </si>
  <si>
    <t>Sir</t>
  </si>
  <si>
    <t>1507 Tuam St</t>
  </si>
  <si>
    <t>houston</t>
  </si>
  <si>
    <t>832-740-7983</t>
  </si>
  <si>
    <t>jpitts@ledlightingofhouston.com</t>
  </si>
  <si>
    <t>Wu</t>
  </si>
  <si>
    <t>Sales Manager</t>
  </si>
  <si>
    <t>10611 Harwin Dr Ste 402</t>
  </si>
  <si>
    <t>713-636-9152</t>
  </si>
  <si>
    <t>michael.wu@ledi2.com</t>
  </si>
  <si>
    <t>Letsos III</t>
  </si>
  <si>
    <t>President / CEO</t>
  </si>
  <si>
    <t>P.O. Box 36927</t>
  </si>
  <si>
    <t>8435 Westglen Dr.</t>
  </si>
  <si>
    <t>713-783-3200</t>
  </si>
  <si>
    <t>713-972-7880</t>
  </si>
  <si>
    <t>jletsos@letsos.com</t>
  </si>
  <si>
    <t>Grogean</t>
  </si>
  <si>
    <t>Utilities Manager</t>
  </si>
  <si>
    <t>12001 North Freeway</t>
  </si>
  <si>
    <t>720-888-3802</t>
  </si>
  <si>
    <t>Steve.Grogean@Level3.com</t>
  </si>
  <si>
    <t>Golden</t>
  </si>
  <si>
    <t>15915 Darton St.</t>
  </si>
  <si>
    <t>800-927-5181</t>
  </si>
  <si>
    <t>(281)438-4070</t>
  </si>
  <si>
    <t>goldencalvin@yahoo.com</t>
  </si>
  <si>
    <t>GOLDEN</t>
  </si>
  <si>
    <t>15915 DARTON ST.</t>
  </si>
  <si>
    <t>713-291-7922</t>
  </si>
  <si>
    <t>calvin.golden@sbcglobal.net</t>
  </si>
  <si>
    <t>Brennan</t>
  </si>
  <si>
    <t>National Incentives Analyst</t>
  </si>
  <si>
    <t>16-A Oak Branch Dr</t>
  </si>
  <si>
    <t>Greensboro</t>
  </si>
  <si>
    <t>336-852-5656</t>
  </si>
  <si>
    <t>bbrennan@lime-energy.com</t>
  </si>
  <si>
    <t>Ivy</t>
  </si>
  <si>
    <t>7801 N. Lamar, Suite C63</t>
  </si>
  <si>
    <t>512-452-7917</t>
  </si>
  <si>
    <t>512-452-9049</t>
  </si>
  <si>
    <t>jivy@lime-energy.com</t>
  </si>
  <si>
    <t>Nelson</t>
  </si>
  <si>
    <t>12611 Hiddencreek Way #G</t>
  </si>
  <si>
    <t>Cerritos</t>
  </si>
  <si>
    <t>562-805-3897</t>
  </si>
  <si>
    <t>562 404 2782</t>
  </si>
  <si>
    <t>jeff.nelson@thelincgroup.com</t>
  </si>
  <si>
    <t>Nix</t>
  </si>
  <si>
    <t>General Manager</t>
  </si>
  <si>
    <t>11710 North Freeway</t>
  </si>
  <si>
    <t>832-364-3965</t>
  </si>
  <si>
    <t>713-692-8767</t>
  </si>
  <si>
    <t>jim.nix@thelincgroup.com</t>
  </si>
  <si>
    <t>Hincher</t>
  </si>
  <si>
    <t>Real Estate Site Incentives Manager</t>
  </si>
  <si>
    <t>P.O. Box 1111</t>
  </si>
  <si>
    <t>N. Wilkesboro</t>
  </si>
  <si>
    <t>336-658-4640</t>
  </si>
  <si>
    <t>Bradley.s.Hincher@lowes.com</t>
  </si>
  <si>
    <t>Perdomo</t>
  </si>
  <si>
    <t>PTAC Rebate Project Coordinator</t>
  </si>
  <si>
    <t>909 Hidden Ridge</t>
  </si>
  <si>
    <t>Ste. 600</t>
  </si>
  <si>
    <t>469-867-6447</t>
  </si>
  <si>
    <t>eperdomo2009@yahoo.com</t>
  </si>
  <si>
    <t>Lutron Utility Team</t>
  </si>
  <si>
    <t>11706 Edgewater Ct</t>
  </si>
  <si>
    <t>Montgomery</t>
  </si>
  <si>
    <t>936-537-0532</t>
  </si>
  <si>
    <t>rmiller@lutron.com</t>
  </si>
  <si>
    <t>Henkin</t>
  </si>
  <si>
    <t>Director Energy Projects</t>
  </si>
  <si>
    <t>20 Keyland Ct.</t>
  </si>
  <si>
    <t>Bohemia</t>
  </si>
  <si>
    <t>864-386-3866</t>
  </si>
  <si>
    <t>chenkin@lvienergy.com</t>
  </si>
  <si>
    <t>Assist. Business Admin</t>
  </si>
  <si>
    <t>14777 Chrisman Road, Houston, TX 77039</t>
  </si>
  <si>
    <t>2092 N Batavia St, Orange, CA 92865</t>
  </si>
  <si>
    <t>14777 Chrisman St</t>
  </si>
  <si>
    <t>714-685-2764</t>
  </si>
  <si>
    <t>714 685 2778</t>
  </si>
  <si>
    <t>vijayan@msistone.com</t>
  </si>
  <si>
    <t>MAPLES</t>
  </si>
  <si>
    <t>1111 COLUMBIA CT.</t>
  </si>
  <si>
    <t>281-633-0524</t>
  </si>
  <si>
    <t>LESLIE@MCLIGHTINGMAINTENANCE.COM</t>
  </si>
  <si>
    <t>Radel</t>
  </si>
  <si>
    <t>Associate Manager of Rebates</t>
  </si>
  <si>
    <t>7 W Seventh St</t>
  </si>
  <si>
    <t>513-579-7169</t>
  </si>
  <si>
    <t>maureen.radel@macys.com</t>
  </si>
  <si>
    <t>Maneri</t>
  </si>
  <si>
    <t>1620 W Sam Houston Pkwy N</t>
  </si>
  <si>
    <t>832-358-3900</t>
  </si>
  <si>
    <t>832-358-3927</t>
  </si>
  <si>
    <t>john@ma-llc.net</t>
  </si>
  <si>
    <t>Heintz</t>
  </si>
  <si>
    <t>5534 Armour Drive</t>
  </si>
  <si>
    <t>713-672-9811</t>
  </si>
  <si>
    <t>pheintz@bedframes.com</t>
  </si>
  <si>
    <t>POB 1434</t>
  </si>
  <si>
    <t>jzolton@marlinenvironmental.com</t>
  </si>
  <si>
    <t>DeBerry</t>
  </si>
  <si>
    <t>South Central Zone Manager</t>
  </si>
  <si>
    <t>10430 Mula Rd</t>
  </si>
  <si>
    <t>832-347-3256</t>
  </si>
  <si>
    <t>ddeberry@matheson-trigas.com</t>
  </si>
  <si>
    <t>Rieger</t>
  </si>
  <si>
    <t>CI Manager</t>
  </si>
  <si>
    <t>3900 Harrisburg Blvd</t>
  </si>
  <si>
    <t>713-221-9240</t>
  </si>
  <si>
    <t>713-221-8719</t>
  </si>
  <si>
    <t>yvonne.rieger@maximuscoffee.com</t>
  </si>
  <si>
    <t>Drennon</t>
  </si>
  <si>
    <t>Cx Agent</t>
  </si>
  <si>
    <t>320 Seven Springs Way</t>
  </si>
  <si>
    <t>Suite 115</t>
  </si>
  <si>
    <t>Brentwood</t>
  </si>
  <si>
    <t>615-312-6493</t>
  </si>
  <si>
    <t>ddrennon@mazzetti.com</t>
  </si>
  <si>
    <t>Contract Developer</t>
  </si>
  <si>
    <t>1229 West 34th</t>
  </si>
  <si>
    <t>281-924-8064</t>
  </si>
  <si>
    <t>713-864-7776</t>
  </si>
  <si>
    <t>llumsden@mcBrideinc.con</t>
  </si>
  <si>
    <t>Woodhouse</t>
  </si>
  <si>
    <t>Lighting Project Coordinator</t>
  </si>
  <si>
    <t>5005 3rd. Ave S.</t>
  </si>
  <si>
    <t>Seattle</t>
  </si>
  <si>
    <t>253-347-0400</t>
  </si>
  <si>
    <t>benw@mckinstry.com</t>
  </si>
  <si>
    <t>beyene</t>
  </si>
  <si>
    <t>Energy Manager-Utility Resource Management</t>
  </si>
  <si>
    <t>p.o.box 301402</t>
  </si>
  <si>
    <t>Unit 608</t>
  </si>
  <si>
    <t>713-563-1128</t>
  </si>
  <si>
    <t>713-563-1131</t>
  </si>
  <si>
    <t>ktbeyene@mdanderson.org</t>
  </si>
  <si>
    <t>Sledge</t>
  </si>
  <si>
    <t xml:space="preserve">PO Box 32607 </t>
  </si>
  <si>
    <t>Charlotte</t>
  </si>
  <si>
    <t>704-293-8254</t>
  </si>
  <si>
    <t>704-943-1785</t>
  </si>
  <si>
    <t>neal.sledge@msssolutions.com</t>
  </si>
  <si>
    <t>Matchett</t>
  </si>
  <si>
    <t>5140 River Valley Road</t>
  </si>
  <si>
    <t>Milford</t>
  </si>
  <si>
    <t>512-529-8284</t>
  </si>
  <si>
    <t>jmatchett@melinkcorp.com</t>
  </si>
  <si>
    <t>Bliss</t>
  </si>
  <si>
    <t>Director Facilities</t>
  </si>
  <si>
    <t>11612 Memorial Drive</t>
  </si>
  <si>
    <t>713-490-2012</t>
  </si>
  <si>
    <t>713-953-2584</t>
  </si>
  <si>
    <t>carterb@mdpc.org</t>
  </si>
  <si>
    <t>la</t>
  </si>
  <si>
    <t>lala</t>
  </si>
  <si>
    <t>9191 dllas</t>
  </si>
  <si>
    <t>819-100-1110</t>
  </si>
  <si>
    <t>dllorensd@kpmg.com</t>
  </si>
  <si>
    <t>Brekke</t>
  </si>
  <si>
    <t>800 Bent Branch Dr.</t>
  </si>
  <si>
    <t>972-409-5711</t>
  </si>
  <si>
    <t>972-409-1363</t>
  </si>
  <si>
    <t>brekkek@michaels.com</t>
  </si>
  <si>
    <t>Gordon</t>
  </si>
  <si>
    <t>Controller</t>
  </si>
  <si>
    <t>14647 W. 95th St.</t>
  </si>
  <si>
    <t>913-495-9800</t>
  </si>
  <si>
    <t>913-541-8800</t>
  </si>
  <si>
    <t>Dana@mirorlighting.com</t>
  </si>
  <si>
    <t>Solis</t>
  </si>
  <si>
    <t>Maintenance/Facilities Supervisor</t>
  </si>
  <si>
    <t>8146 Miller Road 2</t>
  </si>
  <si>
    <t>281-456-0950</t>
  </si>
  <si>
    <t>DOMINGUEZ</t>
  </si>
  <si>
    <t>4960 CRANSWICK RD.</t>
  </si>
  <si>
    <t>281-657-5702</t>
  </si>
  <si>
    <t>maxd@modulight.com.mx</t>
  </si>
  <si>
    <t>Janecka</t>
  </si>
  <si>
    <t>Service Provider</t>
  </si>
  <si>
    <t>2148 Pomona Blvd</t>
  </si>
  <si>
    <t>Pomona</t>
  </si>
  <si>
    <t>979-249-7395</t>
  </si>
  <si>
    <t>jjanecka@montereycorp.com</t>
  </si>
  <si>
    <t>Koen</t>
  </si>
  <si>
    <t>402 E. Tidwell</t>
  </si>
  <si>
    <t>PO Box 16008</t>
  </si>
  <si>
    <t>713-692-7702</t>
  </si>
  <si>
    <t>713-692-1311</t>
  </si>
  <si>
    <t>mwkoen@mrtlighting.com</t>
  </si>
  <si>
    <t>Gowing</t>
  </si>
  <si>
    <t>Project Design and Development</t>
  </si>
  <si>
    <t>250 Hembree Park Drive</t>
  </si>
  <si>
    <t>Suite 114</t>
  </si>
  <si>
    <t>Roswell</t>
  </si>
  <si>
    <t>GA</t>
  </si>
  <si>
    <t>678-832-1752</t>
  </si>
  <si>
    <t>770-360-9031</t>
  </si>
  <si>
    <t>Antonelli</t>
  </si>
  <si>
    <t>245 Lower Morrisville Rd</t>
  </si>
  <si>
    <t>Fallsington</t>
  </si>
  <si>
    <t>215-416-9427</t>
  </si>
  <si>
    <t>215-701-7518</t>
  </si>
  <si>
    <t>mikeantonelli.nesi@gmail.com</t>
  </si>
  <si>
    <t>Tobian</t>
  </si>
  <si>
    <t>480 Neponset Street, Building Two</t>
  </si>
  <si>
    <t>Canton</t>
  </si>
  <si>
    <t>781-828-8877</t>
  </si>
  <si>
    <t>(888) 983-1177</t>
  </si>
  <si>
    <t>ctobian@nrminc.com</t>
  </si>
  <si>
    <t>Shepard</t>
  </si>
  <si>
    <t>678-832-1720</t>
  </si>
  <si>
    <t>678-252-0720</t>
  </si>
  <si>
    <t>Debbie.N.Shepard@jci.com</t>
  </si>
  <si>
    <t>Hawkins</t>
  </si>
  <si>
    <t>1919 Windsor Place</t>
  </si>
  <si>
    <t>817-840-9321</t>
  </si>
  <si>
    <t>817.731.0020</t>
  </si>
  <si>
    <t>jhawkins@wlslighting.com</t>
  </si>
  <si>
    <t>Hinson</t>
  </si>
  <si>
    <t>5 Shelter Rock Road</t>
  </si>
  <si>
    <t>Danbury</t>
  </si>
  <si>
    <t>203-792-1900</t>
  </si>
  <si>
    <t>203-792-1906</t>
  </si>
  <si>
    <t>scott@newenglandenergy.com</t>
  </si>
  <si>
    <t>Molino</t>
  </si>
  <si>
    <t>Incentive Manager</t>
  </si>
  <si>
    <t xml:space="preserve">5 Shelter Rock rd </t>
  </si>
  <si>
    <t>Unit E</t>
  </si>
  <si>
    <t>donorato@newenglandenergy.com</t>
  </si>
  <si>
    <t>Barbosa</t>
  </si>
  <si>
    <t>2560 E. Philadelphia St.</t>
  </si>
  <si>
    <t>Ontario</t>
  </si>
  <si>
    <t>949-735-7516</t>
  </si>
  <si>
    <t>bbarbosa@niagarawater.com</t>
  </si>
  <si>
    <t>Ginzburg</t>
  </si>
  <si>
    <t>28 Campus Drive, Suite # 50</t>
  </si>
  <si>
    <t>763-438-6483</t>
  </si>
  <si>
    <t>tginzburg@noblecs.com</t>
  </si>
  <si>
    <t>Nordgren</t>
  </si>
  <si>
    <t>Data Analyst</t>
  </si>
  <si>
    <t>P.O. Box 820875</t>
  </si>
  <si>
    <t>214-528-4670</t>
  </si>
  <si>
    <t>214-528-4883</t>
  </si>
  <si>
    <t>nordco@nordcoinc.com</t>
  </si>
  <si>
    <t>McCrea</t>
  </si>
  <si>
    <t>Director of Technical Services</t>
  </si>
  <si>
    <t>755 109th Street</t>
  </si>
  <si>
    <t>Arlington</t>
  </si>
  <si>
    <t>817-261-6733</t>
  </si>
  <si>
    <t>817-795-8718</t>
  </si>
  <si>
    <t>smccrea@novatechesg.com</t>
  </si>
  <si>
    <t>VP Operations/Technical Services</t>
  </si>
  <si>
    <t>1804 Winding Way</t>
  </si>
  <si>
    <t>832-387-8828</t>
  </si>
  <si>
    <t>scox@obtainableenergy.com</t>
  </si>
  <si>
    <t>Odom</t>
  </si>
  <si>
    <t>P.O. Box 57196</t>
  </si>
  <si>
    <t>Webster</t>
  </si>
  <si>
    <t>281-984-7199</t>
  </si>
  <si>
    <t>steven@oensol.com</t>
  </si>
  <si>
    <t>PO BOX 15787</t>
  </si>
  <si>
    <t>801 McKenzie Road</t>
  </si>
  <si>
    <t>Norman</t>
  </si>
  <si>
    <t>405-570-0111</t>
  </si>
  <si>
    <t>rick@oklightguy.com</t>
  </si>
  <si>
    <t>Pittman</t>
  </si>
  <si>
    <t>Energy and Utility Manager</t>
  </si>
  <si>
    <t>20107 Sweet William Ct</t>
  </si>
  <si>
    <t>281-684-9583</t>
  </si>
  <si>
    <t>bpittman@oldcastleenergy.com</t>
  </si>
  <si>
    <t>Major</t>
  </si>
  <si>
    <t>2701 Loker Avenue West</t>
  </si>
  <si>
    <t>Suite 107</t>
  </si>
  <si>
    <t>Carlsbad</t>
  </si>
  <si>
    <t>760-931-2400</t>
  </si>
  <si>
    <t>760-931-2405</t>
  </si>
  <si>
    <t>bmajor@onsitenergy.com</t>
  </si>
  <si>
    <t>Gurkin</t>
  </si>
  <si>
    <t>500-C Alexander Avenue</t>
  </si>
  <si>
    <t>Henderson</t>
  </si>
  <si>
    <t>919-550-9642</t>
  </si>
  <si>
    <t>amanda@optimumlighting.com</t>
  </si>
  <si>
    <t>Sturtz</t>
  </si>
  <si>
    <t>Rebate Management</t>
  </si>
  <si>
    <t>2210 Woodland Drive</t>
  </si>
  <si>
    <t>Manitowoc</t>
  </si>
  <si>
    <t>WI</t>
  </si>
  <si>
    <t>920-892-5618</t>
  </si>
  <si>
    <t>psturtz@oesx.com</t>
  </si>
  <si>
    <t>Jarosh</t>
  </si>
  <si>
    <t>Senior Rebate Analyst</t>
  </si>
  <si>
    <t>1204 Pilgrim Road</t>
  </si>
  <si>
    <t>920-892-5762</t>
  </si>
  <si>
    <t>djj@oes1.com</t>
  </si>
  <si>
    <t>Kapadia</t>
  </si>
  <si>
    <t>2024 W. 1st Street, Suite #103</t>
  </si>
  <si>
    <t>Tempe</t>
  </si>
  <si>
    <t>480-203-2485</t>
  </si>
  <si>
    <t>480-209-1640</t>
  </si>
  <si>
    <t>skapadia@oessw.com</t>
  </si>
  <si>
    <t>Wardle</t>
  </si>
  <si>
    <t>Market Specialist</t>
  </si>
  <si>
    <t>5 Greenway Plaza</t>
  </si>
  <si>
    <t>713-215-7142</t>
  </si>
  <si>
    <t>713-985-1453</t>
  </si>
  <si>
    <t>Scott_Wardle@oxy.com</t>
  </si>
  <si>
    <t>Yeo</t>
  </si>
  <si>
    <t>6207 Bee Cave Rd</t>
  </si>
  <si>
    <t xml:space="preserve">Austin </t>
  </si>
  <si>
    <t>512-535-4300</t>
  </si>
  <si>
    <t>512-535-5498</t>
  </si>
  <si>
    <t>ewilson@parkeindustries.com</t>
  </si>
  <si>
    <t>Durdin</t>
  </si>
  <si>
    <t>GM</t>
  </si>
  <si>
    <t>25500 State Highway 249</t>
  </si>
  <si>
    <t>Tomball</t>
  </si>
  <si>
    <t>713-306-3285</t>
  </si>
  <si>
    <t>fdurdin@parkwaychevrolet.com</t>
  </si>
  <si>
    <t>Geurink</t>
  </si>
  <si>
    <t>11952 James St.</t>
  </si>
  <si>
    <t>Holland</t>
  </si>
  <si>
    <t>616-820-1122</t>
  </si>
  <si>
    <t>616-392-6880</t>
  </si>
  <si>
    <t>eric.geurink@parkwayelectric.com</t>
  </si>
  <si>
    <t>Wheatley</t>
  </si>
  <si>
    <t>1926 Arch Street; Suite 4F</t>
  </si>
  <si>
    <t>kwheatley@realwinwin.com</t>
  </si>
  <si>
    <t>Driver</t>
  </si>
  <si>
    <t>621 24th Ave. SW</t>
  </si>
  <si>
    <t>405-447-2977</t>
  </si>
  <si>
    <t>405-447-2966</t>
  </si>
  <si>
    <t>Hassenauer</t>
  </si>
  <si>
    <t>Commercial Manager</t>
  </si>
  <si>
    <t>4800 Blue Parkway</t>
  </si>
  <si>
    <t xml:space="preserve">Kansas City </t>
  </si>
  <si>
    <t>816-714-6210</t>
  </si>
  <si>
    <t>michael@derbigum.com</t>
  </si>
  <si>
    <t>Altshuler</t>
  </si>
  <si>
    <t>Material Manager</t>
  </si>
  <si>
    <t>3701 Holmes Road</t>
  </si>
  <si>
    <t>na</t>
  </si>
  <si>
    <t>713-443-0426</t>
  </si>
  <si>
    <t>713-734-5767</t>
  </si>
  <si>
    <t>larry@pipingtech.com</t>
  </si>
  <si>
    <t>Blaylock</t>
  </si>
  <si>
    <t>2723 Houston Ave</t>
  </si>
  <si>
    <t>2121 Broadway</t>
  </si>
  <si>
    <t>713-880-2626</t>
  </si>
  <si>
    <t>713-880-5186</t>
  </si>
  <si>
    <t>demarcoblaylock@pmgunited.com</t>
  </si>
  <si>
    <t>1229 West 34th Street</t>
  </si>
  <si>
    <t>713-864-7800</t>
  </si>
  <si>
    <t>llumsden@prismelectric.com</t>
  </si>
  <si>
    <t>Energy/Utilities Specialist</t>
  </si>
  <si>
    <t>2005 West Broadway</t>
  </si>
  <si>
    <t>Suite 210</t>
  </si>
  <si>
    <t>Columbia</t>
  </si>
  <si>
    <t>573-999-6533</t>
  </si>
  <si>
    <t>573-443-7181</t>
  </si>
  <si>
    <t>omurray@projsolco.com</t>
  </si>
  <si>
    <t>Hubert</t>
  </si>
  <si>
    <t>100 W. Southlake Blvd</t>
  </si>
  <si>
    <t>Suite #142A</t>
  </si>
  <si>
    <t>Southlake</t>
  </si>
  <si>
    <t>817-500-0088</t>
  </si>
  <si>
    <t>972-559-3507</t>
  </si>
  <si>
    <t>shubert@purepowergroup.com</t>
  </si>
  <si>
    <t>campbell</t>
  </si>
  <si>
    <t>project manager</t>
  </si>
  <si>
    <t>7218 oak village</t>
  </si>
  <si>
    <t>humble</t>
  </si>
  <si>
    <t>713-305-1468</t>
  </si>
  <si>
    <t>rawelectri@comcast.net</t>
  </si>
  <si>
    <t>Bates</t>
  </si>
  <si>
    <t>Executive Vice President</t>
  </si>
  <si>
    <t>32402 Tamina Road</t>
  </si>
  <si>
    <t>Magnolia</t>
  </si>
  <si>
    <t>77354-3444</t>
  </si>
  <si>
    <t>281-259-9100</t>
  </si>
  <si>
    <t>281-259-6057</t>
  </si>
  <si>
    <t>reagan7784@sbcglobal.net</t>
  </si>
  <si>
    <t>Cignavitch</t>
  </si>
  <si>
    <t>1926 Arch Street, Suite 4F</t>
  </si>
  <si>
    <t>215-732-0488</t>
  </si>
  <si>
    <t>lcignavitch@realwinwin.com</t>
  </si>
  <si>
    <t>Redding</t>
  </si>
  <si>
    <t>Suite 2000</t>
  </si>
  <si>
    <t>713-237-9800</t>
  </si>
  <si>
    <t>713-237-9801</t>
  </si>
  <si>
    <t>sredding@rlbengineers.com</t>
  </si>
  <si>
    <t>Regenstreif</t>
  </si>
  <si>
    <t>9261 Jordan Ave</t>
  </si>
  <si>
    <t>Chatsworth</t>
  </si>
  <si>
    <t>800-284-2024</t>
  </si>
  <si>
    <t>isaac.regenstreif@regencylighting.com</t>
  </si>
  <si>
    <t>Nankani</t>
  </si>
  <si>
    <t>13 Highwood Ct</t>
  </si>
  <si>
    <t>Azusa</t>
  </si>
  <si>
    <t>626-244-6122</t>
  </si>
  <si>
    <t>Rnankani11@gmail.com</t>
  </si>
  <si>
    <t>Tomasello</t>
  </si>
  <si>
    <t>VP</t>
  </si>
  <si>
    <t>3407 Autumn Bend dr</t>
  </si>
  <si>
    <t>281-302-6431</t>
  </si>
  <si>
    <t>281-645-6613</t>
  </si>
  <si>
    <t>retrolighting@comcast.net</t>
  </si>
  <si>
    <t>Energy Solutions Specialist</t>
  </si>
  <si>
    <t>972-245-0685</t>
  </si>
  <si>
    <t>Consultant, EnergyManagement</t>
  </si>
  <si>
    <t>101 Halmar Cove</t>
  </si>
  <si>
    <t>512-288-9080</t>
  </si>
  <si>
    <t>jmontgomery@ringdale.com</t>
  </si>
  <si>
    <t>SWIENTON</t>
  </si>
  <si>
    <t>DIRECTOR OF LIGHTING PROJECT DEVELOPMENT</t>
  </si>
  <si>
    <t>2050 MARCONI DR</t>
  </si>
  <si>
    <t>ALPHARETTA</t>
  </si>
  <si>
    <t>630-649-3207</t>
  </si>
  <si>
    <t>770-234-5064</t>
  </si>
  <si>
    <t>LSWIENTON@LROGERSELECTRIC.COM</t>
  </si>
  <si>
    <t>Kickhaefer</t>
  </si>
  <si>
    <t>18719 Long Trace Drive</t>
  </si>
  <si>
    <t>Humble</t>
  </si>
  <si>
    <t>832-592-3571</t>
  </si>
  <si>
    <t>jason@rooftopenergysolutions.com</t>
  </si>
  <si>
    <t>6635 Sumner Isle Ct</t>
  </si>
  <si>
    <t>281-370-4077</t>
  </si>
  <si>
    <t>brose@roselighting.com</t>
  </si>
  <si>
    <t>Popp</t>
  </si>
  <si>
    <t>c/o RealWinWin PO Box 15787</t>
  </si>
  <si>
    <t>spopp@realwinwin.com</t>
  </si>
  <si>
    <t>Bowen</t>
  </si>
  <si>
    <t>Director of Techical Operations</t>
  </si>
  <si>
    <t>1600 Cantrell Rd.</t>
  </si>
  <si>
    <t>Little Rock</t>
  </si>
  <si>
    <t xml:space="preserve">Philadelphia </t>
  </si>
  <si>
    <t>P.O. Box 204</t>
  </si>
  <si>
    <t>239 Rt. 28</t>
  </si>
  <si>
    <t>cbanks@EnergyLogicInc.com</t>
  </si>
  <si>
    <t>RECTOR</t>
  </si>
  <si>
    <t>FACILITIES DIRECTOR</t>
  </si>
  <si>
    <t>22601 LUTHERAN CHURCH ROAD</t>
  </si>
  <si>
    <t xml:space="preserve">TOMBALL </t>
  </si>
  <si>
    <t>281-351-8223</t>
  </si>
  <si>
    <t>JRECTOR@SALEM4U.COM</t>
  </si>
  <si>
    <t>1749 Post Oak Blvd</t>
  </si>
  <si>
    <t>713-621-3366</t>
  </si>
  <si>
    <t>713-621-3368</t>
  </si>
  <si>
    <t>ees@townandcountryleather.com</t>
  </si>
  <si>
    <t>McWilliams</t>
  </si>
  <si>
    <t>Engineer II</t>
  </si>
  <si>
    <t>1650 West Crosby Road</t>
  </si>
  <si>
    <t>972-323-4873</t>
  </si>
  <si>
    <t>972-323-5498</t>
  </si>
  <si>
    <t>michael.mcwilliams@schneider-electric.com</t>
  </si>
  <si>
    <t>Thomas</t>
  </si>
  <si>
    <t>2915 Chestnut Street</t>
  </si>
  <si>
    <t>Everett</t>
  </si>
  <si>
    <t>425-258-1882</t>
  </si>
  <si>
    <t>dthomas@seahurst.com</t>
  </si>
  <si>
    <t>Gohlke</t>
  </si>
  <si>
    <t>5300 Memorial Drive, Suite 390</t>
  </si>
  <si>
    <t>832-327-2529</t>
  </si>
  <si>
    <t>hgohlke@sebesta.com</t>
  </si>
  <si>
    <t>oakes</t>
  </si>
  <si>
    <t>facility engineer</t>
  </si>
  <si>
    <t>9550 n loop east</t>
  </si>
  <si>
    <t>281-914-1543</t>
  </si>
  <si>
    <t>daryl.oakes@strhouston.com</t>
  </si>
  <si>
    <t>Business Development Specialist</t>
  </si>
  <si>
    <t>1945 The Exchange</t>
  </si>
  <si>
    <t>Suite 325</t>
  </si>
  <si>
    <t>Atlanta</t>
  </si>
  <si>
    <t>770-314-3294</t>
  </si>
  <si>
    <t>770-916-7175</t>
  </si>
  <si>
    <t>brian.hughes@servidyne.com</t>
  </si>
  <si>
    <t>Doctor</t>
  </si>
  <si>
    <t>Administrator of Campus Services</t>
  </si>
  <si>
    <t>6200 N. Braeswood Blvd.</t>
  </si>
  <si>
    <t>713-778-5746</t>
  </si>
  <si>
    <t>713-778-0823</t>
  </si>
  <si>
    <t>mcayton@sevenacres.org</t>
  </si>
  <si>
    <t>Bolander</t>
  </si>
  <si>
    <t>Senior Principal</t>
  </si>
  <si>
    <t>2825 Wilcrest Dr., Suite 350</t>
  </si>
  <si>
    <t>713-780-7563</t>
  </si>
  <si>
    <t>jbolander@shahsmith.com</t>
  </si>
  <si>
    <t>Nobels</t>
  </si>
  <si>
    <t>8850 Fallbrook</t>
  </si>
  <si>
    <t>281-949-3059</t>
  </si>
  <si>
    <t>xxx@xxx.com</t>
  </si>
  <si>
    <t>Steinbuck</t>
  </si>
  <si>
    <t>281-949-3073</t>
  </si>
  <si>
    <t>281-949-3100</t>
  </si>
  <si>
    <t>nick.steinbuck@siemens.com</t>
  </si>
  <si>
    <t>Babin</t>
  </si>
  <si>
    <t>Solution Development Manager</t>
  </si>
  <si>
    <t>25026 Romadelo Drive</t>
  </si>
  <si>
    <t>Louisburg</t>
  </si>
  <si>
    <t>913-484-4185</t>
  </si>
  <si>
    <t>Paul.Babin@sodexo.com</t>
  </si>
  <si>
    <t>Kazimi</t>
  </si>
  <si>
    <t>1802 Cheyenne River Crcle</t>
  </si>
  <si>
    <t xml:space="preserve">Sugar Land </t>
  </si>
  <si>
    <t>832-729-8203</t>
  </si>
  <si>
    <t>safdarkazimi@hotmail.com</t>
  </si>
  <si>
    <t>Berg</t>
  </si>
  <si>
    <t>940 Calle Negocio Suite 250</t>
  </si>
  <si>
    <t>San Clemente</t>
  </si>
  <si>
    <t>949-443-2290</t>
  </si>
  <si>
    <t>949-248-8621</t>
  </si>
  <si>
    <t>Fred.Berg@Solisusa.com</t>
  </si>
  <si>
    <t>Klein</t>
  </si>
  <si>
    <t>President/CEO</t>
  </si>
  <si>
    <t>100 Jackson</t>
  </si>
  <si>
    <t>Suite 130</t>
  </si>
  <si>
    <t>713-589-4980</t>
  </si>
  <si>
    <t>713-222-2529</t>
  </si>
  <si>
    <t>harry@sorelenergy.com</t>
  </si>
  <si>
    <t>Moore</t>
  </si>
  <si>
    <t>9374 Old Bailes Rd</t>
  </si>
  <si>
    <t>Fort Mill</t>
  </si>
  <si>
    <t>803-802-7330</t>
  </si>
  <si>
    <t>803-802-7332</t>
  </si>
  <si>
    <t>valerie.moore@southpointsolutions.com</t>
  </si>
  <si>
    <t>Berrier</t>
  </si>
  <si>
    <t>PO Box 14773</t>
  </si>
  <si>
    <t>Haltom City</t>
  </si>
  <si>
    <t>817-744-8790</t>
  </si>
  <si>
    <t>817-744-8791</t>
  </si>
  <si>
    <t>office@sparkmanelectricllc.com</t>
  </si>
  <si>
    <t>Wendt</t>
  </si>
  <si>
    <t>Facility Manager</t>
  </si>
  <si>
    <t>611 Clay Street</t>
  </si>
  <si>
    <t>713-207-7675</t>
  </si>
  <si>
    <t>713-207-7676</t>
  </si>
  <si>
    <t>jwendt@standardparking.com</t>
  </si>
  <si>
    <t>Craig</t>
  </si>
  <si>
    <t>55 Waugh</t>
  </si>
  <si>
    <t>#800</t>
  </si>
  <si>
    <t>281-768-4879</t>
  </si>
  <si>
    <t>charles.craig@gridpoint.com</t>
  </si>
  <si>
    <t>McMinn</t>
  </si>
  <si>
    <t>Jefe Grande</t>
  </si>
  <si>
    <t>909 Fannin Suite 1275</t>
  </si>
  <si>
    <t>713-982-5559</t>
  </si>
  <si>
    <t>713-739-0741</t>
  </si>
  <si>
    <t>smcminn@nexant.com</t>
  </si>
  <si>
    <t>Alexander</t>
  </si>
  <si>
    <t>P.O. Box 1189</t>
  </si>
  <si>
    <t>7 Straus Court</t>
  </si>
  <si>
    <t>281-498-1689</t>
  </si>
  <si>
    <t>281-933-7601</t>
  </si>
  <si>
    <t>palexander@straussystems.com</t>
  </si>
  <si>
    <t>Brown</t>
  </si>
  <si>
    <t>Program Manager</t>
  </si>
  <si>
    <t>jbrown@sunindustriesinc.com</t>
  </si>
  <si>
    <t>Longoria</t>
  </si>
  <si>
    <t>4517 Kinglet</t>
  </si>
  <si>
    <t>713-729-6082</t>
  </si>
  <si>
    <t>boblongoria@hotmail.com</t>
  </si>
  <si>
    <t>Crabtree</t>
  </si>
  <si>
    <t>3036 Miller County 22</t>
  </si>
  <si>
    <t>Fouke</t>
  </si>
  <si>
    <t>903-653-6218</t>
  </si>
  <si>
    <t>870-653-6228</t>
  </si>
  <si>
    <t>wcrabtree@superiorl.com</t>
  </si>
  <si>
    <t>butler</t>
  </si>
  <si>
    <t>3 Sugar Creek Center Boulevard</t>
  </si>
  <si>
    <t>#100</t>
  </si>
  <si>
    <t>Sugarland</t>
  </si>
  <si>
    <t>fb@sdconceptsna.com</t>
  </si>
  <si>
    <t>Zrelak</t>
  </si>
  <si>
    <t>Rebate Specialist</t>
  </si>
  <si>
    <t>2352 Oriole St.</t>
  </si>
  <si>
    <t>Oak Harbor</t>
  </si>
  <si>
    <t>253-269-6247</t>
  </si>
  <si>
    <t>206-260-1482</t>
  </si>
  <si>
    <t>matt.zrelak@sylvania.com</t>
  </si>
  <si>
    <t>Peznola</t>
  </si>
  <si>
    <t>VP Operations</t>
  </si>
  <si>
    <t>200 Friberg Parkway</t>
  </si>
  <si>
    <t>Suite 3010</t>
  </si>
  <si>
    <t>Westborough</t>
  </si>
  <si>
    <t>508-366-0200</t>
  </si>
  <si>
    <t>508-366-6111</t>
  </si>
  <si>
    <t>jpeznola@synergyinv.com</t>
  </si>
  <si>
    <t>Aguilar</t>
  </si>
  <si>
    <t>32503 Teal st</t>
  </si>
  <si>
    <t>Brookshire</t>
  </si>
  <si>
    <t>281-725-8065</t>
  </si>
  <si>
    <t>tamesi_electrician@yahoo.com</t>
  </si>
  <si>
    <t>Castro</t>
  </si>
  <si>
    <t>3131 McKinney Ave</t>
  </si>
  <si>
    <t>Suite 540</t>
  </si>
  <si>
    <t>214-466-8747</t>
  </si>
  <si>
    <t>jcastro@maximusalliance.com</t>
  </si>
  <si>
    <t>Jokinen</t>
  </si>
  <si>
    <t>50 South 10th Street</t>
  </si>
  <si>
    <t>Suite 400; TP3-765</t>
  </si>
  <si>
    <t>Minneapolis</t>
  </si>
  <si>
    <t>612-761-5460</t>
  </si>
  <si>
    <t>612-761-2555</t>
  </si>
  <si>
    <t>jessica.jokinen@target.com</t>
  </si>
  <si>
    <t>Mehsling</t>
  </si>
  <si>
    <t>Corporate Account Manager</t>
  </si>
  <si>
    <t>8801 Jameel Suite 100</t>
  </si>
  <si>
    <t>713-996-2712</t>
  </si>
  <si>
    <t>713-939-0161</t>
  </si>
  <si>
    <t>dick.mehsling@tdindustries.com</t>
  </si>
  <si>
    <t>Wykoff</t>
  </si>
  <si>
    <t>PO Box 1044</t>
  </si>
  <si>
    <t>Tampa</t>
  </si>
  <si>
    <t>813-228-4454</t>
  </si>
  <si>
    <t>jwykoff@tecoenergy.com</t>
  </si>
  <si>
    <t>Lewis</t>
  </si>
  <si>
    <t>12946 Dairy Ashford</t>
  </si>
  <si>
    <t>281-265-1636</t>
  </si>
  <si>
    <t>tlewis@teliospc.com</t>
  </si>
  <si>
    <t>Pilkinton</t>
  </si>
  <si>
    <t>System Sales</t>
  </si>
  <si>
    <t>12650 Directors Drive</t>
  </si>
  <si>
    <t>Suite 600</t>
  </si>
  <si>
    <t>832-342-7000</t>
  </si>
  <si>
    <t>281-980-2881</t>
  </si>
  <si>
    <t>lpilkinton@texasairsystems.com</t>
  </si>
  <si>
    <t>Dir., SW Region</t>
  </si>
  <si>
    <t>9701 Dessau Rd</t>
  </si>
  <si>
    <t>Suite 204</t>
  </si>
  <si>
    <t>512-339-3591</t>
  </si>
  <si>
    <t>kbass@lime-energy.com</t>
  </si>
  <si>
    <t>Pope</t>
  </si>
  <si>
    <t>VP Ops</t>
  </si>
  <si>
    <t>793 Davis Rd</t>
  </si>
  <si>
    <t>D22S2</t>
  </si>
  <si>
    <t>405-409-7384</t>
  </si>
  <si>
    <t>Sailorsrule08@gmail.com</t>
  </si>
  <si>
    <t>Sampson</t>
  </si>
  <si>
    <t>109A Laurel Drive</t>
  </si>
  <si>
    <t>281-221-1024</t>
  </si>
  <si>
    <t>jeremy@texassolarresources.com</t>
  </si>
  <si>
    <t>Higgins</t>
  </si>
  <si>
    <t>1728 Briercroft Court</t>
  </si>
  <si>
    <t>972-395-6000</t>
  </si>
  <si>
    <t>thiggins@brandteng.com</t>
  </si>
  <si>
    <t>Barnett</t>
  </si>
  <si>
    <t>937 Burrell Avenue</t>
  </si>
  <si>
    <t>Columbus</t>
  </si>
  <si>
    <t>614-654-5705</t>
  </si>
  <si>
    <t>andrew.barnett@theenergysolutiongroup.com</t>
  </si>
  <si>
    <t>Dale</t>
  </si>
  <si>
    <t>1200 Smith St, STE 1600</t>
  </si>
  <si>
    <t>713-410-8252</t>
  </si>
  <si>
    <t>281-966-1747</t>
  </si>
  <si>
    <t>kdale@thegaiagroupinc.com</t>
  </si>
  <si>
    <t>Gobetz</t>
  </si>
  <si>
    <t>Manager; Utility Rebates &amp; Utility Payments</t>
  </si>
  <si>
    <t>3333 Beverly Road</t>
  </si>
  <si>
    <t>A2-346-A</t>
  </si>
  <si>
    <t>Hoffman Estates</t>
  </si>
  <si>
    <t>847-286-6367</t>
  </si>
  <si>
    <t>847-286-3321</t>
  </si>
  <si>
    <t>rgobetz@searshc.com</t>
  </si>
  <si>
    <t>6611 Glenhill Drive</t>
  </si>
  <si>
    <t>281-851-9953</t>
  </si>
  <si>
    <t>donmartin2000@sbcglobal.net</t>
  </si>
  <si>
    <t>Viens</t>
  </si>
  <si>
    <t>Corporate Incentive Manager</t>
  </si>
  <si>
    <t>1014 Vine Street</t>
  </si>
  <si>
    <t>513-762-1578</t>
  </si>
  <si>
    <t>linda.viens@kroger.com</t>
  </si>
  <si>
    <t>2313 Langston</t>
  </si>
  <si>
    <t>713-688-6900</t>
  </si>
  <si>
    <t>713-862-6771</t>
  </si>
  <si>
    <t>scott@leethompsonac.com</t>
  </si>
  <si>
    <t>Pohlman</t>
  </si>
  <si>
    <t>Sr. Finance Manager</t>
  </si>
  <si>
    <t>1711 Blue Hills Drive</t>
  </si>
  <si>
    <t>Roanoke</t>
  </si>
  <si>
    <t>540-345-6789</t>
  </si>
  <si>
    <t>PohlmanM@Orvis.com</t>
  </si>
  <si>
    <t>Santos</t>
  </si>
  <si>
    <t>VP, Sustainability and Energy Efficiency</t>
  </si>
  <si>
    <t>8 East Greenway Plaza, Ste. 910</t>
  </si>
  <si>
    <t>713-625-7513</t>
  </si>
  <si>
    <t>713-850-7071</t>
  </si>
  <si>
    <t>bsantos@tagosgroup.com</t>
  </si>
  <si>
    <t>Ehrenshat</t>
  </si>
  <si>
    <t>1 Hewitt Square #153</t>
  </si>
  <si>
    <t>East Northport</t>
  </si>
  <si>
    <t>631-261-6277</t>
  </si>
  <si>
    <t>hehrenshaft@zentergy.com</t>
  </si>
  <si>
    <t>Ehrenshaft</t>
  </si>
  <si>
    <t>1 Hewitt SXquare #153</t>
  </si>
  <si>
    <t>631-824-9176</t>
  </si>
  <si>
    <t>Lesher</t>
  </si>
  <si>
    <t>Manager- Parking Operations</t>
  </si>
  <si>
    <t>510 Preston</t>
  </si>
  <si>
    <t>713-236-5760</t>
  </si>
  <si>
    <t>713 315 4862</t>
  </si>
  <si>
    <t>lannie.lesher@houstontx.gov</t>
  </si>
  <si>
    <t>754 Brock Dr.</t>
  </si>
  <si>
    <t>Corpus Christi</t>
  </si>
  <si>
    <t>361-992-1800</t>
  </si>
  <si>
    <t>361-992-1801</t>
  </si>
  <si>
    <t>bill@thomasengineering-inc.com</t>
  </si>
  <si>
    <t>Dunne</t>
  </si>
  <si>
    <t>738 S. Highway 6, Suite 260</t>
  </si>
  <si>
    <t>713-933-1001</t>
  </si>
  <si>
    <t>713.933.1004</t>
  </si>
  <si>
    <t>bdunne@td-engineers.com</t>
  </si>
  <si>
    <t>Khotoveli</t>
  </si>
  <si>
    <t>Managing Partner / Property Manager</t>
  </si>
  <si>
    <t>766 Riverside Drive</t>
  </si>
  <si>
    <t>Coral Springs</t>
  </si>
  <si>
    <t>954-346-9494</t>
  </si>
  <si>
    <t>888-571-9922</t>
  </si>
  <si>
    <t>marc@plazamgmt.com</t>
  </si>
  <si>
    <t>Karloske</t>
  </si>
  <si>
    <t>c/o Energy Logic, Inc</t>
  </si>
  <si>
    <t>508 394-7001</t>
  </si>
  <si>
    <t xml:space="preserve">cbanks@energylogicinc.com </t>
  </si>
  <si>
    <t>Bailey</t>
  </si>
  <si>
    <t>5847 San FelipePlaza</t>
  </si>
  <si>
    <t>713-255-2306</t>
  </si>
  <si>
    <t>713.255.2339</t>
  </si>
  <si>
    <t>rbailey@tpgre.com</t>
  </si>
  <si>
    <t>5847 San Felipe</t>
  </si>
  <si>
    <t>713-255-2308</t>
  </si>
  <si>
    <t>713-255-2339</t>
  </si>
  <si>
    <t>Cook</t>
  </si>
  <si>
    <t>1400 Valwood Parkway, Suite 100</t>
  </si>
  <si>
    <t>972-919-2340</t>
  </si>
  <si>
    <t>972-243-1398</t>
  </si>
  <si>
    <t>dcook2@trane.com</t>
  </si>
  <si>
    <t>Pollock</t>
  </si>
  <si>
    <t>beau@trioltd.com</t>
  </si>
  <si>
    <t>Kolodejcak Jr.</t>
  </si>
  <si>
    <t>CEO / Managing Partner</t>
  </si>
  <si>
    <t>4203 Woodcock Drive</t>
  </si>
  <si>
    <t>210-865-2668</t>
  </si>
  <si>
    <t>gerard@tritonenergysolutions.com</t>
  </si>
  <si>
    <t>Cushway</t>
  </si>
  <si>
    <t>VP, Development</t>
  </si>
  <si>
    <t>8765 Spring Cypress</t>
  </si>
  <si>
    <t>Suite L-153</t>
  </si>
  <si>
    <t>281-220-4382</t>
  </si>
  <si>
    <t>281-886-0479</t>
  </si>
  <si>
    <t>jcushway@truvoltz.com</t>
  </si>
  <si>
    <t>Davis</t>
  </si>
  <si>
    <t>6110 Cullen Blvd</t>
  </si>
  <si>
    <t>713-877-8700</t>
  </si>
  <si>
    <t>edavis@tas.com</t>
  </si>
  <si>
    <t>SZATKIEWICZ</t>
  </si>
  <si>
    <t>NATIONAL ACCOUNTS MANAGER</t>
  </si>
  <si>
    <t>1260 NORTH AVE</t>
  </si>
  <si>
    <t>PLAINFIELD</t>
  </si>
  <si>
    <t>732-673-3170</t>
  </si>
  <si>
    <t>732-606-1598</t>
  </si>
  <si>
    <t>PCORY@TURTLE.COM</t>
  </si>
  <si>
    <t>6555 Sierra Drive</t>
  </si>
  <si>
    <t>scott.harrison@txu.com</t>
  </si>
  <si>
    <t>Dart</t>
  </si>
  <si>
    <t>Office Clerk</t>
  </si>
  <si>
    <t>2415 S. Dairy Ashford, #5</t>
  </si>
  <si>
    <t>281-531-4022</t>
  </si>
  <si>
    <t>281-531-1530</t>
  </si>
  <si>
    <t>kim_dart@uhaul.com</t>
  </si>
  <si>
    <t>Garcia</t>
  </si>
  <si>
    <t>Account Executive</t>
  </si>
  <si>
    <t>770 Bradfield Rd #585</t>
  </si>
  <si>
    <t>832-535-6383</t>
  </si>
  <si>
    <t>hectorg@unifytexas.com</t>
  </si>
  <si>
    <t>Sandoval</t>
  </si>
  <si>
    <t>777 Brisbane St</t>
  </si>
  <si>
    <t>310-800-5882</t>
  </si>
  <si>
    <t>nicholass@yalechase.com</t>
  </si>
  <si>
    <t>Senior Project Manager / System Engineer</t>
  </si>
  <si>
    <t>4211 Elgin, Room 125</t>
  </si>
  <si>
    <t>713-743-5797</t>
  </si>
  <si>
    <t>SAKapileshwari@central.uh.edu</t>
  </si>
  <si>
    <t>Jacobson</t>
  </si>
  <si>
    <t>8600 Woodway 409</t>
  </si>
  <si>
    <t>713-936-3535</t>
  </si>
  <si>
    <t>DeAngelo</t>
  </si>
  <si>
    <t>91 Clinton Rd</t>
  </si>
  <si>
    <t>STE 2D</t>
  </si>
  <si>
    <t>Fairfield</t>
  </si>
  <si>
    <t>800-749-9291</t>
  </si>
  <si>
    <t>phildeangelo@urenergyinc.com</t>
  </si>
  <si>
    <t>HITCHCOCCK</t>
  </si>
  <si>
    <t>PRESIDENT</t>
  </si>
  <si>
    <t>6829 AVE K STE 110</t>
  </si>
  <si>
    <t>PLANO</t>
  </si>
  <si>
    <t>972-670-1952</t>
  </si>
  <si>
    <t>brad@us-energymgmt.com</t>
  </si>
  <si>
    <t>Boyett</t>
  </si>
  <si>
    <t>3109 Stanwood Drive</t>
  </si>
  <si>
    <t>512-423-3094</t>
  </si>
  <si>
    <t>512-407-8858</t>
  </si>
  <si>
    <t>bboyett@earthlink.net</t>
  </si>
  <si>
    <t>Aycock</t>
  </si>
  <si>
    <t>6910 Lovelaceville Road</t>
  </si>
  <si>
    <t>Paducah</t>
  </si>
  <si>
    <t>270-554-8878</t>
  </si>
  <si>
    <t>928-396-8575</t>
  </si>
  <si>
    <t>ross@utilitiesdynamics.com</t>
  </si>
  <si>
    <t>2323 Clear Lake City Blvd.</t>
  </si>
  <si>
    <t>855-550-8656</t>
  </si>
  <si>
    <t>855-550-8657</t>
  </si>
  <si>
    <t>enelson@v-energy-s.com</t>
  </si>
  <si>
    <t>Monte</t>
  </si>
  <si>
    <t>Territory Manager</t>
  </si>
  <si>
    <t>2208 59th Street</t>
  </si>
  <si>
    <t>Galveston</t>
  </si>
  <si>
    <t>832-576-2901</t>
  </si>
  <si>
    <t>T.Monte@valueenergysolutions.com</t>
  </si>
  <si>
    <t>Vice President/Marketing</t>
  </si>
  <si>
    <t>5850 San Felipe</t>
  </si>
  <si>
    <t>Suite 140</t>
  </si>
  <si>
    <t>713-266-8984</t>
  </si>
  <si>
    <t>713-266-1238</t>
  </si>
  <si>
    <t>Ussery</t>
  </si>
  <si>
    <t>Sales Consultant</t>
  </si>
  <si>
    <t>16225 Tahoe</t>
  </si>
  <si>
    <t>281-506-8430</t>
  </si>
  <si>
    <t>tussery@verde-lighting.com</t>
  </si>
  <si>
    <t>Ludwig</t>
  </si>
  <si>
    <t>Manager of Strategic National Accounts</t>
  </si>
  <si>
    <t>2929 Chouteau Ave</t>
  </si>
  <si>
    <t>Saint Louis</t>
  </si>
  <si>
    <t>314-633-0418</t>
  </si>
  <si>
    <t>314-633-0419</t>
  </si>
  <si>
    <t>dludwig@villalighting.com</t>
  </si>
  <si>
    <t>Martin Del Campo</t>
  </si>
  <si>
    <t>302 Wilmot Road</t>
  </si>
  <si>
    <t>MS 3301</t>
  </si>
  <si>
    <t>Deerfield</t>
  </si>
  <si>
    <t>847-527-4849</t>
  </si>
  <si>
    <t>erinn.martin.del.campo@walgreens.com</t>
  </si>
  <si>
    <t>11811 North Freeway ste. 500</t>
  </si>
  <si>
    <t>281-436-7373</t>
  </si>
  <si>
    <t>ashley@walkerenergysolution.com</t>
  </si>
  <si>
    <t>Jordan</t>
  </si>
  <si>
    <t>Regional Energy Manager</t>
  </si>
  <si>
    <t>2001 S.E. 10th Street</t>
  </si>
  <si>
    <t>Bentonville</t>
  </si>
  <si>
    <t>72716-0550</t>
  </si>
  <si>
    <t>479-273-8673</t>
  </si>
  <si>
    <t>479-273-6851</t>
  </si>
  <si>
    <t>donna.jordan@wal-mart.com</t>
  </si>
  <si>
    <t>Coaston</t>
  </si>
  <si>
    <t>5304 Ashbrook</t>
  </si>
  <si>
    <t>281-330-5448</t>
  </si>
  <si>
    <t>713-512-9950</t>
  </si>
  <si>
    <t>ecoaston@wayengserv.com</t>
  </si>
  <si>
    <t>Calvery</t>
  </si>
  <si>
    <t>Commercial Market Manager</t>
  </si>
  <si>
    <t>5308 Ashbrook</t>
  </si>
  <si>
    <t>713-512-9900</t>
  </si>
  <si>
    <t>713-512-9893</t>
  </si>
  <si>
    <t>tcalvery@wayservice.com</t>
  </si>
  <si>
    <t>O''Connor</t>
  </si>
  <si>
    <t>1401 McKinney</t>
  </si>
  <si>
    <t>713-300-6340</t>
  </si>
  <si>
    <t>patrick.oconnor@ableserve.com</t>
  </si>
  <si>
    <t>1401 McKinney, Suite 2525</t>
  </si>
  <si>
    <t>713-300-6348</t>
  </si>
  <si>
    <t>lubie.martin@Wellsref.com</t>
  </si>
  <si>
    <t>Schmitz</t>
  </si>
  <si>
    <t>17115 Clay Rd</t>
  </si>
  <si>
    <t>281-858-8080</t>
  </si>
  <si>
    <t>281-463-0789</t>
  </si>
  <si>
    <t>bob@westhoustonindoor.com</t>
  </si>
  <si>
    <t>Woodall</t>
  </si>
  <si>
    <t>Director of Engineering</t>
  </si>
  <si>
    <t>914 Dallas St</t>
  </si>
  <si>
    <t>317-281-2602</t>
  </si>
  <si>
    <t>michael.woodall@whitelodging.com</t>
  </si>
  <si>
    <t>Olson</t>
  </si>
  <si>
    <t>Facilities and Energy Coordinator, SW Region</t>
  </si>
  <si>
    <t>1105 N. Lamar</t>
  </si>
  <si>
    <t>Suite 200</t>
  </si>
  <si>
    <t>512-391-8417</t>
  </si>
  <si>
    <t>sarah.olson@wholefoods.com</t>
  </si>
  <si>
    <t>Brummett</t>
  </si>
  <si>
    <t>Senior Program Manager</t>
  </si>
  <si>
    <t xml:space="preserve">1120 King George Ln </t>
  </si>
  <si>
    <t>Savannah</t>
  </si>
  <si>
    <t>214-274-8092</t>
  </si>
  <si>
    <t>jay.brummett@gmail.com</t>
  </si>
  <si>
    <t>Paquette</t>
  </si>
  <si>
    <t>Sr. Purchasing Manager</t>
  </si>
  <si>
    <t>3250 Van Ness Ave</t>
  </si>
  <si>
    <t>San Francisco</t>
  </si>
  <si>
    <t>415-616-8613</t>
  </si>
  <si>
    <t>415-217-6724</t>
  </si>
  <si>
    <t>SPaquette@WSGC.com</t>
  </si>
  <si>
    <t>Trilca</t>
  </si>
  <si>
    <t>1521 Shewood Forest</t>
  </si>
  <si>
    <t>713-534-1525</t>
  </si>
  <si>
    <t>Kellyt@uaginc.com</t>
  </si>
  <si>
    <t>Conrad</t>
  </si>
  <si>
    <t>4725 Blazer Circle</t>
  </si>
  <si>
    <t>Washoe Valley</t>
  </si>
  <si>
    <t>NV</t>
  </si>
  <si>
    <t>713-259-6435</t>
  </si>
  <si>
    <t>rudyconrad1@yahoo.com</t>
  </si>
  <si>
    <t>Curtin</t>
  </si>
  <si>
    <t>6161 Savoy Suite 700</t>
  </si>
  <si>
    <t>713-781-2526</t>
  </si>
  <si>
    <t>713-781-2536</t>
  </si>
  <si>
    <t>jcurtin@wylieassociates.com</t>
  </si>
  <si>
    <t xml:space="preserve">VP </t>
  </si>
  <si>
    <t>8812 Frey Road</t>
  </si>
  <si>
    <t>713-943-9927</t>
  </si>
  <si>
    <t>stephen.nelson@xtralight.com</t>
  </si>
  <si>
    <t>Shao</t>
  </si>
  <si>
    <t>analyst</t>
  </si>
  <si>
    <t>1234 houston street</t>
  </si>
  <si>
    <t>123-456-1234</t>
  </si>
  <si>
    <t>123@123.com</t>
  </si>
  <si>
    <t>Sponsor Info</t>
  </si>
  <si>
    <t>Sponsor</t>
  </si>
  <si>
    <t>Sponsor ID</t>
  </si>
  <si>
    <t>Federal Tax ID/SSN</t>
  </si>
  <si>
    <t>23-3099989</t>
  </si>
  <si>
    <t>Company Name</t>
  </si>
  <si>
    <t>RealWinWin, Inc.</t>
  </si>
  <si>
    <t>Parent Company</t>
  </si>
  <si>
    <t>Parent Company Federal Tax ID/Number</t>
  </si>
  <si>
    <t>Contact First Name</t>
  </si>
  <si>
    <t>Leigh</t>
  </si>
  <si>
    <t>125-52-3457</t>
  </si>
  <si>
    <t>2555 Central Parkway LLC</t>
  </si>
  <si>
    <t>Chris</t>
  </si>
  <si>
    <t>27-1673193</t>
  </si>
  <si>
    <t>75-2848170</t>
  </si>
  <si>
    <t>3010 Briarpark Tenant, LP</t>
  </si>
  <si>
    <t>Jason</t>
  </si>
  <si>
    <t>41-0417775</t>
  </si>
  <si>
    <t>3M</t>
  </si>
  <si>
    <t xml:space="preserve">Rick </t>
  </si>
  <si>
    <t>27-2896620</t>
  </si>
  <si>
    <t>411 Energy Inc.</t>
  </si>
  <si>
    <t>Mandy</t>
  </si>
  <si>
    <t>00-0000000</t>
  </si>
  <si>
    <t>500 McKinney Avenue</t>
  </si>
  <si>
    <t>Humberto</t>
  </si>
  <si>
    <t>27-3983793</t>
  </si>
  <si>
    <t>806 Main Hotel Group</t>
  </si>
  <si>
    <t>Pearl Hospitality</t>
  </si>
  <si>
    <t xml:space="preserve">Kris </t>
  </si>
  <si>
    <t>20-3377128</t>
  </si>
  <si>
    <t>A to Z Building Inspection Services</t>
  </si>
  <si>
    <t>Bill</t>
  </si>
  <si>
    <t>76-0590293</t>
  </si>
  <si>
    <t>A&amp;L VALVE AND FITTING LP</t>
  </si>
  <si>
    <t>ANTHONY</t>
  </si>
  <si>
    <t>17-4319974</t>
  </si>
  <si>
    <t>a1 energy</t>
  </si>
  <si>
    <t>74-3199748</t>
  </si>
  <si>
    <t>gaurang</t>
  </si>
  <si>
    <t>123-45-6789</t>
  </si>
  <si>
    <t>Aaahlens inc</t>
  </si>
  <si>
    <t>Kumar</t>
  </si>
  <si>
    <t>26-3832186</t>
  </si>
  <si>
    <t>Abaco Lighting</t>
  </si>
  <si>
    <t>Jeff</t>
  </si>
  <si>
    <t>32-0072114</t>
  </si>
  <si>
    <t>Acclaim Energy Advisors</t>
  </si>
  <si>
    <t>Ryk</t>
  </si>
  <si>
    <t>77-0116487</t>
  </si>
  <si>
    <t>Accor North America</t>
  </si>
  <si>
    <t>Sujita</t>
  </si>
  <si>
    <t>17-4183470</t>
  </si>
  <si>
    <t xml:space="preserve">Ace Mart Restaurant Supply Company </t>
  </si>
  <si>
    <t>Stephanie</t>
  </si>
  <si>
    <t>91-1774706</t>
  </si>
  <si>
    <t>ACES Carbon Monoxide Detection Systems</t>
  </si>
  <si>
    <t>AC Energy Systems, Inc.</t>
  </si>
  <si>
    <t>Maybeth</t>
  </si>
  <si>
    <t>74-2077948</t>
  </si>
  <si>
    <t>ACR Engineering, Inc.</t>
  </si>
  <si>
    <t xml:space="preserve">Rajesh </t>
  </si>
  <si>
    <t>87-0432946</t>
  </si>
  <si>
    <t xml:space="preserve">Advanced Lighting, Inc. </t>
  </si>
  <si>
    <t>Paula</t>
  </si>
  <si>
    <t>76-0437513</t>
  </si>
  <si>
    <t>Advanced Technologies, Inc.</t>
  </si>
  <si>
    <t>Fleitman Industries</t>
  </si>
  <si>
    <t>75-2985176</t>
  </si>
  <si>
    <t xml:space="preserve">Todd </t>
  </si>
  <si>
    <t>20-3962952</t>
  </si>
  <si>
    <t>Aelux</t>
  </si>
  <si>
    <t>Robert</t>
  </si>
  <si>
    <t>458-27-1000</t>
  </si>
  <si>
    <t>AEP Texas</t>
  </si>
  <si>
    <t>Gary</t>
  </si>
  <si>
    <t>27-0096130</t>
  </si>
  <si>
    <t>Air Liquide Large Industries U.S. LP</t>
  </si>
  <si>
    <t>17-5184990</t>
  </si>
  <si>
    <t>Air Performance Service, Inc.</t>
  </si>
  <si>
    <t>Jarrod</t>
  </si>
  <si>
    <t>30-0010741</t>
  </si>
  <si>
    <t>Air Texas Mechanical, Inc.</t>
  </si>
  <si>
    <t>Billy</t>
  </si>
  <si>
    <t>27-4101040</t>
  </si>
  <si>
    <t>Air Wind &amp; Solar</t>
  </si>
  <si>
    <t>Eric</t>
  </si>
  <si>
    <t>27-1219083</t>
  </si>
  <si>
    <t>Alliance Energy Solutions</t>
  </si>
  <si>
    <t>Grainger Service Holding Company</t>
  </si>
  <si>
    <t>264-06-2242</t>
  </si>
  <si>
    <t>Jay</t>
  </si>
  <si>
    <t>45-0562195</t>
  </si>
  <si>
    <t>Alternative Power Solutions</t>
  </si>
  <si>
    <t>N/A</t>
  </si>
  <si>
    <t>Donovan</t>
  </si>
  <si>
    <t>48-1206049</t>
  </si>
  <si>
    <t>American Energy Solutions, Inc.</t>
  </si>
  <si>
    <t>Denise</t>
  </si>
  <si>
    <t>74-2240238</t>
  </si>
  <si>
    <t>American Light</t>
  </si>
  <si>
    <t>Ryan</t>
  </si>
  <si>
    <t>221-40-6993</t>
  </si>
  <si>
    <t>Facility Solutions Group</t>
  </si>
  <si>
    <t>Bob</t>
  </si>
  <si>
    <t>95-1864029</t>
  </si>
  <si>
    <t>Amtech Lighting Services</t>
  </si>
  <si>
    <t xml:space="preserve">Camille </t>
  </si>
  <si>
    <t>20-2125682</t>
  </si>
  <si>
    <t>Apollo BBC</t>
  </si>
  <si>
    <t>Tim</t>
  </si>
  <si>
    <t>04-3077744</t>
  </si>
  <si>
    <t>Aqualine Resources, Inc.</t>
  </si>
  <si>
    <t>Barry</t>
  </si>
  <si>
    <t>14-1234123</t>
  </si>
  <si>
    <t>75-1912404</t>
  </si>
  <si>
    <t>Assa Abloy Hospitality</t>
  </si>
  <si>
    <t>David</t>
  </si>
  <si>
    <t>80-0612286</t>
  </si>
  <si>
    <t>Aureole Lighting</t>
  </si>
  <si>
    <t>Aureole Li</t>
  </si>
  <si>
    <t>John</t>
  </si>
  <si>
    <t>456-74-6581</t>
  </si>
  <si>
    <t>AutoLite</t>
  </si>
  <si>
    <t>Chad</t>
  </si>
  <si>
    <t>82-0540614</t>
  </si>
  <si>
    <t>Automated Logic / United Environmental Services</t>
  </si>
  <si>
    <t>Kirk</t>
  </si>
  <si>
    <t>76-0444883</t>
  </si>
  <si>
    <t>AutoNation</t>
  </si>
  <si>
    <t>Nicholas</t>
  </si>
  <si>
    <t>74-1597657</t>
  </si>
  <si>
    <t>B S P Marketing, LP</t>
  </si>
  <si>
    <t xml:space="preserve">Sam </t>
  </si>
  <si>
    <t>26-0763392</t>
  </si>
  <si>
    <t>B&amp;MS Construction, INC</t>
  </si>
  <si>
    <t>Kevin</t>
  </si>
  <si>
    <t>46-1288108</t>
  </si>
  <si>
    <t>B3 Energy Consulting</t>
  </si>
  <si>
    <t>Keith</t>
  </si>
  <si>
    <t>450-84-9775</t>
  </si>
  <si>
    <t>Baker Hughes</t>
  </si>
  <si>
    <t>BHI</t>
  </si>
  <si>
    <t>94-1302886</t>
  </si>
  <si>
    <t>Richard</t>
  </si>
  <si>
    <t>Baker Hughes, Inc</t>
  </si>
  <si>
    <t>Jared</t>
  </si>
  <si>
    <t>435-23-6210</t>
  </si>
  <si>
    <t>Bambu Energy</t>
  </si>
  <si>
    <t>Douglas</t>
  </si>
  <si>
    <t>74-2225928</t>
  </si>
  <si>
    <t>Barnes and Noble</t>
  </si>
  <si>
    <t>76-0002625</t>
  </si>
  <si>
    <t>Bee Electrical L.P.</t>
  </si>
  <si>
    <t>Josh</t>
  </si>
  <si>
    <t>75-2737223</t>
  </si>
  <si>
    <t>Ben E Keith Foods</t>
  </si>
  <si>
    <t>Ben E Keith Company</t>
  </si>
  <si>
    <t>04-2748604</t>
  </si>
  <si>
    <t>Bertling Logistics</t>
  </si>
  <si>
    <t>Bryan</t>
  </si>
  <si>
    <t>41-1822872</t>
  </si>
  <si>
    <t>Best buy</t>
  </si>
  <si>
    <t>Kimathi</t>
  </si>
  <si>
    <t>42-1759304</t>
  </si>
  <si>
    <t>BINZ 1001 TEXAS AVE, LLC</t>
  </si>
  <si>
    <t xml:space="preserve">Behrouz </t>
  </si>
  <si>
    <t>20-4016972</t>
  </si>
  <si>
    <t>Blanco Electric LTD Co</t>
  </si>
  <si>
    <t>Joseph</t>
  </si>
  <si>
    <t>457-82-7362</t>
  </si>
  <si>
    <t>BLDW LED Lighting &amp; Installation</t>
  </si>
  <si>
    <t>Janet</t>
  </si>
  <si>
    <t>03-0459115</t>
  </si>
  <si>
    <t>BlueStar Energy</t>
  </si>
  <si>
    <t>Ken</t>
  </si>
  <si>
    <t>20-3911172</t>
  </si>
  <si>
    <t>Bluestone Construction, LLC</t>
  </si>
  <si>
    <t>Jim</t>
  </si>
  <si>
    <t>13-3558600</t>
  </si>
  <si>
    <t>BMS Management Inc.</t>
  </si>
  <si>
    <t>Bahman</t>
  </si>
  <si>
    <t>77-0688037</t>
  </si>
  <si>
    <t>Bocci Engineering</t>
  </si>
  <si>
    <t>Lianne</t>
  </si>
  <si>
    <t>453-21-2014</t>
  </si>
  <si>
    <t>Boyd Electric Co.</t>
  </si>
  <si>
    <t xml:space="preserve">Richard </t>
  </si>
  <si>
    <t>36-3719446</t>
  </si>
  <si>
    <t>Boyd Electric, Inc.</t>
  </si>
  <si>
    <t>Boyd Energ</t>
  </si>
  <si>
    <t>36-3421804</t>
  </si>
  <si>
    <t>BP</t>
  </si>
  <si>
    <t>Sumit</t>
  </si>
  <si>
    <t>76-0547298</t>
  </si>
  <si>
    <t>Brewer Capital Group</t>
  </si>
  <si>
    <t>Stephen</t>
  </si>
  <si>
    <t>75-2547105</t>
  </si>
  <si>
    <t>Brincorp</t>
  </si>
  <si>
    <t>boyd</t>
  </si>
  <si>
    <t>33-1108998</t>
  </si>
  <si>
    <t>Brothers Lighting &amp; Electrical Specialist, Inc.</t>
  </si>
  <si>
    <t>Brendan</t>
  </si>
  <si>
    <t>06-1798842</t>
  </si>
  <si>
    <t>Bryan Miller Gallery</t>
  </si>
  <si>
    <t>41-1553679</t>
  </si>
  <si>
    <t>Budget Lighting Inc.</t>
  </si>
  <si>
    <t>Juliann</t>
  </si>
  <si>
    <t>84-1633941</t>
  </si>
  <si>
    <t xml:space="preserve">Building Energy Solution and Technology </t>
  </si>
  <si>
    <t xml:space="preserve">Jason </t>
  </si>
  <si>
    <t>22-4633782</t>
  </si>
  <si>
    <t>Burlington Coat Factory</t>
  </si>
  <si>
    <t>Burlington Coat Factory Warehouse</t>
  </si>
  <si>
    <t>22-1970303</t>
  </si>
  <si>
    <t>Diane</t>
  </si>
  <si>
    <t>76-0110480</t>
  </si>
  <si>
    <t>Burns DeLatte &amp; McCoy, Inc.</t>
  </si>
  <si>
    <t>same</t>
  </si>
  <si>
    <t>463-43-2678</t>
  </si>
  <si>
    <t>Caliber Lighting and Energy</t>
  </si>
  <si>
    <t>Lynn</t>
  </si>
  <si>
    <t>54-0649949</t>
  </si>
  <si>
    <t>CARMAX</t>
  </si>
  <si>
    <t xml:space="preserve">JOE </t>
  </si>
  <si>
    <t>10-6099171</t>
  </si>
  <si>
    <t>Carrier Commercial Service</t>
  </si>
  <si>
    <t>Carrier Corporation</t>
  </si>
  <si>
    <t>06-1519509</t>
  </si>
  <si>
    <t>Carrier South Texas</t>
  </si>
  <si>
    <t>Bruce</t>
  </si>
  <si>
    <t>93-1124681</t>
  </si>
  <si>
    <t>Cascade Energy, Inc.</t>
  </si>
  <si>
    <t xml:space="preserve">Paul </t>
  </si>
  <si>
    <t>77-0559191</t>
  </si>
  <si>
    <t>CED Conroe</t>
  </si>
  <si>
    <t>Consolidated Electrical Distributors</t>
  </si>
  <si>
    <t>17-7055919</t>
  </si>
  <si>
    <t>CED Houston</t>
  </si>
  <si>
    <t>Mark</t>
  </si>
  <si>
    <t>41-1396485</t>
  </si>
  <si>
    <t>Chart Inc.</t>
  </si>
  <si>
    <t>Daniel</t>
  </si>
  <si>
    <t>25-0527925</t>
  </si>
  <si>
    <t>Chevron Energy Solutions Company, a Division of Ch</t>
  </si>
  <si>
    <t>Chevron U.S.A. Inc.</t>
  </si>
  <si>
    <t>26-2462070</t>
  </si>
  <si>
    <t>Chilson Enterprise, LLC dba Magnum Roofing</t>
  </si>
  <si>
    <t>Piper</t>
  </si>
  <si>
    <t>74-1887135</t>
  </si>
  <si>
    <t>None</t>
  </si>
  <si>
    <t>74-6001164</t>
  </si>
  <si>
    <t>City of Houston</t>
  </si>
  <si>
    <t>Felix</t>
  </si>
  <si>
    <t>76-0577904</t>
  </si>
  <si>
    <t>Clay Development &amp; Construction, Inc.</t>
  </si>
  <si>
    <t>Louis</t>
  </si>
  <si>
    <t>86-0983124</t>
  </si>
  <si>
    <t>Coleman Hines</t>
  </si>
  <si>
    <t>Jeanette</t>
  </si>
  <si>
    <t>13-4030389</t>
  </si>
  <si>
    <t>Coleman Hines / Barnes and Noble</t>
  </si>
  <si>
    <t xml:space="preserve">Jeff </t>
  </si>
  <si>
    <t>75-1914582</t>
  </si>
  <si>
    <t>Coleman Hines / Brinker International Payroll Co</t>
  </si>
  <si>
    <t>Diana</t>
  </si>
  <si>
    <t>94-3024325</t>
  </si>
  <si>
    <t>Coleman Hines / PETsMART Inc</t>
  </si>
  <si>
    <t>463-69-3293</t>
  </si>
  <si>
    <t>Comfort Suites Westchase</t>
  </si>
  <si>
    <t>Piyush</t>
  </si>
  <si>
    <t>74-2880221</t>
  </si>
  <si>
    <t>Comfort Systems USA</t>
  </si>
  <si>
    <t xml:space="preserve">Albert </t>
  </si>
  <si>
    <t>95-4714890</t>
  </si>
  <si>
    <t>Constellation NewEnergy, Inc.</t>
  </si>
  <si>
    <t xml:space="preserve">Ian </t>
  </si>
  <si>
    <t>90-0325451</t>
  </si>
  <si>
    <t>Convergentz</t>
  </si>
  <si>
    <t>Greens Road B LLC</t>
  </si>
  <si>
    <t>William Greg</t>
  </si>
  <si>
    <t>91-1223280</t>
  </si>
  <si>
    <t>Costco Wholesale</t>
  </si>
  <si>
    <t>Deanna</t>
  </si>
  <si>
    <t>05-0340626</t>
  </si>
  <si>
    <t>CVS pharmacy</t>
  </si>
  <si>
    <t>Anne</t>
  </si>
  <si>
    <t>76-0236465</t>
  </si>
  <si>
    <t>Cyberonics</t>
  </si>
  <si>
    <t xml:space="preserve">Joe </t>
  </si>
  <si>
    <t>74-6000654</t>
  </si>
  <si>
    <t>Cypress Fairbanks ISD</t>
  </si>
  <si>
    <t>Glen</t>
  </si>
  <si>
    <t>61-1260060</t>
  </si>
  <si>
    <t>Delta T Corporation d/b/a Big Ass Fans</t>
  </si>
  <si>
    <t>Alex</t>
  </si>
  <si>
    <t>74-2430844</t>
  </si>
  <si>
    <t>Design Electric</t>
  </si>
  <si>
    <t>Abel</t>
  </si>
  <si>
    <t>72-2430844</t>
  </si>
  <si>
    <t xml:space="preserve">Design Electric </t>
  </si>
  <si>
    <t xml:space="preserve">Abel </t>
  </si>
  <si>
    <t>43-1791209</t>
  </si>
  <si>
    <t>DI Hotels Corp</t>
  </si>
  <si>
    <t>Danielle</t>
  </si>
  <si>
    <t>143-84-2773</t>
  </si>
  <si>
    <t>Dialight Corporation</t>
  </si>
  <si>
    <t>http://www</t>
  </si>
  <si>
    <t>32-0205291</t>
  </si>
  <si>
    <t>Diversified Lighting Technology</t>
  </si>
  <si>
    <t xml:space="preserve">Leland </t>
  </si>
  <si>
    <t>17-6068969</t>
  </si>
  <si>
    <t>Divine Lighting</t>
  </si>
  <si>
    <t xml:space="preserve">Mike </t>
  </si>
  <si>
    <t>20-3205996</t>
  </si>
  <si>
    <t>DP Electronics</t>
  </si>
  <si>
    <t>Kelly</t>
  </si>
  <si>
    <t>43-1386167</t>
  </si>
  <si>
    <t>Drury Southwest, Inc.</t>
  </si>
  <si>
    <t>76-0524096</t>
  </si>
  <si>
    <t>Dynamic Orthotics and Prosthetics</t>
  </si>
  <si>
    <t xml:space="preserve">Andrew </t>
  </si>
  <si>
    <t>33-1020656</t>
  </si>
  <si>
    <t>Dynamic Voice Data</t>
  </si>
  <si>
    <t>Ferdie</t>
  </si>
  <si>
    <t>58-1135560</t>
  </si>
  <si>
    <t>E. Sam Jones Distributor, Inc.</t>
  </si>
  <si>
    <t>04-3587771</t>
  </si>
  <si>
    <t>E/B/E, Inc.</t>
  </si>
  <si>
    <t>86-1027620</t>
  </si>
  <si>
    <t>Earth Savers Energy Services, Inc.</t>
  </si>
  <si>
    <t>Randall</t>
  </si>
  <si>
    <t>20-3843563</t>
  </si>
  <si>
    <t>Eco Engineering, LLC</t>
  </si>
  <si>
    <t xml:space="preserve">Clint </t>
  </si>
  <si>
    <t>27-0696160</t>
  </si>
  <si>
    <t>Eco Lighting Solutions</t>
  </si>
  <si>
    <t>Level Solutions</t>
  </si>
  <si>
    <t>William</t>
  </si>
  <si>
    <t>91-1701028</t>
  </si>
  <si>
    <t xml:space="preserve">Ecova Inc </t>
  </si>
  <si>
    <t xml:space="preserve">Henry </t>
  </si>
  <si>
    <t>01-0704150</t>
  </si>
  <si>
    <t>Efficiency Energy Services</t>
  </si>
  <si>
    <t>Daniel Shannon Purcell, LLC</t>
  </si>
  <si>
    <t>27-3670104</t>
  </si>
  <si>
    <t xml:space="preserve">Efficient Energy America Inc </t>
  </si>
  <si>
    <t xml:space="preserve">Chris </t>
  </si>
  <si>
    <t>45-0576517</t>
  </si>
  <si>
    <t>Efficient Lighting Consultants</t>
  </si>
  <si>
    <t>Tom</t>
  </si>
  <si>
    <t>77-0606672</t>
  </si>
  <si>
    <t>Efficient Lighting Masters, Inc.</t>
  </si>
  <si>
    <t>Same</t>
  </si>
  <si>
    <t>20-0984239</t>
  </si>
  <si>
    <t>Eisenbach Consulting, LLC</t>
  </si>
  <si>
    <t>Sandy</t>
  </si>
  <si>
    <t>063-54-0451</t>
  </si>
  <si>
    <t>Electric Works</t>
  </si>
  <si>
    <t>Gurnel</t>
  </si>
  <si>
    <t>54-1929972</t>
  </si>
  <si>
    <t>EMO Energy Solutions, LLC</t>
  </si>
  <si>
    <t>26-4728305</t>
  </si>
  <si>
    <t>Energy &amp; Lighting Innovations LLC</t>
  </si>
  <si>
    <t>13-5969775</t>
  </si>
  <si>
    <t>Energy Conservation &amp; Supply Inc.</t>
  </si>
  <si>
    <t>Ricky</t>
  </si>
  <si>
    <t>68-0656817</t>
  </si>
  <si>
    <t>Energy Design Service Systems</t>
  </si>
  <si>
    <t xml:space="preserve">Kimathi </t>
  </si>
  <si>
    <t>30-0641543</t>
  </si>
  <si>
    <t>Energy Efficiency &amp; Sustainability</t>
  </si>
  <si>
    <t xml:space="preserve">NR Energy Solutions </t>
  </si>
  <si>
    <t>Adam</t>
  </si>
  <si>
    <t>30-0641544</t>
  </si>
  <si>
    <t>Energy Efficiency &amp; Sustainability Consulting</t>
  </si>
  <si>
    <t xml:space="preserve">Chery </t>
  </si>
  <si>
    <t>Dan</t>
  </si>
  <si>
    <t>74-1904410</t>
  </si>
  <si>
    <t>Energy Engineering Associates, Inc.</t>
  </si>
  <si>
    <t>Don</t>
  </si>
  <si>
    <t>54-0493875</t>
  </si>
  <si>
    <t>Energy Logic / Circuit City Stores, Inc.</t>
  </si>
  <si>
    <t xml:space="preserve">Carolyn </t>
  </si>
  <si>
    <t>04-2896127</t>
  </si>
  <si>
    <t>Energy Logic / Staples, Inc.</t>
  </si>
  <si>
    <t>Carolyn</t>
  </si>
  <si>
    <t>20-0029039</t>
  </si>
  <si>
    <t>Energy Management Collaborative, llc</t>
  </si>
  <si>
    <t>Juli</t>
  </si>
  <si>
    <t>35-1707546</t>
  </si>
  <si>
    <t>Energy Mangement Systems</t>
  </si>
  <si>
    <t>Gillian</t>
  </si>
  <si>
    <t>75-2723992</t>
  </si>
  <si>
    <t>Energy Partners Alliance</t>
  </si>
  <si>
    <t>56-2665874</t>
  </si>
  <si>
    <t>Energy Partners Alliance, LLC</t>
  </si>
  <si>
    <t>20-8962882</t>
  </si>
  <si>
    <t xml:space="preserve">Energy Retrofitters, Inc. </t>
  </si>
  <si>
    <t xml:space="preserve">Steve </t>
  </si>
  <si>
    <t>26-0439952</t>
  </si>
  <si>
    <t>Energy Saving Management Systems (ESMS)</t>
  </si>
  <si>
    <t>Karli</t>
  </si>
  <si>
    <t>13-4228834</t>
  </si>
  <si>
    <t>Energy Saving Strategies</t>
  </si>
  <si>
    <t>Linda Gregory, LLC</t>
  </si>
  <si>
    <t>13-4228824</t>
  </si>
  <si>
    <t>Farz</t>
  </si>
  <si>
    <t>37-1107651</t>
  </si>
  <si>
    <t>Entech Sales and Service, Inc</t>
  </si>
  <si>
    <t>Brian</t>
  </si>
  <si>
    <t>72-1431882</t>
  </si>
  <si>
    <t>Entergy Solutions District Cooling</t>
  </si>
  <si>
    <t>27-0166740</t>
  </si>
  <si>
    <t>ENVIROLITE LLC</t>
  </si>
  <si>
    <t>Ed</t>
  </si>
  <si>
    <t>27-2446260</t>
  </si>
  <si>
    <t>ESA Energy Systems Associates, Inc.</t>
  </si>
  <si>
    <t>Terracon</t>
  </si>
  <si>
    <t>04-3208665</t>
  </si>
  <si>
    <t>ESCO Energy Services Company</t>
  </si>
  <si>
    <t xml:space="preserve">Mitchell </t>
  </si>
  <si>
    <t>27-0560364</t>
  </si>
  <si>
    <t>Essential Energy Services, Inc</t>
  </si>
  <si>
    <t>Scott</t>
  </si>
  <si>
    <t>56-2247938</t>
  </si>
  <si>
    <t>27-0265823</t>
  </si>
  <si>
    <t>E-Tex Energy Systems LLC</t>
  </si>
  <si>
    <t>Tricia</t>
  </si>
  <si>
    <t>72-1485392</t>
  </si>
  <si>
    <t>Evaporcool Solutions, LLC</t>
  </si>
  <si>
    <t>Dustin</t>
  </si>
  <si>
    <t>04-2801160</t>
  </si>
  <si>
    <t>Exel</t>
  </si>
  <si>
    <t>450-76-5266</t>
  </si>
  <si>
    <t>Expert Energy Services</t>
  </si>
  <si>
    <t>76-0190881</t>
  </si>
  <si>
    <t>Express Electrical Services</t>
  </si>
  <si>
    <t>Daine</t>
  </si>
  <si>
    <t>75-3027614</t>
  </si>
  <si>
    <t>Facilities Mechanical, Inc.</t>
  </si>
  <si>
    <t>14-3077744</t>
  </si>
  <si>
    <t xml:space="preserve">Brian </t>
  </si>
  <si>
    <t>27-3475462</t>
  </si>
  <si>
    <t>FE2 Solutions</t>
  </si>
  <si>
    <t>Greg</t>
  </si>
  <si>
    <t>75-0793101</t>
  </si>
  <si>
    <t>Federal Reserve Bank of Dallas- Houston office</t>
  </si>
  <si>
    <t>JACOB</t>
  </si>
  <si>
    <t>65-0781847</t>
  </si>
  <si>
    <t>Fine Line Electric</t>
  </si>
  <si>
    <t>Melanie</t>
  </si>
  <si>
    <t>74-1238422</t>
  </si>
  <si>
    <t>First United Methodist Church Katy</t>
  </si>
  <si>
    <t>Delores</t>
  </si>
  <si>
    <t>95-2758280</t>
  </si>
  <si>
    <t>Fluor Enterprises, Inc</t>
  </si>
  <si>
    <t>91-2195336</t>
  </si>
  <si>
    <t>Flux Drive, Inc</t>
  </si>
  <si>
    <t>Libby</t>
  </si>
  <si>
    <t>75-0281470</t>
  </si>
  <si>
    <t>Frito Lay Inc.</t>
  </si>
  <si>
    <t>12-3456790</t>
  </si>
  <si>
    <t>74-2942838</t>
  </si>
  <si>
    <t>FSG Lighting</t>
  </si>
  <si>
    <t>Garrett</t>
  </si>
  <si>
    <t>74-2921902</t>
  </si>
  <si>
    <t>G&amp;R Electrical Construction, Inc.</t>
  </si>
  <si>
    <t>Lisa</t>
  </si>
  <si>
    <t>94-1697231</t>
  </si>
  <si>
    <t>Gap inc</t>
  </si>
  <si>
    <t>75-2304244</t>
  </si>
  <si>
    <t xml:space="preserve">Luke </t>
  </si>
  <si>
    <t>76-0484957</t>
  </si>
  <si>
    <t>Garden Ridge LP</t>
  </si>
  <si>
    <t>Christian</t>
  </si>
  <si>
    <t>20-5021902</t>
  </si>
  <si>
    <t>General Supply &amp; Services dba Gexpro</t>
  </si>
  <si>
    <t>Valerie</t>
  </si>
  <si>
    <t>20-3109268</t>
  </si>
  <si>
    <t>Goodrum Investments</t>
  </si>
  <si>
    <t>Tera</t>
  </si>
  <si>
    <t>13-0794380</t>
  </si>
  <si>
    <t>Graybar Electric Company</t>
  </si>
  <si>
    <t>27-2236951</t>
  </si>
  <si>
    <t>GREEN BUILDING SCIENCE NETWORK</t>
  </si>
  <si>
    <t>SYED</t>
  </si>
  <si>
    <t>45-2158079</t>
  </si>
  <si>
    <t>Green Generation Solutions LLC</t>
  </si>
  <si>
    <t>Nino</t>
  </si>
  <si>
    <t>27-3796861</t>
  </si>
  <si>
    <t>Green Light Midwest</t>
  </si>
  <si>
    <t>Michael</t>
  </si>
  <si>
    <t>26-4468991</t>
  </si>
  <si>
    <t>GreenLight Energy Services LLC</t>
  </si>
  <si>
    <t>46-3150413</t>
  </si>
  <si>
    <t>GreenSave</t>
  </si>
  <si>
    <t>31-4388903</t>
  </si>
  <si>
    <t>Greif, LLC</t>
  </si>
  <si>
    <t xml:space="preserve">Mandon </t>
  </si>
  <si>
    <t>20-3201365</t>
  </si>
  <si>
    <t>Groom Energy Solutions</t>
  </si>
  <si>
    <t>Magnus</t>
  </si>
  <si>
    <t>56-2352186</t>
  </si>
  <si>
    <t>GROUP-S LLC d/b/a EN-POWER GROUP</t>
  </si>
  <si>
    <t>76-0277765</t>
  </si>
  <si>
    <t>Hargrave Electric</t>
  </si>
  <si>
    <t>35-0965412</t>
  </si>
  <si>
    <t>Havel</t>
  </si>
  <si>
    <t>Rich</t>
  </si>
  <si>
    <t>46-0524709</t>
  </si>
  <si>
    <t>HC Energy LLC.</t>
  </si>
  <si>
    <t>Clay</t>
  </si>
  <si>
    <t>74-3010657</t>
  </si>
  <si>
    <t>HEB Grocery</t>
  </si>
  <si>
    <t>Manuel</t>
  </si>
  <si>
    <t>509-74-5949</t>
  </si>
  <si>
    <t>Henderson Engineers</t>
  </si>
  <si>
    <t>94-1081436</t>
  </si>
  <si>
    <t>Hewlett-Packard Company</t>
  </si>
  <si>
    <t>Renato</t>
  </si>
  <si>
    <t>76-0193634</t>
  </si>
  <si>
    <t>Highlights Electrical</t>
  </si>
  <si>
    <t>Highlights of Houston Incorporated</t>
  </si>
  <si>
    <t xml:space="preserve">George </t>
  </si>
  <si>
    <t>72-1449493</t>
  </si>
  <si>
    <t>Hillhouse Power Solutions, Inc.</t>
  </si>
  <si>
    <t>76-0569681</t>
  </si>
  <si>
    <t>HK Capital Management</t>
  </si>
  <si>
    <t>HK Capital</t>
  </si>
  <si>
    <t>Alice</t>
  </si>
  <si>
    <t>73-1438801</t>
  </si>
  <si>
    <t>Hob-Lob, LP</t>
  </si>
  <si>
    <t>Kathy</t>
  </si>
  <si>
    <t>74-1394920</t>
  </si>
  <si>
    <t>Houston Ballet</t>
  </si>
  <si>
    <t>Lorrie</t>
  </si>
  <si>
    <t>76-0651209</t>
  </si>
  <si>
    <t>Houston First Corporation</t>
  </si>
  <si>
    <t>20-8578550</t>
  </si>
  <si>
    <t>Houston Grand Parkway LP</t>
  </si>
  <si>
    <t>498-60-7693</t>
  </si>
  <si>
    <t>Hunton Trane CSG 2006</t>
  </si>
  <si>
    <t>76-0632717</t>
  </si>
  <si>
    <t>Hunton Trane Services</t>
  </si>
  <si>
    <t>76-0641692</t>
  </si>
  <si>
    <t>Jimmy</t>
  </si>
  <si>
    <t>76-0638357</t>
  </si>
  <si>
    <t xml:space="preserve">Huper optik usa </t>
  </si>
  <si>
    <t>74-1690593</t>
  </si>
  <si>
    <t>I. A. Naman + Associates, Inc.</t>
  </si>
  <si>
    <t>76-0590586</t>
  </si>
  <si>
    <t>I-45 N. Professional Bldg.</t>
  </si>
  <si>
    <t>4615 Investors LLC</t>
  </si>
  <si>
    <t>Zack</t>
  </si>
  <si>
    <t>34-1732221</t>
  </si>
  <si>
    <t>ILLUMETEK CORP</t>
  </si>
  <si>
    <t>DENISE</t>
  </si>
  <si>
    <t>46-3714396</t>
  </si>
  <si>
    <t>Imperial Utilities &amp; Sustainability, Inc</t>
  </si>
  <si>
    <t>Paul</t>
  </si>
  <si>
    <t>58-2648603</t>
  </si>
  <si>
    <t xml:space="preserve">ING Clarion </t>
  </si>
  <si>
    <t>56-2326011</t>
  </si>
  <si>
    <t>Innovative Performance Contracting, Inc</t>
  </si>
  <si>
    <t>Johnny</t>
  </si>
  <si>
    <t>56-2358003</t>
  </si>
  <si>
    <t>Innovative Power Solutions, LLC</t>
  </si>
  <si>
    <t>Joe</t>
  </si>
  <si>
    <t>27-4029185</t>
  </si>
  <si>
    <t>INTEC Controls</t>
  </si>
  <si>
    <t>LKCM WM Intec, LLC</t>
  </si>
  <si>
    <t>27-4029111</t>
  </si>
  <si>
    <t>91-2145721</t>
  </si>
  <si>
    <t>Internap Network Services Corporation</t>
  </si>
  <si>
    <t>20-4713543</t>
  </si>
  <si>
    <t>IT'Z Texas, L. P.</t>
  </si>
  <si>
    <t>Bang</t>
  </si>
  <si>
    <t>76-0370945</t>
  </si>
  <si>
    <t>J L Wood Electric Co Inc</t>
  </si>
  <si>
    <t>James</t>
  </si>
  <si>
    <t>20-3246812</t>
  </si>
  <si>
    <t>J&amp;V ELECTRIC COMPANY</t>
  </si>
  <si>
    <t>J&amp;V Electr</t>
  </si>
  <si>
    <t>Raymond</t>
  </si>
  <si>
    <t>13-5583779</t>
  </si>
  <si>
    <t>J. C. Penney Corporation, Inc.</t>
  </si>
  <si>
    <t>76-0385181</t>
  </si>
  <si>
    <t>Jacob White Construction Company</t>
  </si>
  <si>
    <t>415-47-9211</t>
  </si>
  <si>
    <t>Jake Marshall Service Inc</t>
  </si>
  <si>
    <t>Eddie</t>
  </si>
  <si>
    <t>75-2309957</t>
  </si>
  <si>
    <t>JBI Electrical Systems Inc.</t>
  </si>
  <si>
    <t>234-29-5886</t>
  </si>
  <si>
    <t>JDM Associates</t>
  </si>
  <si>
    <t>JDM Associ</t>
  </si>
  <si>
    <t>Aaron</t>
  </si>
  <si>
    <t>26-0468637</t>
  </si>
  <si>
    <t xml:space="preserve">Jim Whitten Roof Consultants, LLCM </t>
  </si>
  <si>
    <t>46-1466657</t>
  </si>
  <si>
    <t>K &amp; L Facility Advisors, LLC</t>
  </si>
  <si>
    <t>Tiffany</t>
  </si>
  <si>
    <t>22-2092160</t>
  </si>
  <si>
    <t>KATOEN NATIE GULF COAST INC.</t>
  </si>
  <si>
    <t>DAN</t>
  </si>
  <si>
    <t>45-4220061</t>
  </si>
  <si>
    <t>Kim Neal &amp; Associates, LLC</t>
  </si>
  <si>
    <t>Wes</t>
  </si>
  <si>
    <t>45-4070932</t>
  </si>
  <si>
    <t>Kingsgate Energy</t>
  </si>
  <si>
    <t>Travis</t>
  </si>
  <si>
    <t>27-2333920</t>
  </si>
  <si>
    <t>KirEnergy Services LLC</t>
  </si>
  <si>
    <t>74-1954173</t>
  </si>
  <si>
    <t>KIRKSEY</t>
  </si>
  <si>
    <t>KAPIL</t>
  </si>
  <si>
    <t>74-6002337</t>
  </si>
  <si>
    <t>Klein Independent School District</t>
  </si>
  <si>
    <t>31-1569568</t>
  </si>
  <si>
    <t>Kroger</t>
  </si>
  <si>
    <t>Kip</t>
  </si>
  <si>
    <t>95-4356030</t>
  </si>
  <si>
    <t xml:space="preserve">Tim </t>
  </si>
  <si>
    <t>31-0345740</t>
  </si>
  <si>
    <t>The Kroger Co.</t>
  </si>
  <si>
    <t>Kyle</t>
  </si>
  <si>
    <t>35-2386849</t>
  </si>
  <si>
    <t>L&amp;G Energy Solutions</t>
  </si>
  <si>
    <t xml:space="preserve">Alejandro </t>
  </si>
  <si>
    <t>76-0050308</t>
  </si>
  <si>
    <t>Landmark Industries</t>
  </si>
  <si>
    <t>54-2080495</t>
  </si>
  <si>
    <t>Lange Mechanical Services, LP</t>
  </si>
  <si>
    <t>Stanley</t>
  </si>
  <si>
    <t>407-35-6291</t>
  </si>
  <si>
    <t>LED Lighting of Houston</t>
  </si>
  <si>
    <t xml:space="preserve">Joshua </t>
  </si>
  <si>
    <t>27-2271180</t>
  </si>
  <si>
    <t>LEDi2 Inc</t>
  </si>
  <si>
    <t>17-4118944</t>
  </si>
  <si>
    <t>Letsos Company</t>
  </si>
  <si>
    <t>47-0807040</t>
  </si>
  <si>
    <t>Level 3 Communications</t>
  </si>
  <si>
    <t>Steve</t>
  </si>
  <si>
    <t>16-1697036</t>
  </si>
  <si>
    <t>Lighting network</t>
  </si>
  <si>
    <t xml:space="preserve">Calvin </t>
  </si>
  <si>
    <t>16-1967036</t>
  </si>
  <si>
    <t>LIGHTING NETWORK, LLC</t>
  </si>
  <si>
    <t xml:space="preserve">CALVIN </t>
  </si>
  <si>
    <t>04-3095032</t>
  </si>
  <si>
    <t>Lime Energy Services Company</t>
  </si>
  <si>
    <t>Lime Energy</t>
  </si>
  <si>
    <t>36-4197337</t>
  </si>
  <si>
    <t>467-17-7519</t>
  </si>
  <si>
    <t>Lime Energy, Inc.</t>
  </si>
  <si>
    <t>Julia</t>
  </si>
  <si>
    <t>95-4404089</t>
  </si>
  <si>
    <t>Linc Lighting and Electric</t>
  </si>
  <si>
    <t>The Linc Group</t>
  </si>
  <si>
    <t>20-0357050</t>
  </si>
  <si>
    <t>Linc Service, LLC</t>
  </si>
  <si>
    <t>56-0748358</t>
  </si>
  <si>
    <t>Lowe''s Home Centers, Inc.</t>
  </si>
  <si>
    <t>Bradley</t>
  </si>
  <si>
    <t>20-4043969</t>
  </si>
  <si>
    <t>LQ Management LLC.</t>
  </si>
  <si>
    <t>Elizabeth</t>
  </si>
  <si>
    <t>583-38-3944</t>
  </si>
  <si>
    <t>Lutron Electronics</t>
  </si>
  <si>
    <t xml:space="preserve">Robert </t>
  </si>
  <si>
    <t>27-1173058</t>
  </si>
  <si>
    <t>LVI ENERGY</t>
  </si>
  <si>
    <t>35-1562013</t>
  </si>
  <si>
    <t>M S International Inc</t>
  </si>
  <si>
    <t>Vijay</t>
  </si>
  <si>
    <t>20-0887803</t>
  </si>
  <si>
    <t>M.C. LIGHTING MAINTENANCE, LLC</t>
  </si>
  <si>
    <t>LESLIE</t>
  </si>
  <si>
    <t>43-0398035</t>
  </si>
  <si>
    <t>Macy''s</t>
  </si>
  <si>
    <t>Maureen</t>
  </si>
  <si>
    <t>26-0420071</t>
  </si>
  <si>
    <t>Maneri Agraz, LLC.</t>
  </si>
  <si>
    <t>Maneri~Agraz, LLC.</t>
  </si>
  <si>
    <t>Maneri~Agr</t>
  </si>
  <si>
    <t>34-0768831</t>
  </si>
  <si>
    <t>Mantua Manufacturing</t>
  </si>
  <si>
    <t>Pat</t>
  </si>
  <si>
    <t>76-0310923</t>
  </si>
  <si>
    <t>Marlin Environmental Products, Inc</t>
  </si>
  <si>
    <t>74-2460354</t>
  </si>
  <si>
    <t>Matheson Trigas</t>
  </si>
  <si>
    <t>Doug</t>
  </si>
  <si>
    <t>68-0640099</t>
  </si>
  <si>
    <t>Maximus Coffee Group</t>
  </si>
  <si>
    <t>Yvonne</t>
  </si>
  <si>
    <t>94-1722463</t>
  </si>
  <si>
    <t>Mazzetti Nash Lipsey Burch</t>
  </si>
  <si>
    <t>48-0630549</t>
  </si>
  <si>
    <t>McBride Electric</t>
  </si>
  <si>
    <t>McBride of America</t>
  </si>
  <si>
    <t>91-2055773</t>
  </si>
  <si>
    <t>McKinstry Co.</t>
  </si>
  <si>
    <t xml:space="preserve">Benjamin </t>
  </si>
  <si>
    <t>74-6001118</t>
  </si>
  <si>
    <t>MD Anderson Cancer Center</t>
  </si>
  <si>
    <t>kiya</t>
  </si>
  <si>
    <t>56-1973119</t>
  </si>
  <si>
    <t>Mechanical Systems and Services</t>
  </si>
  <si>
    <t>31-1488610</t>
  </si>
  <si>
    <t>Melink Corporation</t>
  </si>
  <si>
    <t>74-1362536</t>
  </si>
  <si>
    <t>Memorial Drive Prebyterian Church</t>
  </si>
  <si>
    <t>Carter</t>
  </si>
  <si>
    <t>12-3456789</t>
  </si>
  <si>
    <t>Mi</t>
  </si>
  <si>
    <t>75-1943604</t>
  </si>
  <si>
    <t>Michael's Store Inc</t>
  </si>
  <si>
    <t xml:space="preserve">Kyle </t>
  </si>
  <si>
    <t>20-2205004</t>
  </si>
  <si>
    <t>MIROR Lighting, Inc.</t>
  </si>
  <si>
    <t>Dana</t>
  </si>
  <si>
    <t>74-2996020</t>
  </si>
  <si>
    <t>Mitsubishi Power Systems Americas</t>
  </si>
  <si>
    <t>Reynaldo</t>
  </si>
  <si>
    <t>27-1817639</t>
  </si>
  <si>
    <t>MODULIGHT USA LLC</t>
  </si>
  <si>
    <t xml:space="preserve">MAXIMILIANO </t>
  </si>
  <si>
    <t>55-0817478</t>
  </si>
  <si>
    <t>Monterey Lighting Solutions</t>
  </si>
  <si>
    <t xml:space="preserve">John </t>
  </si>
  <si>
    <t>74-2104454</t>
  </si>
  <si>
    <t>MRT Lighting</t>
  </si>
  <si>
    <t>Houston North A/C &amp; Refrigeration</t>
  </si>
  <si>
    <t xml:space="preserve">Mark </t>
  </si>
  <si>
    <t>58-2084325</t>
  </si>
  <si>
    <t>National Energy Services, Inc.</t>
  </si>
  <si>
    <t>Corey</t>
  </si>
  <si>
    <t>26-2652978</t>
  </si>
  <si>
    <t>National Energy Solutions, Inc</t>
  </si>
  <si>
    <t>Mike</t>
  </si>
  <si>
    <t>04-3177694</t>
  </si>
  <si>
    <t>National Resource Management</t>
  </si>
  <si>
    <t>Carol</t>
  </si>
  <si>
    <t>39-0380010</t>
  </si>
  <si>
    <t>NES, A Johnson Controls Company</t>
  </si>
  <si>
    <t>Debbie</t>
  </si>
  <si>
    <t>75-2513429</t>
  </si>
  <si>
    <t>netLiNK Controls</t>
  </si>
  <si>
    <t>WLS Lighting Systems Inc</t>
  </si>
  <si>
    <t>06-2292094</t>
  </si>
  <si>
    <t>New England Energy Management, Inc</t>
  </si>
  <si>
    <t>06-1292094</t>
  </si>
  <si>
    <t>33-0843510</t>
  </si>
  <si>
    <t>Niagara Bottling, LLC</t>
  </si>
  <si>
    <t>26-1725886</t>
  </si>
  <si>
    <t>Noble Conservation Solutions, Inc.</t>
  </si>
  <si>
    <t>75-1708793</t>
  </si>
  <si>
    <t>Nordco, Inc</t>
  </si>
  <si>
    <t>Cinda</t>
  </si>
  <si>
    <t>75-1991102</t>
  </si>
  <si>
    <t>NovaTech Energy Services Group</t>
  </si>
  <si>
    <t>20-2627568</t>
  </si>
  <si>
    <t>Novatech Energy Services Group, Inc.</t>
  </si>
  <si>
    <t>27-5087075</t>
  </si>
  <si>
    <t>Obtainable Energy</t>
  </si>
  <si>
    <t>Shawn</t>
  </si>
  <si>
    <t>45-4547458</t>
  </si>
  <si>
    <t>Oensol LLC</t>
  </si>
  <si>
    <t>Steven</t>
  </si>
  <si>
    <t>34-1573735</t>
  </si>
  <si>
    <t>OfficeMax</t>
  </si>
  <si>
    <t>80-0575706</t>
  </si>
  <si>
    <t>Ok Light Guy</t>
  </si>
  <si>
    <t>Rick</t>
  </si>
  <si>
    <t>95-3298140</t>
  </si>
  <si>
    <t>Oldcastle Inc</t>
  </si>
  <si>
    <t>CRH</t>
  </si>
  <si>
    <t>Benton (BJ)</t>
  </si>
  <si>
    <t>33-0576371</t>
  </si>
  <si>
    <t>Onsite Energy Corporation</t>
  </si>
  <si>
    <t>03-0560221</t>
  </si>
  <si>
    <t>Optimum Lighting</t>
  </si>
  <si>
    <t xml:space="preserve">Amanda </t>
  </si>
  <si>
    <t>39-2049228</t>
  </si>
  <si>
    <t>Orion Energy Systems</t>
  </si>
  <si>
    <t>Patty</t>
  </si>
  <si>
    <t>39-1847269</t>
  </si>
  <si>
    <t>80-0705735</t>
  </si>
  <si>
    <t>Orion Southwest</t>
  </si>
  <si>
    <t>Sharvil</t>
  </si>
  <si>
    <t>73-1561426</t>
  </si>
  <si>
    <t>OxyVinyls, LP</t>
  </si>
  <si>
    <t>55-0817917</t>
  </si>
  <si>
    <t>Parke Industries</t>
  </si>
  <si>
    <t>Fred Yeo</t>
  </si>
  <si>
    <t>74-2053733</t>
  </si>
  <si>
    <t xml:space="preserve">Parkway Chevrolet </t>
  </si>
  <si>
    <t>Forbes</t>
  </si>
  <si>
    <t>81-0583600</t>
  </si>
  <si>
    <t>Parkway Electric &amp; Communications</t>
  </si>
  <si>
    <t>72-1344324</t>
  </si>
  <si>
    <t>Parkway Properties</t>
  </si>
  <si>
    <t>Karen</t>
  </si>
  <si>
    <t>73-1575986</t>
  </si>
  <si>
    <t>Performance Consulting Group</t>
  </si>
  <si>
    <t>Kent</t>
  </si>
  <si>
    <t>36-3562406</t>
  </si>
  <si>
    <t>Performance Roof Systems</t>
  </si>
  <si>
    <t xml:space="preserve">Michael </t>
  </si>
  <si>
    <t>17-4198666</t>
  </si>
  <si>
    <t>Piping Technology &amp; Products, Inc</t>
  </si>
  <si>
    <t>Piping Technology $ Products, Inc</t>
  </si>
  <si>
    <t>Larry</t>
  </si>
  <si>
    <t>80-0117812</t>
  </si>
  <si>
    <t>PMG Energy Solutions</t>
  </si>
  <si>
    <t>PMG Project Management Group</t>
  </si>
  <si>
    <t>DeMarco</t>
  </si>
  <si>
    <t>75-2553905</t>
  </si>
  <si>
    <t>Prism Electric</t>
  </si>
  <si>
    <t>43-1545111</t>
  </si>
  <si>
    <t>Project Solutions Companies</t>
  </si>
  <si>
    <t>Orin</t>
  </si>
  <si>
    <t>01-0625983</t>
  </si>
  <si>
    <t>Pure Power Group</t>
  </si>
  <si>
    <t>12-6063909</t>
  </si>
  <si>
    <t>raw electrical services llc</t>
  </si>
  <si>
    <t>martin</t>
  </si>
  <si>
    <t>76-0146264</t>
  </si>
  <si>
    <t>Reagan Quality Lamps, Inc.</t>
  </si>
  <si>
    <t>Reagan Quality Lighting</t>
  </si>
  <si>
    <t>Reagan Qua</t>
  </si>
  <si>
    <t>Phyllis</t>
  </si>
  <si>
    <t>76-0641174</t>
  </si>
  <si>
    <t>Redding Linden Burr Consulting Engineers</t>
  </si>
  <si>
    <t>95-3601775</t>
  </si>
  <si>
    <t>Regency Lighting</t>
  </si>
  <si>
    <t xml:space="preserve">Isaac </t>
  </si>
  <si>
    <t>605-46-4049</t>
  </si>
  <si>
    <t>Reliable Energy Solutions</t>
  </si>
  <si>
    <t>Rakesh</t>
  </si>
  <si>
    <t>17-6060592</t>
  </si>
  <si>
    <t>Retro Lighting &amp; Conservation</t>
  </si>
  <si>
    <t>REXEL USA</t>
  </si>
  <si>
    <t>74-2828735</t>
  </si>
  <si>
    <t>Ringdale, Inc.</t>
  </si>
  <si>
    <t>20-3065430</t>
  </si>
  <si>
    <t>ROGERS ELECTRIC</t>
  </si>
  <si>
    <t>LISA</t>
  </si>
  <si>
    <t>511-80-3181</t>
  </si>
  <si>
    <t>Rooftop Energy Solutions</t>
  </si>
  <si>
    <t>178-40-2444</t>
  </si>
  <si>
    <t>Rose Lighting Services</t>
  </si>
  <si>
    <t>75-1673348</t>
  </si>
  <si>
    <t>Ross Stores</t>
  </si>
  <si>
    <t>Shannon</t>
  </si>
  <si>
    <t>71-0388071</t>
  </si>
  <si>
    <t>RWW / Dillards, Inc</t>
  </si>
  <si>
    <t xml:space="preserve">Jeffery </t>
  </si>
  <si>
    <t>13-3557362</t>
  </si>
  <si>
    <t>RWW / Kohl's Department Stores, Inc.</t>
  </si>
  <si>
    <t>59-2663954</t>
  </si>
  <si>
    <t>RWW / Office Depot</t>
  </si>
  <si>
    <t>20-0559433</t>
  </si>
  <si>
    <t>RWW / Ross Stores Inc.</t>
  </si>
  <si>
    <t>36-1924026</t>
  </si>
  <si>
    <t>RWW / Walgreens Co</t>
  </si>
  <si>
    <t>94-3019135</t>
  </si>
  <si>
    <t>Safeway, Inc.</t>
  </si>
  <si>
    <t>74-6054173</t>
  </si>
  <si>
    <t>SALEM LUTHERAN CHURCH</t>
  </si>
  <si>
    <t>JAMES</t>
  </si>
  <si>
    <t>27-5444735</t>
  </si>
  <si>
    <t>Salem Town &amp; Country Leather-Houston, Inc</t>
  </si>
  <si>
    <t xml:space="preserve">Eric </t>
  </si>
  <si>
    <t>75-2066352</t>
  </si>
  <si>
    <t>Schneider Electric Buildings Americas, Inc.</t>
  </si>
  <si>
    <t>91-1350847</t>
  </si>
  <si>
    <t>Seahurst Electric</t>
  </si>
  <si>
    <t>41-1787792</t>
  </si>
  <si>
    <t>Sebesta Blomberg &amp; Associates, Inc.</t>
  </si>
  <si>
    <t>Henry</t>
  </si>
  <si>
    <t>74-2882346</t>
  </si>
  <si>
    <t>selectransportation resources llc</t>
  </si>
  <si>
    <t>daryl</t>
  </si>
  <si>
    <t>58-2616917</t>
  </si>
  <si>
    <t>Servidyne Systems LLC</t>
  </si>
  <si>
    <t>74-1143086</t>
  </si>
  <si>
    <t>Seven Acres Jewish Senior Care Services</t>
  </si>
  <si>
    <t>Marsha</t>
  </si>
  <si>
    <t>76-0423147</t>
  </si>
  <si>
    <t>Shah Smith &amp; Associates, Inc.</t>
  </si>
  <si>
    <t>Jeffery</t>
  </si>
  <si>
    <t>20-0608089</t>
  </si>
  <si>
    <t>Siemens Building Technologies, Inc</t>
  </si>
  <si>
    <t xml:space="preserve">Chad </t>
  </si>
  <si>
    <t>13-2762488</t>
  </si>
  <si>
    <t>Siemens Industry Inc.</t>
  </si>
  <si>
    <t>Nick</t>
  </si>
  <si>
    <t>05-0533278</t>
  </si>
  <si>
    <t>SmartWatt Energy</t>
  </si>
  <si>
    <t xml:space="preserve">SmartWatt </t>
  </si>
  <si>
    <t>52-2117007</t>
  </si>
  <si>
    <t>Sodexo Services of Texas Limited Partnership</t>
  </si>
  <si>
    <t>531-60-6403</t>
  </si>
  <si>
    <t>Solar Motels</t>
  </si>
  <si>
    <t>Syed</t>
  </si>
  <si>
    <t>33-0775427</t>
  </si>
  <si>
    <t>Solis Lighting and Electrical Services</t>
  </si>
  <si>
    <t>Fred</t>
  </si>
  <si>
    <t>27-1180748</t>
  </si>
  <si>
    <t>Sorel Energy LLC</t>
  </si>
  <si>
    <t>Harry</t>
  </si>
  <si>
    <t>11-3695783</t>
  </si>
  <si>
    <t>Southpoint Solutions</t>
  </si>
  <si>
    <t>Southpoint</t>
  </si>
  <si>
    <t>75-3232003</t>
  </si>
  <si>
    <t>Sparkman Electric, LLC</t>
  </si>
  <si>
    <t>Jennifer</t>
  </si>
  <si>
    <t>16-1171179</t>
  </si>
  <si>
    <t>Standard Parking Corporation</t>
  </si>
  <si>
    <t>Jeremy</t>
  </si>
  <si>
    <t>20-4482499</t>
  </si>
  <si>
    <t>Standard Renewable Energy</t>
  </si>
  <si>
    <t>Charles</t>
  </si>
  <si>
    <t>98-7654321</t>
  </si>
  <si>
    <t>SteveCo</t>
  </si>
  <si>
    <t>74-1509475</t>
  </si>
  <si>
    <t>Straus Systems, Inc.</t>
  </si>
  <si>
    <t>33-0650291</t>
  </si>
  <si>
    <t>Sun and Sun Industries, Inc.</t>
  </si>
  <si>
    <t>Judith</t>
  </si>
  <si>
    <t>456-84-0676</t>
  </si>
  <si>
    <t>Sunvestors</t>
  </si>
  <si>
    <t>26-4636022</t>
  </si>
  <si>
    <t>Superior Lighting</t>
  </si>
  <si>
    <t>Warren</t>
  </si>
  <si>
    <t>90-0751938</t>
  </si>
  <si>
    <t>Sustainable Development Concepts</t>
  </si>
  <si>
    <t>FMB Inc.</t>
  </si>
  <si>
    <t>Frank</t>
  </si>
  <si>
    <t>13-2642452</t>
  </si>
  <si>
    <t>Sylvania Lighting Services</t>
  </si>
  <si>
    <t>Matt</t>
  </si>
  <si>
    <t>04-3220258</t>
  </si>
  <si>
    <t>Synergy Investment</t>
  </si>
  <si>
    <t>46-3034063</t>
  </si>
  <si>
    <t>Tamesi Electrician</t>
  </si>
  <si>
    <t>Alejandro</t>
  </si>
  <si>
    <t>14-7089935</t>
  </si>
  <si>
    <t>Tapco Enpro</t>
  </si>
  <si>
    <t>Curtiss Wright Flow Control</t>
  </si>
  <si>
    <t>13-0612970</t>
  </si>
  <si>
    <t>41-0215170</t>
  </si>
  <si>
    <t>Target</t>
  </si>
  <si>
    <t>Jessica</t>
  </si>
  <si>
    <t>26-0464612</t>
  </si>
  <si>
    <t>TDIndustries</t>
  </si>
  <si>
    <t>Dick</t>
  </si>
  <si>
    <t>59-3678727</t>
  </si>
  <si>
    <t>TECO Partners, Inc.</t>
  </si>
  <si>
    <t>436-59-2884</t>
  </si>
  <si>
    <t>TELIOS</t>
  </si>
  <si>
    <t>26-1642107</t>
  </si>
  <si>
    <t>Texas AirSystems</t>
  </si>
  <si>
    <t>26-0272429</t>
  </si>
  <si>
    <t>Texas Energy Products</t>
  </si>
  <si>
    <t>46-3165244</t>
  </si>
  <si>
    <t>Texas LED</t>
  </si>
  <si>
    <t>27-1286582</t>
  </si>
  <si>
    <t>Texas Solar Resources, Inc</t>
  </si>
  <si>
    <t>32-0454100</t>
  </si>
  <si>
    <t>The Brandt Companies, LLC</t>
  </si>
  <si>
    <t>37-1652957</t>
  </si>
  <si>
    <t>Brandt Companies, LLC</t>
  </si>
  <si>
    <t>27-0793049</t>
  </si>
  <si>
    <t>The Energy Solution Group Worldwide</t>
  </si>
  <si>
    <t>Andrew</t>
  </si>
  <si>
    <t>27-1254422</t>
  </si>
  <si>
    <t>The Gaia Group, Inc</t>
  </si>
  <si>
    <t>Kareem</t>
  </si>
  <si>
    <t>36-1750680</t>
  </si>
  <si>
    <t>The Great Indoors</t>
  </si>
  <si>
    <t>Rochelle</t>
  </si>
  <si>
    <t>20-1438034</t>
  </si>
  <si>
    <t>The Home Masters</t>
  </si>
  <si>
    <t>31-1678530</t>
  </si>
  <si>
    <t>The Kroger Company</t>
  </si>
  <si>
    <t>Linda</t>
  </si>
  <si>
    <t>74-1383687</t>
  </si>
  <si>
    <t>The Lee Thompson Co</t>
  </si>
  <si>
    <t>03-0215459</t>
  </si>
  <si>
    <t>The Orvis Company, Inc.</t>
  </si>
  <si>
    <t>20-8585647</t>
  </si>
  <si>
    <t>The Tagos Group, LLC</t>
  </si>
  <si>
    <t>Betin</t>
  </si>
  <si>
    <t>54-2147215</t>
  </si>
  <si>
    <t>The Zentergy Corporation</t>
  </si>
  <si>
    <t>Howard</t>
  </si>
  <si>
    <t>51-2147215</t>
  </si>
  <si>
    <t>17-4600116</t>
  </si>
  <si>
    <t>Theater District Parking</t>
  </si>
  <si>
    <t>Lannie</t>
  </si>
  <si>
    <t>20-4116492</t>
  </si>
  <si>
    <t>Thomas Engineering, Inc.</t>
  </si>
  <si>
    <t>51-0668085</t>
  </si>
  <si>
    <t>Thomas, McDonald &amp; Dunne Engineers, LLC</t>
  </si>
  <si>
    <t>46-2520791</t>
  </si>
  <si>
    <t>Tomball Plaza, LLC.</t>
  </si>
  <si>
    <t>JBL Asset Management</t>
  </si>
  <si>
    <t>46-3379935</t>
  </si>
  <si>
    <t>Jacob</t>
  </si>
  <si>
    <t>22-3260693</t>
  </si>
  <si>
    <t xml:space="preserve">Toys </t>
  </si>
  <si>
    <t>20-3118078</t>
  </si>
  <si>
    <t>TPG 2500 CityWest, L.P.</t>
  </si>
  <si>
    <t xml:space="preserve">Ricky </t>
  </si>
  <si>
    <t>20-3117954</t>
  </si>
  <si>
    <t>TPG San Felipe Plaza, L.P.</t>
  </si>
  <si>
    <t>25-0900465</t>
  </si>
  <si>
    <t>Trane</t>
  </si>
  <si>
    <t>42-1585496</t>
  </si>
  <si>
    <t>Trio Electric</t>
  </si>
  <si>
    <t>Beau</t>
  </si>
  <si>
    <t>45-4800374</t>
  </si>
  <si>
    <t>Triton Energy Solutions, LLC</t>
  </si>
  <si>
    <t xml:space="preserve">Gerard </t>
  </si>
  <si>
    <t>27-1460821</t>
  </si>
  <si>
    <t>TruVoltz, Inc.</t>
  </si>
  <si>
    <t>76-0591234</t>
  </si>
  <si>
    <t>Turbine Air Systems, Ltd</t>
  </si>
  <si>
    <t>13-5444820</t>
  </si>
  <si>
    <t>TURTLE &amp; HUGHES, INC</t>
  </si>
  <si>
    <t>CORY</t>
  </si>
  <si>
    <t>26-0494257</t>
  </si>
  <si>
    <t>TXU Energy Retail Company LLC</t>
  </si>
  <si>
    <t>75-1316610</t>
  </si>
  <si>
    <t>U-Haul Co. of Texas, Inc.</t>
  </si>
  <si>
    <t>U-Haul International</t>
  </si>
  <si>
    <t>Kimberly</t>
  </si>
  <si>
    <t>45-5132957</t>
  </si>
  <si>
    <t>Unify Energy Solutions</t>
  </si>
  <si>
    <t>Hector</t>
  </si>
  <si>
    <t>22-2222222</t>
  </si>
  <si>
    <t>Univar USA</t>
  </si>
  <si>
    <t>91-1347935</t>
  </si>
  <si>
    <t>74-6001399</t>
  </si>
  <si>
    <t>University of Houston System</t>
  </si>
  <si>
    <t>Sameer</t>
  </si>
  <si>
    <t>632-68-7913</t>
  </si>
  <si>
    <t>Unlimited Energy Solutions</t>
  </si>
  <si>
    <t>36-2407381</t>
  </si>
  <si>
    <t>UPS</t>
  </si>
  <si>
    <t xml:space="preserve">Shannon </t>
  </si>
  <si>
    <t>20-4640796</t>
  </si>
  <si>
    <t>UR Energy Inc</t>
  </si>
  <si>
    <t>Philip</t>
  </si>
  <si>
    <t>94-3480588</t>
  </si>
  <si>
    <t>US ENERGY MANAGEMENT, INC.</t>
  </si>
  <si>
    <t xml:space="preserve">BRAD </t>
  </si>
  <si>
    <t>90-0786032</t>
  </si>
  <si>
    <t>US Energy Services Inc.</t>
  </si>
  <si>
    <t>Brad</t>
  </si>
  <si>
    <t>61-1297476</t>
  </si>
  <si>
    <t>Utilities Dynamics, Inc.</t>
  </si>
  <si>
    <t>Ross</t>
  </si>
  <si>
    <t>27-0289441</t>
  </si>
  <si>
    <t>Valderrama Energy Services</t>
  </si>
  <si>
    <t>Elsa</t>
  </si>
  <si>
    <t>27-3063237</t>
  </si>
  <si>
    <t>Value Lighting Energy Solutions, LLC</t>
  </si>
  <si>
    <t>Tish</t>
  </si>
  <si>
    <t>74-2110901</t>
  </si>
  <si>
    <t>Van Orden Engineering</t>
  </si>
  <si>
    <t>45-4281602</t>
  </si>
  <si>
    <t>Verde Lighting Systems, Inc</t>
  </si>
  <si>
    <t>Troy</t>
  </si>
  <si>
    <t>43-1018765</t>
  </si>
  <si>
    <t>Villa Lighting Supply</t>
  </si>
  <si>
    <t xml:space="preserve">Dan </t>
  </si>
  <si>
    <t>36-1924025</t>
  </si>
  <si>
    <t>Walgreen Co.</t>
  </si>
  <si>
    <t>Erinn</t>
  </si>
  <si>
    <t>80-0571944</t>
  </si>
  <si>
    <t>Walker Energy Solution</t>
  </si>
  <si>
    <t>Walker Advertising Group, LLC</t>
  </si>
  <si>
    <t>Ashley</t>
  </si>
  <si>
    <t>74-3019686</t>
  </si>
  <si>
    <t>Walmart Stores Texas, LLC</t>
  </si>
  <si>
    <t>Wal-Mart Stores, Inc.</t>
  </si>
  <si>
    <t>Donna</t>
  </si>
  <si>
    <t>74-3019386</t>
  </si>
  <si>
    <t>76-0170127</t>
  </si>
  <si>
    <t>Way Engineering Service, Ltd.</t>
  </si>
  <si>
    <t>Way Holding Company</t>
  </si>
  <si>
    <t>Earl</t>
  </si>
  <si>
    <t>74-1917168</t>
  </si>
  <si>
    <t>Way Service Ltd.</t>
  </si>
  <si>
    <t>Trey</t>
  </si>
  <si>
    <t>453-82-0294</t>
  </si>
  <si>
    <t>Wells Real Estate</t>
  </si>
  <si>
    <t>Patrick</t>
  </si>
  <si>
    <t>640-14-5992</t>
  </si>
  <si>
    <t>Wells Real Estate Services LLP</t>
  </si>
  <si>
    <t>Lubie</t>
  </si>
  <si>
    <t>76-0663729</t>
  </si>
  <si>
    <t>West Houston Indoor Soccer, Inc</t>
  </si>
  <si>
    <t>30-0765668</t>
  </si>
  <si>
    <t>White Lodging Services</t>
  </si>
  <si>
    <t>17-4273716</t>
  </si>
  <si>
    <t>Whole Foods Market</t>
  </si>
  <si>
    <t>Sarah</t>
  </si>
  <si>
    <t>56-2417519</t>
  </si>
  <si>
    <t>Willdan Energy Solutions</t>
  </si>
  <si>
    <t>76-0755567</t>
  </si>
  <si>
    <t>Williams-Sonoma</t>
  </si>
  <si>
    <t>Williams-Sonoma, Inc.</t>
  </si>
  <si>
    <t>94-2203880</t>
  </si>
  <si>
    <t xml:space="preserve">Sue </t>
  </si>
  <si>
    <t>45-2734336</t>
  </si>
  <si>
    <t>Windcrest Pcf, Ltd</t>
  </si>
  <si>
    <t>99-0245700</t>
  </si>
  <si>
    <t>World Energy Resources Corp.</t>
  </si>
  <si>
    <t>Rudy</t>
  </si>
  <si>
    <t>76-0312882</t>
  </si>
  <si>
    <t>Wylie Consulting Engineers</t>
  </si>
  <si>
    <t>Jonathan</t>
  </si>
  <si>
    <t>76-0358892</t>
  </si>
  <si>
    <t>X-TRA Light</t>
  </si>
  <si>
    <t>650-00-0000</t>
  </si>
  <si>
    <t>XYZ</t>
  </si>
  <si>
    <t>Jessy</t>
  </si>
  <si>
    <t>550-00-0000</t>
  </si>
  <si>
    <t>xyz</t>
  </si>
  <si>
    <t xml:space="preserve">Program </t>
  </si>
  <si>
    <t>Construction Type</t>
  </si>
  <si>
    <t>Measure Type</t>
  </si>
  <si>
    <t>Estimated Installation Date</t>
  </si>
  <si>
    <t>Project Estimated Deposit</t>
  </si>
  <si>
    <t>Submitted Deposit</t>
  </si>
  <si>
    <t>Project kW</t>
  </si>
  <si>
    <t>Project kWh</t>
  </si>
  <si>
    <t>Project Estimated Incentive</t>
  </si>
  <si>
    <t>Project Approved Incentive</t>
  </si>
  <si>
    <t>Electric Service ID</t>
  </si>
  <si>
    <t>Customer Company Name</t>
  </si>
  <si>
    <t>Site Address</t>
  </si>
  <si>
    <t>Site City</t>
  </si>
  <si>
    <t>Site State/Province</t>
  </si>
  <si>
    <t>Site Zip/Postal Code</t>
  </si>
  <si>
    <t>Building Type</t>
  </si>
  <si>
    <t>Site Contact Name (First)</t>
  </si>
  <si>
    <t>Site Contact Name (Last)</t>
  </si>
  <si>
    <t>Site County</t>
  </si>
  <si>
    <t>Measure Name</t>
  </si>
  <si>
    <t>Lighting-Fluorescent, HID, CFL</t>
  </si>
  <si>
    <t>Savings Methodology</t>
  </si>
  <si>
    <t>Measure kW savings</t>
  </si>
  <si>
    <t>Measure kWh savings</t>
  </si>
  <si>
    <t>Measure $/kW</t>
  </si>
  <si>
    <t>Measure $/kWh</t>
  </si>
  <si>
    <t>Measure Incentives $</t>
  </si>
  <si>
    <t>Phase</t>
  </si>
  <si>
    <t>IR</t>
  </si>
  <si>
    <t>Upload new</t>
  </si>
  <si>
    <t>Revision</t>
  </si>
  <si>
    <t>Saving Info</t>
  </si>
  <si>
    <t>Building Area(Sq ft)</t>
  </si>
  <si>
    <t>Lighting-LED</t>
  </si>
  <si>
    <t>Lighting-Relamping</t>
  </si>
  <si>
    <t>Saving Breakdown</t>
  </si>
  <si>
    <t>Cooling-Chiller</t>
  </si>
  <si>
    <t>Cooling-DX units</t>
  </si>
  <si>
    <t>Motor</t>
  </si>
  <si>
    <t>VFD</t>
  </si>
  <si>
    <t>Window Film</t>
  </si>
  <si>
    <t>Roofing</t>
  </si>
  <si>
    <t>All Other Measures</t>
  </si>
  <si>
    <t>kW</t>
  </si>
  <si>
    <t>kWh</t>
  </si>
  <si>
    <t>$</t>
  </si>
  <si>
    <t>Sum</t>
  </si>
  <si>
    <t>new/revision?</t>
  </si>
  <si>
    <t>Project Type</t>
  </si>
  <si>
    <t>Lighting</t>
  </si>
  <si>
    <t>Cooling</t>
  </si>
  <si>
    <t>Lighting and Cooling</t>
  </si>
  <si>
    <t>Other</t>
  </si>
  <si>
    <t>Project Number</t>
  </si>
  <si>
    <t>Project Name</t>
  </si>
  <si>
    <t>Project Lead</t>
  </si>
  <si>
    <t>Ding</t>
  </si>
  <si>
    <t>Kai</t>
  </si>
  <si>
    <t>Revised Building Type</t>
  </si>
  <si>
    <t>Lodging</t>
  </si>
  <si>
    <t>Education</t>
  </si>
  <si>
    <t>Warehouse</t>
  </si>
  <si>
    <t>Retail</t>
  </si>
  <si>
    <t>Office</t>
  </si>
  <si>
    <t>Industrial</t>
  </si>
  <si>
    <t>Parking Garage</t>
  </si>
  <si>
    <t>Rapid Power Management</t>
  </si>
  <si>
    <t>Katie</t>
  </si>
  <si>
    <t>Casse</t>
  </si>
  <si>
    <t>19111 Dallas Pkwy</t>
  </si>
  <si>
    <t>469-759-1460</t>
  </si>
  <si>
    <t>kcasse@rapidpower.net</t>
  </si>
  <si>
    <t>Spnsor</t>
  </si>
  <si>
    <t>Beacon Investment Properties Chiller Replacements</t>
  </si>
  <si>
    <t>Deemed</t>
  </si>
  <si>
    <t>Office - Large</t>
  </si>
  <si>
    <t>Retrofit</t>
  </si>
  <si>
    <t>HTS Texas</t>
  </si>
  <si>
    <t>3350 Yale</t>
  </si>
  <si>
    <t>713-899-7999</t>
  </si>
  <si>
    <t>mike.donovan@hts.com</t>
  </si>
  <si>
    <t>630-HTS Texas</t>
  </si>
  <si>
    <t>Beacon Investment</t>
  </si>
  <si>
    <t>900 Threadneedle</t>
  </si>
  <si>
    <t>1155 Dairy Ashford</t>
  </si>
  <si>
    <t>3900 Essex Ln</t>
  </si>
  <si>
    <t>14701 St Marys Lane</t>
  </si>
  <si>
    <t>Tony</t>
  </si>
  <si>
    <t>Clasen</t>
  </si>
  <si>
    <t>tony.clasen@hts.com</t>
  </si>
  <si>
    <t>Alcon Research</t>
  </si>
  <si>
    <t>mike.nadolny@alcon.com</t>
  </si>
  <si>
    <t>9965 Buffalo Speedway</t>
  </si>
  <si>
    <t>Outdoor - Outdoor Uncovered Parking Area: Zone 3</t>
  </si>
  <si>
    <t>NOV-Bammel new construction</t>
  </si>
  <si>
    <t>National Oilwell Varco</t>
  </si>
  <si>
    <t>Warehouse (Non-refrigerated)  - Warehouse</t>
  </si>
  <si>
    <t>New Construction</t>
  </si>
  <si>
    <t>241-Maneri Agraz, LLC.</t>
  </si>
  <si>
    <t>5130 N. Sam Houston Pkwy West</t>
  </si>
  <si>
    <t>Simplified</t>
  </si>
  <si>
    <t>Carillo</t>
  </si>
  <si>
    <t xml:space="preserve">5211 3RD ST </t>
  </si>
  <si>
    <t>TXI Operations</t>
  </si>
  <si>
    <t>Bonsal/TXI</t>
  </si>
  <si>
    <t xml:space="preserve">Manufacturing - Manufacturing Facility </t>
  </si>
  <si>
    <t>Natalee</t>
  </si>
  <si>
    <t>Bruno</t>
  </si>
  <si>
    <t>631-Fine Line Electric</t>
  </si>
  <si>
    <t>BBB</t>
  </si>
  <si>
    <t>233-RealWinWin, Inc.</t>
  </si>
  <si>
    <t>1008901001900758160113</t>
  </si>
  <si>
    <t xml:space="preserve">17355 TOMBALL PKWY #1J </t>
  </si>
  <si>
    <t>Bed Bath &amp; Beyond</t>
  </si>
  <si>
    <t xml:space="preserve">Retail (Excluding Malls and Strip Centers) - Retail </t>
  </si>
  <si>
    <t>Strip Mall</t>
  </si>
  <si>
    <t xml:space="preserve">17355 TOMBALL PKWY #1K </t>
  </si>
  <si>
    <t>1008901001900758170113</t>
  </si>
  <si>
    <t>Bed Bath &amp; Beyond DBA Buy Buy Baby</t>
  </si>
  <si>
    <t xml:space="preserve">Retail (Strip shopping and non-enclosed mall) - Retail </t>
  </si>
  <si>
    <t>1008901011900758140113</t>
  </si>
  <si>
    <t xml:space="preserve">17355 TOMBALL PKWY #1H </t>
  </si>
  <si>
    <t>Bed Bath &amp; Beyond DBA Cost Plus World Matket</t>
  </si>
  <si>
    <t>Cost Plus World Market #6370</t>
  </si>
  <si>
    <t>2299 Lone Star Drive</t>
  </si>
  <si>
    <t>1008901023814637970104</t>
  </si>
  <si>
    <t>City Plaza at Town Square</t>
  </si>
  <si>
    <t xml:space="preserve">Parking Structure - Parking Garage </t>
  </si>
  <si>
    <t>615-LED Lighting of Houston</t>
  </si>
  <si>
    <t>Joshua</t>
  </si>
  <si>
    <t>Application Date</t>
  </si>
  <si>
    <t>Line Item</t>
  </si>
  <si>
    <t>Schedule</t>
  </si>
  <si>
    <t>Existing Fixture Code</t>
  </si>
  <si>
    <t>Watt</t>
  </si>
  <si>
    <t>Space Watt</t>
  </si>
  <si>
    <t>Qty</t>
  </si>
  <si>
    <t>Control</t>
  </si>
  <si>
    <t>Proposed Fixture Code</t>
  </si>
  <si>
    <t>Incentive</t>
  </si>
  <si>
    <t>Saving Type</t>
  </si>
  <si>
    <t>Fluorescent</t>
  </si>
  <si>
    <t>Compact</t>
  </si>
  <si>
    <t>LED</t>
  </si>
  <si>
    <t>Space</t>
  </si>
  <si>
    <t>MH-1000W-CWA</t>
  </si>
  <si>
    <t>LEDPM-285W</t>
  </si>
  <si>
    <t>MH-250W-CWA</t>
  </si>
  <si>
    <t>LEDEPM-124W</t>
  </si>
  <si>
    <t>HPS-250W</t>
  </si>
  <si>
    <t>MH-100W-CWA</t>
  </si>
  <si>
    <t>LEDEPM-50W</t>
  </si>
  <si>
    <t>SQFT</t>
  </si>
  <si>
    <t>total line items</t>
  </si>
  <si>
    <t>LampCatagoryCode</t>
  </si>
  <si>
    <t>FixtureTypeCode</t>
  </si>
  <si>
    <t>FixtureTypeCode2</t>
  </si>
  <si>
    <t>BallastStartType</t>
  </si>
  <si>
    <t>BallastFactorCode</t>
  </si>
  <si>
    <t>ConfigCode</t>
  </si>
  <si>
    <t>LightCatagory</t>
  </si>
  <si>
    <t>FixtureType</t>
  </si>
  <si>
    <t>FixtureType2</t>
  </si>
  <si>
    <t>LampWattage</t>
  </si>
  <si>
    <t>LampsQTY</t>
  </si>
  <si>
    <t>LampLengthFT</t>
  </si>
  <si>
    <t>BallastQTY</t>
  </si>
  <si>
    <t>BallastTypeText</t>
  </si>
  <si>
    <t>BallastFactorText</t>
  </si>
  <si>
    <t>ConfigText</t>
  </si>
  <si>
    <t>RegulationWattage</t>
  </si>
  <si>
    <t>ActualWattage</t>
  </si>
  <si>
    <t>CMH-100W-HIDLF</t>
  </si>
  <si>
    <t xml:space="preserve">HID Ceramic Metal Halide Standard (100W x 1L) 1 HID Low Freq Ballast  </t>
  </si>
  <si>
    <t>CMH</t>
  </si>
  <si>
    <t>HIDLF</t>
  </si>
  <si>
    <t>HID</t>
  </si>
  <si>
    <t>Ceramic Metal Halide</t>
  </si>
  <si>
    <t>Standard</t>
  </si>
  <si>
    <t>HID Low Freq Ballast</t>
  </si>
  <si>
    <t>CMH-100W-SCWA</t>
  </si>
  <si>
    <t xml:space="preserve">HID Ceramic Metal Halide Standard (100W x 1L) 1 Super CWA Ballast  </t>
  </si>
  <si>
    <t>SCWA</t>
  </si>
  <si>
    <t>Super CWA Ballast</t>
  </si>
  <si>
    <t>CMH-140W-HIDLF N</t>
  </si>
  <si>
    <t xml:space="preserve">HID Ceramic Metal Halide Standard (140W x 1L) 1 HID Low Freq Ballast (0.85 &lt; BF &lt; 0.95) </t>
  </si>
  <si>
    <t>N</t>
  </si>
  <si>
    <t>(0.85 &lt; BF &lt; 0.95)</t>
  </si>
  <si>
    <t>CMH-150W-HIDLF</t>
  </si>
  <si>
    <t xml:space="preserve">HID Ceramic Metal Halide Standard (150W x 1L) 1 HID Low Freq Ballast  </t>
  </si>
  <si>
    <t>CMH-150W-SCWA</t>
  </si>
  <si>
    <t xml:space="preserve">HID Ceramic Metal Halide Standard (150W x 1L) 1 Super CWA Ballast  </t>
  </si>
  <si>
    <t>CMH-200W-HIDLF H</t>
  </si>
  <si>
    <t xml:space="preserve">HID Ceramic Metal Halide Standard (200W x 1L) 1 HID Low Freq Ballast (0.95 &lt; BF &lt; 1.10) </t>
  </si>
  <si>
    <t>H</t>
  </si>
  <si>
    <t>(0.95 &lt; BF &lt; 1.10)</t>
  </si>
  <si>
    <t>CMH-20W-HIDLF</t>
  </si>
  <si>
    <t xml:space="preserve">HID Ceramic Metal Halide Standard (20W x 1L) 1 HID Low Freq Ballast  </t>
  </si>
  <si>
    <t>CMH-250W-HIDLF H</t>
  </si>
  <si>
    <t xml:space="preserve">HID Ceramic Metal Halide Standard (250W x 1L) 1 HID Low Freq Ballast (0.95 &lt; BF &lt; 1.10) </t>
  </si>
  <si>
    <t>CMH-250W-LR</t>
  </si>
  <si>
    <t xml:space="preserve">HID Ceramic Metal Halide Standard (250W x 1L) 1 Linear Reactor Ballast  </t>
  </si>
  <si>
    <t>LR</t>
  </si>
  <si>
    <t>Linear Reactor Ballast</t>
  </si>
  <si>
    <t>CMH-250W-SCWA</t>
  </si>
  <si>
    <t xml:space="preserve">HID Ceramic Metal Halide Standard (250W x 1L) 1 Super CWA Ballast  </t>
  </si>
  <si>
    <t>CMH-300W-LR</t>
  </si>
  <si>
    <t xml:space="preserve">HID Ceramic Metal Halide Standard (300W x 1L) 1 Linear Reactor Ballast  </t>
  </si>
  <si>
    <t>CMH-300W-SCWA</t>
  </si>
  <si>
    <t xml:space="preserve">HID Ceramic Metal Halide Standard (300W x 1L) 1 Super CWA Ballast  </t>
  </si>
  <si>
    <t>CMH-320W-HIDLF H</t>
  </si>
  <si>
    <t xml:space="preserve">HID Ceramic Metal Halide Standard (320W x 1L) 1 HID Low Freq Ballast (0.95 &lt; BF &lt; 1.10) </t>
  </si>
  <si>
    <t>CMH-320W-LR</t>
  </si>
  <si>
    <t xml:space="preserve">HID Ceramic Metal Halide Standard (320W x 1L) 1 Linear Reactor Ballast  </t>
  </si>
  <si>
    <t>CMH-320W-SCWA</t>
  </si>
  <si>
    <t xml:space="preserve">HID Ceramic Metal Halide Standard (320W x 1L) 1 Super CWA Ballast  </t>
  </si>
  <si>
    <t>CMH-350W-HIDLF H</t>
  </si>
  <si>
    <t xml:space="preserve">HID Ceramic Metal Halide Standard (350W x 1L) 1 HID Low Freq Ballast (0.95 &lt; BF &lt; 1.10) </t>
  </si>
  <si>
    <t>CMH-39W-HIDLF</t>
  </si>
  <si>
    <t xml:space="preserve">HID Ceramic Metal Halide Standard (39W x 1L) 1 HID Low Freq Ballast  </t>
  </si>
  <si>
    <t>CMH-39W-SCWA</t>
  </si>
  <si>
    <t xml:space="preserve">HID Ceramic Metal Halide Standard (39W x 1L) 1 Super CWA Ballast  </t>
  </si>
  <si>
    <t>CMH-400W-HIDLF H</t>
  </si>
  <si>
    <t xml:space="preserve">HID Ceramic Metal Halide Standard (400W x 1L) 1 HID Low Freq Ballast (0.95 &lt; BF &lt; 1.10) </t>
  </si>
  <si>
    <t>CMH-400W-LR</t>
  </si>
  <si>
    <t xml:space="preserve">HID Ceramic Metal Halide Standard (400W x 1L) 1 Linear Reactor Ballast  </t>
  </si>
  <si>
    <t>CMH-400W-SCWA</t>
  </si>
  <si>
    <t xml:space="preserve">HID Ceramic Metal Halide Standard (400W x 1L) 1 Super CWA Ballast  </t>
  </si>
  <si>
    <t>CMH-50W-HIDLF H</t>
  </si>
  <si>
    <t xml:space="preserve">HID Ceramic Metal Halide Standard (50W x 1L) 1 HID Low Freq Ballast (0.95 &lt; BF &lt; 1.10) </t>
  </si>
  <si>
    <t>CMH-50W-SCWA</t>
  </si>
  <si>
    <t xml:space="preserve">HID Ceramic Metal Halide Standard (50W x 1L) 1 Super CWA Ballast  </t>
  </si>
  <si>
    <t>CMH-60W-HIDLF N</t>
  </si>
  <si>
    <t xml:space="preserve">HID Ceramic Metal Halide Standard (60W x 1L) 1 HID Low Freq Ballast (0.85 &lt; BF &lt; 0.95) </t>
  </si>
  <si>
    <t>CMH-70W-HIDLF</t>
  </si>
  <si>
    <t xml:space="preserve">HID Ceramic Metal Halide Standard (70W x 1L) 1 HID Low Freq Ballast  </t>
  </si>
  <si>
    <t>CMH-70W-SCWA</t>
  </si>
  <si>
    <t xml:space="preserve">HID Ceramic Metal Halide Standard (70W x 1L) 1 Super CWA Ballast  </t>
  </si>
  <si>
    <t xml:space="preserve">HID Ceramic Metal Halide Standard (90W x 1L) 1 HID Low Freq Ballast (0.85 &lt; BF &lt; 0.95) </t>
  </si>
  <si>
    <t>FCCFL-13W</t>
  </si>
  <si>
    <t xml:space="preserve">Fluorescent Cold Cathode Integral Screw-In (13W x 1L) </t>
  </si>
  <si>
    <t>F</t>
  </si>
  <si>
    <t>CCFL</t>
  </si>
  <si>
    <t>Cold Cathode</t>
  </si>
  <si>
    <t>Integral Screw-In</t>
  </si>
  <si>
    <t>FCCFL-18W</t>
  </si>
  <si>
    <t xml:space="preserve">Fluorescent Cold Cathode Integral Screw-In (18W x 1L) </t>
  </si>
  <si>
    <t>FCCFL-3W</t>
  </si>
  <si>
    <t xml:space="preserve">Fluorescent Cold Cathode Integral Screw-In (3W x 1L) </t>
  </si>
  <si>
    <t>FCCFL-5W</t>
  </si>
  <si>
    <t xml:space="preserve">Fluorescent Cold Cathode Integral Screw-In (5W x 1L) </t>
  </si>
  <si>
    <t>FCCFL-8W</t>
  </si>
  <si>
    <t xml:space="preserve">Fluorescent Cold Cathode Integral Screw-In (8W x 1L) </t>
  </si>
  <si>
    <t>FCE-5W x 2L-MG</t>
  </si>
  <si>
    <t xml:space="preserve">Fluorescent Compact Exit (5W x 2L) 1 Magnetic Ballast  </t>
  </si>
  <si>
    <t>C</t>
  </si>
  <si>
    <t>E</t>
  </si>
  <si>
    <t>MG</t>
  </si>
  <si>
    <t>Exit</t>
  </si>
  <si>
    <t>Magnetic Ballast</t>
  </si>
  <si>
    <t>FCE-5W-MG</t>
  </si>
  <si>
    <t xml:space="preserve">Fluorescent Compact Exit (5W x 1L) 1 Magnetic Ballast  </t>
  </si>
  <si>
    <t>FCE-6W x 2L-MG</t>
  </si>
  <si>
    <t xml:space="preserve">Fluorescent Compact Exit (6W x 2L) 1 Magnetic Ballast  </t>
  </si>
  <si>
    <t>FCE-6W-MG</t>
  </si>
  <si>
    <t xml:space="preserve">Fluorescent Compact Exit (6W x 1L) 1 Magnetic Ballast  </t>
  </si>
  <si>
    <t>FCE-7W x 2L-MG</t>
  </si>
  <si>
    <t xml:space="preserve">Fluorescent Compact Exit (7W x 2L) 1 Magnetic Ballast  </t>
  </si>
  <si>
    <t>FCE-7W-MG</t>
  </si>
  <si>
    <t xml:space="preserve">Fluorescent Compact Exit (7W x 1L) 1 Magnetic Ballast  </t>
  </si>
  <si>
    <t>FCE-9W x 2L-MG</t>
  </si>
  <si>
    <t xml:space="preserve">Fluorescent Compact Exit (9W x 2L) 1 Magnetic Ballast  </t>
  </si>
  <si>
    <t>FCE-9W-MG</t>
  </si>
  <si>
    <t xml:space="preserve">Fluorescent Compact Exit (9W x 1L) 1 Magnetic Ballast  </t>
  </si>
  <si>
    <t>FCGU24-11W-IS H</t>
  </si>
  <si>
    <t xml:space="preserve">Fluorescent Compact GU24 (11W x 1L) 1 Instant start Ballast (0.95 &lt; BF &lt; 1.10) </t>
  </si>
  <si>
    <t>GU24</t>
  </si>
  <si>
    <t>IS</t>
  </si>
  <si>
    <t>Instant start Ballast</t>
  </si>
  <si>
    <t>FCGU24-13W-IS H</t>
  </si>
  <si>
    <t xml:space="preserve">Fluorescent Compact GU24 (13W x 1L) 1 Instant start Ballast (0.95 &lt; BF &lt; 1.10) </t>
  </si>
  <si>
    <t>FCGU24-14W-IS H</t>
  </si>
  <si>
    <t xml:space="preserve">Fluorescent Compact GU24 (14W x 1L) 1 Instant start Ballast (0.95 &lt; BF &lt; 1.10) </t>
  </si>
  <si>
    <t>FCGU24-15W-IS H</t>
  </si>
  <si>
    <t xml:space="preserve">Fluorescent Compact GU24 (15W x 1L) 1 Instant start Ballast (0.95 &lt; BF &lt; 1.10) </t>
  </si>
  <si>
    <t>FCGU24-18W-IS H</t>
  </si>
  <si>
    <t xml:space="preserve">Fluorescent Compact GU24 (18W x 1L) 1 Instant start Ballast (0.95 &lt; BF &lt; 1.10) </t>
  </si>
  <si>
    <t>FCGU24-19W-IS H</t>
  </si>
  <si>
    <t xml:space="preserve">Fluorescent Compact GU24 (19W x 1L) 1 Instant start Ballast (0.95 &lt; BF &lt; 1.10) </t>
  </si>
  <si>
    <t>FCGU24-20W-IS H</t>
  </si>
  <si>
    <t xml:space="preserve">Fluorescent Compact GU24 (20W x 1L) 1 Instant start Ballast (0.95 &lt; BF &lt; 1.10) </t>
  </si>
  <si>
    <t>FCGU24-23W-IS H</t>
  </si>
  <si>
    <t xml:space="preserve">Fluorescent Compact GU24 (23W x 1L) 1 Instant start Ballast (0.95 &lt; BF &lt; 1.10) </t>
  </si>
  <si>
    <t>FCGU24-25W-IS H</t>
  </si>
  <si>
    <t xml:space="preserve">Fluorescent Compact GU24 (25W x 1L) 1 Instant start Ballast (0.95 &lt; BF &lt; 1.10) </t>
  </si>
  <si>
    <t>FCGU24-26W-IS H</t>
  </si>
  <si>
    <t xml:space="preserve">Fluorescent Compact GU24 (26W x 1L) 1 Instant start Ballast (0.95 &lt; BF &lt; 1.10) </t>
  </si>
  <si>
    <t>FCGU24-27W-IS H</t>
  </si>
  <si>
    <t xml:space="preserve">Fluorescent Compact GU24 (27W x 1L) 1 Instant start Ballast (0.95 &lt; BF &lt; 1.10) </t>
  </si>
  <si>
    <t>FCGU24-32W-IS H</t>
  </si>
  <si>
    <t xml:space="preserve">Fluorescent Compact GU24 (32W x 1L) 1 Instant start Ballast (0.95 &lt; BF &lt; 1.10) </t>
  </si>
  <si>
    <t>FCGU24-7W-IS H</t>
  </si>
  <si>
    <t xml:space="preserve">Fluorescent Compact GU24 (7W x 1L) 1 Instant start Ballast (0.95 &lt; BF &lt; 1.10) </t>
  </si>
  <si>
    <t>FCGU24-9W-IS H</t>
  </si>
  <si>
    <t xml:space="preserve">Fluorescent Compact GU24 (9W x 1L) 1 Instant start Ballast (0.95 &lt; BF &lt; 1.10) </t>
  </si>
  <si>
    <t>FCIT9-20W-MG</t>
  </si>
  <si>
    <t xml:space="preserve">Fluorescent Circline T9 (20W x 1L) 1 Magnetic Ballast  </t>
  </si>
  <si>
    <t>CI</t>
  </si>
  <si>
    <t>T9</t>
  </si>
  <si>
    <t>Circline</t>
  </si>
  <si>
    <t>FCIT9-20W-MGPH</t>
  </si>
  <si>
    <t xml:space="preserve">Fluorescent Circline T9 (20W x 1L) 1 Pre-Heated Ballast  </t>
  </si>
  <si>
    <t>MGPH</t>
  </si>
  <si>
    <t>Pre-Heated Ballast</t>
  </si>
  <si>
    <t>FCIT9-22W x 2L-MG</t>
  </si>
  <si>
    <t xml:space="preserve">Fluorescent Circline T9 (22W x 2L) 1 Magnetic Ballast  </t>
  </si>
  <si>
    <t>FCIT9-22W-MG</t>
  </si>
  <si>
    <t xml:space="preserve">Fluorescent Circline T9 (22W x 1L) 1 Magnetic Ballast  </t>
  </si>
  <si>
    <t>FCIT9-22W-MGPH</t>
  </si>
  <si>
    <t xml:space="preserve">Fluorescent Circline T9 (22W x 1L) 1 Pre-Heated Ballast  </t>
  </si>
  <si>
    <t>FCIT9-32W x 2L-MG</t>
  </si>
  <si>
    <t xml:space="preserve">Fluorescent Circline T9 (32W x 2L) 1 Magnetic Ballast  </t>
  </si>
  <si>
    <t>FCIT9-32W-MG</t>
  </si>
  <si>
    <t xml:space="preserve">Fluorescent Circline T9 (32W x 1L) 1 Magnetic Ballast  </t>
  </si>
  <si>
    <t>FCIT9-32W-MGPH</t>
  </si>
  <si>
    <t xml:space="preserve">Fluorescent Circline T9 (32W x 1L) 1 Pre-Heated Ballast  </t>
  </si>
  <si>
    <t>FCIT9-40W-MG</t>
  </si>
  <si>
    <t xml:space="preserve">Fluorescent Circline T9 (40W x 1L) 1 Magnetic Ballast  </t>
  </si>
  <si>
    <t>FCIT9-40W-MGPH</t>
  </si>
  <si>
    <t xml:space="preserve">Fluorescent Circline T9 (40W x 1L) 1 Pre-Heated Ballast  </t>
  </si>
  <si>
    <t>FCM-10W-MG</t>
  </si>
  <si>
    <t xml:space="preserve">Fluorescent Compact Medium Base (10W x 1L) 1 Magnetic Ballast  </t>
  </si>
  <si>
    <t>M</t>
  </si>
  <si>
    <t>Medium Base</t>
  </si>
  <si>
    <t>FCM-11W-MG</t>
  </si>
  <si>
    <t xml:space="preserve">Fluorescent Compact Medium Base (11W x 1L) 1 Magnetic Ballast  </t>
  </si>
  <si>
    <t>FCM-12W-MG</t>
  </si>
  <si>
    <t xml:space="preserve">Fluorescent Compact Medium Base (12W x 1L) 1 Magnetic Ballast  </t>
  </si>
  <si>
    <t>FCM-13W-MG</t>
  </si>
  <si>
    <t xml:space="preserve">Fluorescent Compact Medium Base (13W x 1L) 1 Magnetic Ballast  </t>
  </si>
  <si>
    <t>FCM-14W-MG</t>
  </si>
  <si>
    <t xml:space="preserve">Fluorescent Compact Medium Base (14W x 1L) 1 Magnetic Ballast  </t>
  </si>
  <si>
    <t>FCM-15W x 2L-MG</t>
  </si>
  <si>
    <t xml:space="preserve">Fluorescent Compact Medium Base (15W x 2L) 1 Magnetic Ballast  </t>
  </si>
  <si>
    <t>FCM-15W x 3L-MG</t>
  </si>
  <si>
    <t xml:space="preserve">Fluorescent Compact Medium Base (15W x 3L) 1 Magnetic Ballast  </t>
  </si>
  <si>
    <t>FCM-15W x 4L-MG</t>
  </si>
  <si>
    <t xml:space="preserve">Fluorescent Compact Medium Base (15W x 4L) 1 Magnetic Ballast  </t>
  </si>
  <si>
    <t>FCM-15W-MG</t>
  </si>
  <si>
    <t xml:space="preserve">Fluorescent Compact Medium Base (15W x 1L) 1 Magnetic Ballast  </t>
  </si>
  <si>
    <t>FCM-16W-MG</t>
  </si>
  <si>
    <t xml:space="preserve">Fluorescent Compact Medium Base (16W x 1L) 1 Magnetic Ballast  </t>
  </si>
  <si>
    <t>FCM-17W-MG</t>
  </si>
  <si>
    <t xml:space="preserve">Fluorescent Compact Medium Base (17W x 1L) 1 Magnetic Ballast  </t>
  </si>
  <si>
    <t>FCM-18W-IS N</t>
  </si>
  <si>
    <t xml:space="preserve">Fluorescent Compact Medium Base (18W x 1L) 1 Instant start Ballast (0.85 &lt; BF &lt; 0.95) </t>
  </si>
  <si>
    <t>FCM-18W-MG</t>
  </si>
  <si>
    <t xml:space="preserve">Fluorescent Compact Medium Base (18W x 1L) 1 Magnetic Ballast  </t>
  </si>
  <si>
    <t>FCM-19W-MG</t>
  </si>
  <si>
    <t xml:space="preserve">Fluorescent Compact Medium Base (19W x 1L) 1 Magnetic Ballast  </t>
  </si>
  <si>
    <t>FCM-20W x 2L-MG</t>
  </si>
  <si>
    <t xml:space="preserve">Fluorescent Compact Medium Base (20W x 2L) 1 Magnetic Ballast  </t>
  </si>
  <si>
    <t>FCM-20W-MG</t>
  </si>
  <si>
    <t xml:space="preserve">Fluorescent Compact Medium Base (20W x 1L) 1 Magnetic Ballast  </t>
  </si>
  <si>
    <t>FCM-22W-MG</t>
  </si>
  <si>
    <t xml:space="preserve">Fluorescent Compact Medium Base (22W x 1L) 1 Magnetic Ballast  </t>
  </si>
  <si>
    <t>FCM-23W x 2L-MG</t>
  </si>
  <si>
    <t xml:space="preserve">Fluorescent Compact Medium Base (23W x 2L) 1 Magnetic Ballast  </t>
  </si>
  <si>
    <t>FCM-23W-IS N</t>
  </si>
  <si>
    <t xml:space="preserve">Fluorescent Compact Medium Base (23W x 1L) 1 Instant start Ballast (0.85 &lt; BF &lt; 0.95) </t>
  </si>
  <si>
    <t>FCM-23W-MG</t>
  </si>
  <si>
    <t xml:space="preserve">Fluorescent Compact Medium Base (23W x 1L) 1 Magnetic Ballast  </t>
  </si>
  <si>
    <t>FCM-25W-MG</t>
  </si>
  <si>
    <t xml:space="preserve">Fluorescent Compact Medium Base (25W x 1L) 1 Magnetic Ballast  </t>
  </si>
  <si>
    <t>FCM-26W-IS N</t>
  </si>
  <si>
    <t xml:space="preserve">Fluorescent Compact Medium Base (26W x 1L) 1 Instant start Ballast (0.85 &lt; BF &lt; 0.95) </t>
  </si>
  <si>
    <t>FCM-26W-MG</t>
  </si>
  <si>
    <t xml:space="preserve">Fluorescent Compact Medium Base (26W x 1L) 1 Magnetic Ballast  </t>
  </si>
  <si>
    <t>FCM-27W-IS N</t>
  </si>
  <si>
    <t xml:space="preserve">Fluorescent Compact Medium Base (27W x 1L) 1 Instant start Ballast (0.85 &lt; BF &lt; 0.95) </t>
  </si>
  <si>
    <t>FCM-28W-MG</t>
  </si>
  <si>
    <t xml:space="preserve">Fluorescent Compact Medium Base (28W x 1L) 1 Magnetic Ballast  </t>
  </si>
  <si>
    <t>FCM-2W-MG</t>
  </si>
  <si>
    <t xml:space="preserve">Fluorescent Compact Medium Base (2W x 1L) 1 Magnetic Ballast  </t>
  </si>
  <si>
    <t>FCM-30W-IS N</t>
  </si>
  <si>
    <t xml:space="preserve">Fluorescent Compact Medium Base (30W x 1L) 1 Instant start Ballast (0.85 &lt; BF &lt; 0.95) </t>
  </si>
  <si>
    <t>FCM-36W-IS N</t>
  </si>
  <si>
    <t xml:space="preserve">Fluorescent Compact Medium Base (36W x 1L) 1 Instant start Ballast (0.85 &lt; BF &lt; 0.95) </t>
  </si>
  <si>
    <t>FCM-42W-IS N</t>
  </si>
  <si>
    <t xml:space="preserve">Fluorescent Compact Medium Base (42W x 1L) 1 Instant start Ballast (0.85 &lt; BF &lt; 0.95) </t>
  </si>
  <si>
    <t>FCM-44W-IS N</t>
  </si>
  <si>
    <t xml:space="preserve">Fluorescent Compact Medium Base (44W x 1L) 1 Instant start Ballast (0.85 &lt; BF &lt; 0.95) </t>
  </si>
  <si>
    <t>FCM-5W-MG</t>
  </si>
  <si>
    <t xml:space="preserve">Fluorescent Compact Medium Base (5W x 1L) 1 Magnetic Ballast  </t>
  </si>
  <si>
    <t>FCM-7W-MG</t>
  </si>
  <si>
    <t xml:space="preserve">Fluorescent Compact Medium Base (7W x 1L) 1 Magnetic Ballast  </t>
  </si>
  <si>
    <t>FCM-9W-MG</t>
  </si>
  <si>
    <t xml:space="preserve">Fluorescent Compact Medium Base (9W x 1L) 1 Magnetic Ballast  </t>
  </si>
  <si>
    <t>FCP-10W-MG</t>
  </si>
  <si>
    <t>P</t>
  </si>
  <si>
    <t>FCP-12W-MG</t>
  </si>
  <si>
    <t>FCP-13W x 2L-IS H</t>
  </si>
  <si>
    <t>FCP-13W x 2L-IS N</t>
  </si>
  <si>
    <t>FCP-13W x 2L-MG</t>
  </si>
  <si>
    <t>FCP-13W x 3L-MG</t>
  </si>
  <si>
    <t>FCP-13W-IS H</t>
  </si>
  <si>
    <t>FCP-13W-IS N</t>
  </si>
  <si>
    <t>FCP-13W-MG</t>
  </si>
  <si>
    <t>FCP-14W-MG</t>
  </si>
  <si>
    <t>FCP-15W-MG</t>
  </si>
  <si>
    <t>FCP-16W-MG</t>
  </si>
  <si>
    <t>FCP-17W x 2L-MG</t>
  </si>
  <si>
    <t>FCP-17W-MG</t>
  </si>
  <si>
    <t>FCP-18W x 2L-IS H</t>
  </si>
  <si>
    <t>FCP-18W x 2L-IS N</t>
  </si>
  <si>
    <t>FCP-18W x 2L-MG</t>
  </si>
  <si>
    <t>FCP-18W x 4L-MG</t>
  </si>
  <si>
    <t>FCP-18W-IS H</t>
  </si>
  <si>
    <t>FCP-18W-IS N</t>
  </si>
  <si>
    <t>FCP-18W-MG</t>
  </si>
  <si>
    <t>FCP-19W-MG</t>
  </si>
  <si>
    <t>FCP-20W x 2L-MG</t>
  </si>
  <si>
    <t>FCP-20W-MG</t>
  </si>
  <si>
    <t>FCP-21W-MG</t>
  </si>
  <si>
    <t>FCP-22W x 2L-MG</t>
  </si>
  <si>
    <t>FCP-22W x 3L-MG</t>
  </si>
  <si>
    <t>FCP-22W x 4L-MG</t>
  </si>
  <si>
    <t>FCP-22W-MG</t>
  </si>
  <si>
    <t>FCP-23W-MG</t>
  </si>
  <si>
    <t>FCP-24W-MG</t>
  </si>
  <si>
    <t>FCP-25W x 2L-MG</t>
  </si>
  <si>
    <t>FCP-25W-MG</t>
  </si>
  <si>
    <t>FCP-26W x 2L-IS H</t>
  </si>
  <si>
    <t>FCP-26W x 2L-IS N</t>
  </si>
  <si>
    <t>FCP-26W x 2L-MG</t>
  </si>
  <si>
    <t>FCP-26W x 3L-MG</t>
  </si>
  <si>
    <t>FCP-26W x 6L-IS H</t>
  </si>
  <si>
    <t>FCP-26W-IS H</t>
  </si>
  <si>
    <t>FCP-26W-IS N</t>
  </si>
  <si>
    <t>FCP-26W-MG</t>
  </si>
  <si>
    <t>FCP-27W-MG</t>
  </si>
  <si>
    <t>FCP-28W x 2L-IS N</t>
  </si>
  <si>
    <t>FCP-28W x 2L-MG</t>
  </si>
  <si>
    <t>FCP-28W-IS N</t>
  </si>
  <si>
    <t>FCP-28W-MG</t>
  </si>
  <si>
    <t>FCP-2W-MG</t>
  </si>
  <si>
    <t>FCP-30W-MG</t>
  </si>
  <si>
    <t>FCP-32W x 2L-IS N</t>
  </si>
  <si>
    <t>FCP-32W x 6L-IS N</t>
  </si>
  <si>
    <t>FCP-32W-IS N</t>
  </si>
  <si>
    <t>FCP-36W-MG</t>
  </si>
  <si>
    <t>FCP-38W-MG</t>
  </si>
  <si>
    <t>FCP-40W x 2L-IS N</t>
  </si>
  <si>
    <t>FCP-40W x 2L-MG</t>
  </si>
  <si>
    <t>FCP-40W x 3L-IS N</t>
  </si>
  <si>
    <t>FCP-40W x 3L-MG</t>
  </si>
  <si>
    <t>FCP-40W-IS N</t>
  </si>
  <si>
    <t>FCP-40W-MG</t>
  </si>
  <si>
    <t>FCP-42W x 2L-IS N</t>
  </si>
  <si>
    <t>FCP-42W x 8L-IS N</t>
  </si>
  <si>
    <t>FCP-42W-IS N</t>
  </si>
  <si>
    <t>FCP-42W-MG</t>
  </si>
  <si>
    <t>FCP-55W x 2L-IS N</t>
  </si>
  <si>
    <t>FCP-55W x 3L-IS N</t>
  </si>
  <si>
    <t>FCP-55W x 4L-IS N</t>
  </si>
  <si>
    <t>FCP-55W-IS N</t>
  </si>
  <si>
    <t>FCP-5W x 2L-MG</t>
  </si>
  <si>
    <t>FCP-5W-MG</t>
  </si>
  <si>
    <t>FCP-7W x 2L-MG</t>
  </si>
  <si>
    <t>FCP-7W-MG</t>
  </si>
  <si>
    <t>FCP-9W x 2L-MG</t>
  </si>
  <si>
    <t>FCP-9W x 3L-MG</t>
  </si>
  <si>
    <t>FCP-9W-MG</t>
  </si>
  <si>
    <t>FLE-2W x 2L-IS N</t>
  </si>
  <si>
    <t xml:space="preserve">Fluorescent Linear Exit (2W x 2L) 1 Instant start Ballast (0.85 &lt; BF &lt; 0.95) </t>
  </si>
  <si>
    <t>L</t>
  </si>
  <si>
    <t>Linear</t>
  </si>
  <si>
    <t>FLE-6W x 2L-MG</t>
  </si>
  <si>
    <t xml:space="preserve">Fluorescent Linear Exit (6W x 2L) 1 Magnetic Ballast  </t>
  </si>
  <si>
    <t>FLE-6W-MG</t>
  </si>
  <si>
    <t xml:space="preserve">Fluorescent Linear Exit (6W x 1L) 1 Magnetic Ballast  </t>
  </si>
  <si>
    <t>FLE-8W x 2L-MG</t>
  </si>
  <si>
    <t xml:space="preserve">Fluorescent Linear Exit (8W x 2L) 1 Magnetic Ballast  </t>
  </si>
  <si>
    <t>FLE-8W-MG</t>
  </si>
  <si>
    <t xml:space="preserve">Fluorescent Linear Exit (8W x 1L) 1 Magnetic Ballast  </t>
  </si>
  <si>
    <t>FLT10-40W x 4L x 4'-2 MG</t>
  </si>
  <si>
    <t xml:space="preserve">Fluorescent Linear T10 (40W x 4L x 4') 2 Magnetic Ballast  </t>
  </si>
  <si>
    <t>T10</t>
  </si>
  <si>
    <t>FLT10-40W x 4'-MG</t>
  </si>
  <si>
    <t xml:space="preserve">Fluorescent Linear T10 (40W x 1L x 4') 1 Magnetic Ballast  </t>
  </si>
  <si>
    <t>FLT12-15W x 1.5'-MG</t>
  </si>
  <si>
    <t xml:space="preserve">Fluorescent Linear T12 (15W x 1L x 1.5') 1 Magnetic Ballast  </t>
  </si>
  <si>
    <t>T12</t>
  </si>
  <si>
    <t>FLT12-15W x 2L x 1.5'-MG</t>
  </si>
  <si>
    <t xml:space="preserve">Fluorescent Linear T12 (15W x 2L x 1.5') 1 Magnetic Ballast  </t>
  </si>
  <si>
    <t>FLT12-20W x 2L x 2'-MG</t>
  </si>
  <si>
    <t xml:space="preserve">Fluorescent Linear T12 (20W x 2L x 2') 1 Magnetic Ballast  </t>
  </si>
  <si>
    <t>FLT12-20W x 2'-MG</t>
  </si>
  <si>
    <t xml:space="preserve">Fluorescent Linear T12 (20W x 1L x 2') 1 Magnetic Ballast  </t>
  </si>
  <si>
    <t>FLT12-20W x 3L x 2'-MG</t>
  </si>
  <si>
    <t xml:space="preserve">Fluorescent Linear T12 (20W x 3L x 2') 1 Magnetic Ballast  </t>
  </si>
  <si>
    <t>FLT12-20W x 4L x 2'-MG</t>
  </si>
  <si>
    <t xml:space="preserve">Fluorescent Linear T12 (20W x 4L x 2') 1 Magnetic Ballast  </t>
  </si>
  <si>
    <t>FLT12-20W x 6L x 2'-MG</t>
  </si>
  <si>
    <t xml:space="preserve">Fluorescent Linear T12 (20W x 6L x 2') 1 Magnetic Ballast  </t>
  </si>
  <si>
    <t>FLT12-25W x 2L x 3'-IS N</t>
  </si>
  <si>
    <t xml:space="preserve">Fluorescent Linear T12 (25W x 2L x 3') 1 Instant start Ballast (0.85 &lt; BF &lt; 0.95) </t>
  </si>
  <si>
    <t>FLT12-25W x 2L x 3'-IS N T4</t>
  </si>
  <si>
    <t>Fluorescent Linear T12 (25W x 2L x 3') 1 Instant start Ballast (0.85 &lt; BF &lt; 0.95) Tandem - 4 Fixtures/Ballast</t>
  </si>
  <si>
    <t>T4</t>
  </si>
  <si>
    <t>Tandem - 4 Fixtures/Ballast</t>
  </si>
  <si>
    <t>FLT12-25W x 2L x 3'-MG</t>
  </si>
  <si>
    <t xml:space="preserve">Fluorescent Linear T12 (25W x 2L x 3') 1 Magnetic Ballast  </t>
  </si>
  <si>
    <t>FLT12-25W x 2L x 3'-MG(E)</t>
  </si>
  <si>
    <t xml:space="preserve">Fluorescent Linear T12 (25W x 2L x 3') 1 Efficient Magnetic Ballast  </t>
  </si>
  <si>
    <t>MG(E)</t>
  </si>
  <si>
    <t>Efficient Magnetic Ballast</t>
  </si>
  <si>
    <t>FLT12-25W x 2L x 4'-IS R</t>
  </si>
  <si>
    <t xml:space="preserve">Fluorescent Linear T12 (25W x 2L x 4') 1 Instant start Ballast (0.75 &lt; BF &lt; 0.85) </t>
  </si>
  <si>
    <t>R</t>
  </si>
  <si>
    <t>(0.75 &lt; BF &lt; 0.85)</t>
  </si>
  <si>
    <t>FLT12-25W x 2L x 4'-IS R T4</t>
  </si>
  <si>
    <t>Fluorescent Linear T12 (25W x 2L x 4') 1 Instant start Ballast (0.75 &lt; BF &lt; 0.85) Tandem - 4 Fixtures/Ballast</t>
  </si>
  <si>
    <t>FLT12-25W x 3'-IS N</t>
  </si>
  <si>
    <t xml:space="preserve">Fluorescent Linear T12 (25W x 1L x 3') 1 Instant start Ballast (0.85 &lt; BF &lt; 0.95) </t>
  </si>
  <si>
    <t>FLT12-25W x 3L x 3'-MG</t>
  </si>
  <si>
    <t xml:space="preserve">Fluorescent Linear T12 (25W x 3L x 3') 1 Magnetic Ballast  </t>
  </si>
  <si>
    <t>FLT12-25W x 3'-MG</t>
  </si>
  <si>
    <t xml:space="preserve">Fluorescent Linear T12 (25W x 1L x 3') 1 Magnetic Ballast  </t>
  </si>
  <si>
    <t>FLT12-25W x 3'-MG T2</t>
  </si>
  <si>
    <t>Fluorescent Linear T12 (25W x 1L x 3') 1 Magnetic Ballast  Tandem - 2 Fixtures/Ballast</t>
  </si>
  <si>
    <t>T2</t>
  </si>
  <si>
    <t>Tandem - 2 Fixtures/Ballast</t>
  </si>
  <si>
    <t>FLT12-25W x 3'-MG(E) T2</t>
  </si>
  <si>
    <t>Fluorescent Linear T12 (25W x 1L x 3') 1 Efficient Magnetic Ballast  Tandem - 2 Fixtures/Ballast</t>
  </si>
  <si>
    <t>FLT12-25W x 4'-IS N</t>
  </si>
  <si>
    <t xml:space="preserve">Fluorescent Linear T12 (25W x 1L x 4') 1 Instant start Ballast (0.85 &lt; BF &lt; 0.95) </t>
  </si>
  <si>
    <t>FLT12-25W x 4'-IS R T2</t>
  </si>
  <si>
    <t>Fluorescent Linear T12 (25W x 1L x 4') 1 Instant start Ballast (0.75 &lt; BF &lt; 0.85) Tandem - 2 Fixtures/Ballast</t>
  </si>
  <si>
    <t>FLT12-25W x 4'-IS R T3</t>
  </si>
  <si>
    <t>Fluorescent Linear T12 (25W x 1L x 4') 1 Instant start Ballast (0.75 &lt; BF &lt; 0.85) Tandem - 3 Fixtures/Ballast</t>
  </si>
  <si>
    <t>T3</t>
  </si>
  <si>
    <t>Tandem - 3 Fixtures/Ballast</t>
  </si>
  <si>
    <t>FLT12-25W x 4'-IS R T4</t>
  </si>
  <si>
    <t>Fluorescent Linear T12 (25W x 1L x 4') 1 Instant start Ballast (0.75 &lt; BF &lt; 0.85) Tandem - 4 Fixtures/Ballast</t>
  </si>
  <si>
    <t>FLT12-25W x 4L x 3'-MG(E)</t>
  </si>
  <si>
    <t xml:space="preserve">Fluorescent Linear T12 (25W x 4L x 3') 1 Efficient Magnetic Ballast  </t>
  </si>
  <si>
    <t>FLT12-30W x 2L x 3'-IS N</t>
  </si>
  <si>
    <t xml:space="preserve">Fluorescent Linear T12 (30W x 2L x 3') 1 Instant start Ballast (0.85 &lt; BF &lt; 0.95) </t>
  </si>
  <si>
    <t>FLT12-30W x 2L x 3'-MG</t>
  </si>
  <si>
    <t xml:space="preserve">Fluorescent Linear T12 (30W x 2L x 3') 1 Magnetic Ballast  </t>
  </si>
  <si>
    <t>FLT12-30W x 2L x 3'-MG(E)</t>
  </si>
  <si>
    <t xml:space="preserve">Fluorescent Linear T12 (30W x 2L x 3') 1 Efficient Magnetic Ballast  </t>
  </si>
  <si>
    <t>FLT12-30W x 2L x 4'-MG</t>
  </si>
  <si>
    <t xml:space="preserve">Fluorescent Linear T12 (30W x 2L x 4') 1 Magnetic Ballast  </t>
  </si>
  <si>
    <t>FLT12-30W x 3'-IS N</t>
  </si>
  <si>
    <t xml:space="preserve">Fluorescent Linear T12 (30W x 1L x 3') 1 Instant start Ballast (0.85 &lt; BF &lt; 0.95) </t>
  </si>
  <si>
    <t>FLT12-30W x 3L x 3'-MG</t>
  </si>
  <si>
    <t xml:space="preserve">Fluorescent Linear T12 (30W x 3L x 3') 1 Magnetic Ballast  </t>
  </si>
  <si>
    <t>FLT12-30W x 3L x 3'-MG(E)</t>
  </si>
  <si>
    <t xml:space="preserve">Fluorescent Linear T12 (30W x 3L x 3') 1 Efficient Magnetic Ballast  </t>
  </si>
  <si>
    <t>FLT12-30W x 3L x 4'-2 MG</t>
  </si>
  <si>
    <t xml:space="preserve">Fluorescent Linear T12 (30W x 3L x 4') 2 Magnetic Ballast  </t>
  </si>
  <si>
    <t>FLT12-30W x 3L x 4'-MG</t>
  </si>
  <si>
    <t xml:space="preserve">Fluorescent Linear T12 (30W x 3L x 4') 1 Magnetic Ballast  </t>
  </si>
  <si>
    <t>FLT12-30W x 3'-MG</t>
  </si>
  <si>
    <t xml:space="preserve">Fluorescent Linear T12 (30W x 1L x 3') 1 Magnetic Ballast  </t>
  </si>
  <si>
    <t>FLT12-30W x 3'-MG T2</t>
  </si>
  <si>
    <t>Fluorescent Linear T12 (30W x 1L x 3') 1 Magnetic Ballast  Tandem - 2 Fixtures/Ballast</t>
  </si>
  <si>
    <t>FLT12-30W x 3'-MG(E) T2</t>
  </si>
  <si>
    <t>Fluorescent Linear T12 (30W x 1L x 3') 1 Efficient Magnetic Ballast  Tandem - 2 Fixtures/Ballast</t>
  </si>
  <si>
    <t>FLT12-30W x 4L x 3'-2 IS N</t>
  </si>
  <si>
    <t xml:space="preserve">Fluorescent Linear T12 (30W x 4L x 3') 2 Instant start Ballast (0.85 &lt; BF &lt; 0.95) </t>
  </si>
  <si>
    <t>FLT12-30W x 4L x 3'-MG</t>
  </si>
  <si>
    <t xml:space="preserve">Fluorescent Linear T12 (30W x 4L x 3') 1 Magnetic Ballast  </t>
  </si>
  <si>
    <t>FLT12-30W x 4L x 3'-MG(E)</t>
  </si>
  <si>
    <t xml:space="preserve">Fluorescent Linear T12 (30W x 4L x 3') 1 Efficient Magnetic Ballast  </t>
  </si>
  <si>
    <t>FLT12-30W x 4L x 4'-2 MG</t>
  </si>
  <si>
    <t xml:space="preserve">Fluorescent Linear T12 (30W x 4L x 4') 2 Magnetic Ballast  </t>
  </si>
  <si>
    <t>FLT12-30W x 4'-MG</t>
  </si>
  <si>
    <t xml:space="preserve">Fluorescent Linear T12 (30W x 1L x 4') 1 Magnetic Ballast  </t>
  </si>
  <si>
    <t>FLT12-30W x 6L x 3'-MG</t>
  </si>
  <si>
    <t xml:space="preserve">Fluorescent Linear T12 (30W x 6L x 3') 1 Magnetic Ballast  </t>
  </si>
  <si>
    <t>FLT12-30W x 6L x 3'-MG(E)</t>
  </si>
  <si>
    <t xml:space="preserve">Fluorescent Linear T12 (30W x 6L x 3') 1 Efficient Magnetic Ballast  </t>
  </si>
  <si>
    <t>FLT12-34W x 2L x 4'-2 MG(E)</t>
  </si>
  <si>
    <t xml:space="preserve">Fluorescent Linear T12 (34W x 2L x 4') 2 Efficient Magnetic Ballast  </t>
  </si>
  <si>
    <t>FLT12-34W x 2L x 4'-IS N</t>
  </si>
  <si>
    <t xml:space="preserve">Fluorescent Linear T12 (34W x 2L x 4') 1 Instant start Ballast (0.85 &lt; BF &lt; 0.95) </t>
  </si>
  <si>
    <t>FLT12-34W x 2L x 4'-MG</t>
  </si>
  <si>
    <t xml:space="preserve">Fluorescent Linear T12 (34W x 2L x 4') 1 Magnetic Ballast  </t>
  </si>
  <si>
    <t>FLT12-34W x 2L x 4'-MG(E)</t>
  </si>
  <si>
    <t xml:space="preserve">Fluorescent Linear T12 (34W x 2L x 4') 1 Efficient Magnetic Ballast  </t>
  </si>
  <si>
    <t>FLT12-34W x 3L x 4'-2 MG</t>
  </si>
  <si>
    <t xml:space="preserve">Fluorescent Linear T12 (34W x 3L x 4') 2 Magnetic Ballast  </t>
  </si>
  <si>
    <t>FLT12-34W x 3L x 4'-2 MG(E)</t>
  </si>
  <si>
    <t xml:space="preserve">Fluorescent Linear T12 (34W x 3L x 4') 2 Efficient Magnetic Ballast  </t>
  </si>
  <si>
    <t>FLT12-34W x 3L x 4'-IS N</t>
  </si>
  <si>
    <t xml:space="preserve">Fluorescent Linear T12 (34W x 3L x 4') 1 Instant start Ballast (0.85 &lt; BF &lt; 0.95) </t>
  </si>
  <si>
    <t>FLT12-34W x 3L x 4'-MG</t>
  </si>
  <si>
    <t xml:space="preserve">Fluorescent Linear T12 (34W x 3L x 4') 1 Magnetic Ballast  </t>
  </si>
  <si>
    <t>FLT12-34W x 3L x 4'-MG T2</t>
  </si>
  <si>
    <t>Fluorescent Linear T12 (34W x 3L x 4') 1 Magnetic Ballast  Tandem - 2 Fixtures/Ballast</t>
  </si>
  <si>
    <t>FLT12-34W x 3L x 4'-MG(E)</t>
  </si>
  <si>
    <t xml:space="preserve">Fluorescent Linear T12 (34W x 3L x 4') 1 Efficient Magnetic Ballast  </t>
  </si>
  <si>
    <t>FLT12-34W x 3L x 4'-MG(E) T2</t>
  </si>
  <si>
    <t>Fluorescent Linear T12 (34W x 3L x 4') 1 Efficient Magnetic Ballast  Tandem - 2 Fixtures/Ballast</t>
  </si>
  <si>
    <t>FLT12-34W x 4'-IS N</t>
  </si>
  <si>
    <t xml:space="preserve">Fluorescent Linear T12 (34W x 1L x 4') 1 Instant start Ballast (0.85 &lt; BF &lt; 0.95) </t>
  </si>
  <si>
    <t>FLT12-34W x 4L x 4'-2 MG</t>
  </si>
  <si>
    <t xml:space="preserve">Fluorescent Linear T12 (34W x 4L x 4') 2 Magnetic Ballast  </t>
  </si>
  <si>
    <t>FLT12-34W x 4L x 4'-2 MG(E)</t>
  </si>
  <si>
    <t xml:space="preserve">Fluorescent Linear T12 (34W x 4L x 4') 2 Efficient Magnetic Ballast  </t>
  </si>
  <si>
    <t>FLT12-34W x 4L x 4'-IS N</t>
  </si>
  <si>
    <t xml:space="preserve">Fluorescent Linear T12 (34W x 4L x 4') 1 Instant start Ballast (0.85 &lt; BF &lt; 0.95) </t>
  </si>
  <si>
    <t>FLT12-34W x 4'-MG</t>
  </si>
  <si>
    <t xml:space="preserve">Fluorescent Linear T12 (34W x 1L x 4') 1 Magnetic Ballast  </t>
  </si>
  <si>
    <t>FLT12-34W x 4'-MG(E)</t>
  </si>
  <si>
    <t xml:space="preserve">Fluorescent Linear T12 (34W x 1L x 4') 1 Efficient Magnetic Ballast  </t>
  </si>
  <si>
    <t>FLT12-34W x 4'-MG(E) T2</t>
  </si>
  <si>
    <t>Fluorescent Linear T12 (34W x 1L x 4') 1 Efficient Magnetic Ballast  Tandem - 2 Fixtures/Ballast</t>
  </si>
  <si>
    <t>FLT12-34W x 6L x 4'-2 IS N</t>
  </si>
  <si>
    <t xml:space="preserve">Fluorescent Linear T12 (34W x 6L x 4') 2 Instant start Ballast (0.85 &lt; BF &lt; 0.95) </t>
  </si>
  <si>
    <t>FLT12-34W x 6L x 4'-MG</t>
  </si>
  <si>
    <t xml:space="preserve">Fluorescent Linear T12 (34W x 6L x 4') 1 Magnetic Ballast  </t>
  </si>
  <si>
    <t>FLT12-34W x 6L x 4'-MG(E)</t>
  </si>
  <si>
    <t xml:space="preserve">Fluorescent Linear T12 (34W x 6L x 4') 1 Efficient Magnetic Ballast  </t>
  </si>
  <si>
    <t>FLT12-34W x 8L x 4'-MG</t>
  </si>
  <si>
    <t xml:space="preserve">Fluorescent Linear T12 (34W x 8L x 4') 1 Magnetic Ballast  </t>
  </si>
  <si>
    <t>FLT12-34W x 8L x 4'-MG(E)</t>
  </si>
  <si>
    <t xml:space="preserve">Fluorescent Linear T12 (34W x 8L x 4') 1 Efficient Magnetic Ballast  </t>
  </si>
  <si>
    <t>FLT12-39W x 2L x 4'-IS N</t>
  </si>
  <si>
    <t xml:space="preserve">Fluorescent Linear T12 (39W x 2L x 4') 1 Instant start Ballast (0.85 &lt; BF &lt; 0.95) </t>
  </si>
  <si>
    <t>FLT12-39W x 2L x 4'-MG</t>
  </si>
  <si>
    <t xml:space="preserve">Fluorescent Linear T12 (39W x 2L x 4') 1 Magnetic Ballast  </t>
  </si>
  <si>
    <t>FLT12-39W x 3L x 4'-IS N</t>
  </si>
  <si>
    <t xml:space="preserve">Fluorescent Linear T12 (39W x 3L x 4') 1 Instant start Ballast (0.85 &lt; BF &lt; 0.95) </t>
  </si>
  <si>
    <t>FLT12-39W x 4'-IS N</t>
  </si>
  <si>
    <t xml:space="preserve">Fluorescent Linear T12 (39W x 1L x 4') 1 Instant start Ballast (0.85 &lt; BF &lt; 0.95) </t>
  </si>
  <si>
    <t>FLT12-39W x 4'-IS N T2</t>
  </si>
  <si>
    <t>Fluorescent Linear T12 (39W x 1L x 4') 1 Instant start Ballast (0.85 &lt; BF &lt; 0.95) Tandem - 2 Fixtures/Ballast</t>
  </si>
  <si>
    <t>FLT12-39W x 4L x 4'-IS N</t>
  </si>
  <si>
    <t xml:space="preserve">Fluorescent Linear T12 (39W x 4L x 4') 1 Instant start Ballast (0.85 &lt; BF &lt; 0.95) </t>
  </si>
  <si>
    <t>FLT12-39W x 4'-MG</t>
  </si>
  <si>
    <t xml:space="preserve">Fluorescent Linear T12 (39W x 1L x 4') 1 Magnetic Ballast  </t>
  </si>
  <si>
    <t>FLT12-39W x 4'-MG T2</t>
  </si>
  <si>
    <t>Fluorescent Linear T12 (39W x 1L x 4') 1 Magnetic Ballast  Tandem - 2 Fixtures/Ballast</t>
  </si>
  <si>
    <t>FLT12-40W x 2L x 4'-MG</t>
  </si>
  <si>
    <t xml:space="preserve">Fluorescent Linear T12 (40W x 2L x 4') 1 Magnetic Ballast  </t>
  </si>
  <si>
    <t>FLT12-40W x 2L x 4'-MG(E)</t>
  </si>
  <si>
    <t xml:space="preserve">Fluorescent Linear T12 (40W x 2L x 4') 1 Efficient Magnetic Ballast  </t>
  </si>
  <si>
    <t>FLT12-40W x 3L x 4'-2 MG</t>
  </si>
  <si>
    <t xml:space="preserve">Fluorescent Linear T12 (40W x 3L x 4') 2 Magnetic Ballast  </t>
  </si>
  <si>
    <t>FLT12-40W x 3L x 4'-2 MG(E)</t>
  </si>
  <si>
    <t xml:space="preserve">Fluorescent Linear T12 (40W x 3L x 4') 2 Efficient Magnetic Ballast  </t>
  </si>
  <si>
    <t>FLT12-40W x 3L x 4'-MG</t>
  </si>
  <si>
    <t xml:space="preserve">Fluorescent Linear T12 (40W x 3L x 4') 1 Magnetic Ballast  </t>
  </si>
  <si>
    <t>FLT12-40W x 3L x 4'-MG(E)</t>
  </si>
  <si>
    <t xml:space="preserve">Fluorescent Linear T12 (40W x 3L x 4') 1 Efficient Magnetic Ballast  </t>
  </si>
  <si>
    <t>FLT12-40W x 4L x 4'-2 MG</t>
  </si>
  <si>
    <t xml:space="preserve">Fluorescent Linear T12 (40W x 4L x 4') 2 Magnetic Ballast  </t>
  </si>
  <si>
    <t>FLT12-40W x 4L x 4'-2 MG(E)</t>
  </si>
  <si>
    <t xml:space="preserve">Fluorescent Linear T12 (40W x 4L x 4') 2 Efficient Magnetic Ballast  </t>
  </si>
  <si>
    <t>FLT12-40W x 4'-MG</t>
  </si>
  <si>
    <t xml:space="preserve">Fluorescent Linear T12 (40W x 1L x 4') 1 Magnetic Ballast  </t>
  </si>
  <si>
    <t>FLT12-40W x 4'-MG T2</t>
  </si>
  <si>
    <t>Fluorescent Linear T12 (40W x 1L x 4') 1 Magnetic Ballast  Tandem - 2 Fixtures/Ballast</t>
  </si>
  <si>
    <t>FLT12-40W x 4'-MG(E)</t>
  </si>
  <si>
    <t xml:space="preserve">Fluorescent Linear T12 (40W x 1L x 4') 1 Efficient Magnetic Ballast  </t>
  </si>
  <si>
    <t>FLT12-40W x 4'-MG(E) T2</t>
  </si>
  <si>
    <t>Fluorescent Linear T12 (40W x 1L x 4') 1 Efficient Magnetic Ballast  Tandem - 2 Fixtures/Ballast</t>
  </si>
  <si>
    <t>FLT12-40W x 6L x 4'-2 IS N</t>
  </si>
  <si>
    <t xml:space="preserve">Fluorescent Linear T12 (40W x 6L x 4') 2 Instant start Ballast (0.85 &lt; BF &lt; 0.95) </t>
  </si>
  <si>
    <t>FLT12-40W x 6L x 4'-MG</t>
  </si>
  <si>
    <t xml:space="preserve">Fluorescent Linear T12 (40W x 6L x 4') 1 Magnetic Ballast  </t>
  </si>
  <si>
    <t>FLT12-40W x 6L x 4'-MG(E)</t>
  </si>
  <si>
    <t xml:space="preserve">Fluorescent Linear T12 (40W x 6L x 4') 1 Efficient Magnetic Ballast  </t>
  </si>
  <si>
    <t>FLT12-40W x 8L x 4'-MG</t>
  </si>
  <si>
    <t xml:space="preserve">Fluorescent Linear T12 (40W x 8L x 4') 1 Magnetic Ballast  </t>
  </si>
  <si>
    <t>FLT12-40W x 8L x 4'-MG(E)</t>
  </si>
  <si>
    <t xml:space="preserve">Fluorescent Linear T12 (40W x 8L x 4') 1 Efficient Magnetic Ballast  </t>
  </si>
  <si>
    <t>FLT12-50W x 2L x 5'-IS N</t>
  </si>
  <si>
    <t xml:space="preserve">Fluorescent Linear T12 (50W x 2L x 5') 1 Instant start Ballast (0.85 &lt; BF &lt; 0.95) </t>
  </si>
  <si>
    <t>FLT12-50W x 2L x 5'-MG</t>
  </si>
  <si>
    <t xml:space="preserve">Fluorescent Linear T12 (50W x 2L x 5') 1 Magnetic Ballast  </t>
  </si>
  <si>
    <t>FLT12-50W x 5'-IS N</t>
  </si>
  <si>
    <t xml:space="preserve">Fluorescent Linear T12 (50W x 1L x 5') 1 Instant start Ballast (0.85 &lt; BF &lt; 0.95) </t>
  </si>
  <si>
    <t>FLT12-50W x 5'-MG</t>
  </si>
  <si>
    <t xml:space="preserve">Fluorescent Linear T12 (50W x 1L x 5') 1 Magnetic Ballast  </t>
  </si>
  <si>
    <t>FLT12-55W x 2L x 6'-IS N</t>
  </si>
  <si>
    <t xml:space="preserve">Fluorescent Linear T12 (55W x 2L x 6') 1 Instant start Ballast (0.85 &lt; BF &lt; 0.95) </t>
  </si>
  <si>
    <t>FLT12-55W x 2L x 6'-MG</t>
  </si>
  <si>
    <t xml:space="preserve">Fluorescent Linear T12 (55W x 2L x 6') 1 Magnetic Ballast  </t>
  </si>
  <si>
    <t>FLT12-55W x 2L x 6'-MG(E)</t>
  </si>
  <si>
    <t xml:space="preserve">Fluorescent Linear T12 (55W x 2L x 6') 1 Efficient Magnetic Ballast  </t>
  </si>
  <si>
    <t>FLT12-55W x 2L x 6'-RS/PRS N</t>
  </si>
  <si>
    <t xml:space="preserve">Fluorescent Linear T12 (55W x 2L x 6') 1 Rapid/Program Start Ballast (0.85 &lt; BF &lt; 0.95) </t>
  </si>
  <si>
    <t>RS/PRS</t>
  </si>
  <si>
    <t>Rapid/Program Start Ballast</t>
  </si>
  <si>
    <t>FLT12-55W x 3L x 6'-IS N</t>
  </si>
  <si>
    <t xml:space="preserve">Fluorescent Linear T12 (55W x 3L x 6') 1 Instant start Ballast (0.85 &lt; BF &lt; 0.95) </t>
  </si>
  <si>
    <t>FLT12-55W x 3L x 6'-MG</t>
  </si>
  <si>
    <t xml:space="preserve">Fluorescent Linear T12 (55W x 3L x 6') 1 Magnetic Ballast  </t>
  </si>
  <si>
    <t>FLT12-55W x 4L x 6'-IS N</t>
  </si>
  <si>
    <t xml:space="preserve">Fluorescent Linear T12 (55W x 4L x 6') 1 Instant start Ballast (0.85 &lt; BF &lt; 0.95) </t>
  </si>
  <si>
    <t>FLT12-55W x 4L x 6'-MG(E)</t>
  </si>
  <si>
    <t xml:space="preserve">Fluorescent Linear T12 (55W x 4L x 6') 1 Efficient Magnetic Ballast  </t>
  </si>
  <si>
    <t>FLT12-55W x 6'-IS N</t>
  </si>
  <si>
    <t xml:space="preserve">Fluorescent Linear T12 (55W x 1L x 6') 1 Instant start Ballast (0.85 &lt; BF &lt; 0.95) </t>
  </si>
  <si>
    <t>FLT12-55W x 6'-MG</t>
  </si>
  <si>
    <t xml:space="preserve">Fluorescent Linear T12 (55W x 1L x 6') 1 Magnetic Ballast  </t>
  </si>
  <si>
    <t>FLT12-56W x 4L x 6'-MG</t>
  </si>
  <si>
    <t xml:space="preserve">Fluorescent Linear T12 (56W x 4L x 6') 1 Magnetic Ballast  </t>
  </si>
  <si>
    <t>FLT12-60W x 2L x 8'-IS N</t>
  </si>
  <si>
    <t xml:space="preserve">Fluorescent Linear T12 (60W x 2L x 8') 1 Instant start Ballast (0.85 &lt; BF &lt; 0.95) </t>
  </si>
  <si>
    <t>FLT12-60W x 2L x 8'-MG</t>
  </si>
  <si>
    <t xml:space="preserve">Fluorescent Linear T12 (60W x 2L x 8') 1 Magnetic Ballast  </t>
  </si>
  <si>
    <t>FLT12-60W x 2L x 8'-MG(E)</t>
  </si>
  <si>
    <t xml:space="preserve">Fluorescent Linear T12 (60W x 2L x 8') 1 Efficient Magnetic Ballast  </t>
  </si>
  <si>
    <t>FLT12-60W x 3L x 8'-IS N</t>
  </si>
  <si>
    <t xml:space="preserve">Fluorescent Linear T12 (60W x 3L x 8') 1 Instant start Ballast (0.85 &lt; BF &lt; 0.95) </t>
  </si>
  <si>
    <t>FLT12-60W x 3L x 8'-MG</t>
  </si>
  <si>
    <t xml:space="preserve">Fluorescent Linear T12 (60W x 3L x 8') 1 Magnetic Ballast  </t>
  </si>
  <si>
    <t>FLT12-60W x 3L x 8'-MG(E)</t>
  </si>
  <si>
    <t xml:space="preserve">Fluorescent Linear T12 (60W x 3L x 8') 1 Efficient Magnetic Ballast  </t>
  </si>
  <si>
    <t>FLT12-60W x 4L x 8'-2 IS N</t>
  </si>
  <si>
    <t xml:space="preserve">Fluorescent Linear T12 (60W x 4L x 8') 2 Instant start Ballast (0.85 &lt; BF &lt; 0.95) </t>
  </si>
  <si>
    <t>FLT12-60W x 4L x 8'-MG</t>
  </si>
  <si>
    <t xml:space="preserve">Fluorescent Linear T12 (60W x 4L x 8') 1 Magnetic Ballast  </t>
  </si>
  <si>
    <t>FLT12-60W x 4L x 8'-MG(E)</t>
  </si>
  <si>
    <t xml:space="preserve">Fluorescent Linear T12 (60W x 4L x 8') 1 Efficient Magnetic Ballast  </t>
  </si>
  <si>
    <t>FLT12-60W x 6L x 8'-MG(E)</t>
  </si>
  <si>
    <t xml:space="preserve">Fluorescent Linear T12 (60W x 6L x 8') 1 Efficient Magnetic Ballast  </t>
  </si>
  <si>
    <t>FLT12-60W x 8'-IS N</t>
  </si>
  <si>
    <t xml:space="preserve">Fluorescent Linear T12 (60W x 1L x 8') 1 Instant start Ballast (0.85 &lt; BF &lt; 0.95) </t>
  </si>
  <si>
    <t>FLT12-60W x 8'-IS N T2</t>
  </si>
  <si>
    <t>Fluorescent Linear T12 (60W x 1L x 8') 1 Instant start Ballast (0.85 &lt; BF &lt; 0.95) Tandem - 2 Fixtures/Ballast</t>
  </si>
  <si>
    <t>FLT12-60W x 8'-MG</t>
  </si>
  <si>
    <t xml:space="preserve">Fluorescent Linear T12 (60W x 1L x 8') 1 Magnetic Ballast  </t>
  </si>
  <si>
    <t>FLT12-60W x 8'-MG T2</t>
  </si>
  <si>
    <t>Fluorescent Linear T12 (60W x 1L x 8') 1 Magnetic Ballast  Tandem - 2 Fixtures/Ballast</t>
  </si>
  <si>
    <t>FLT12-60W x 8'-MG(E)</t>
  </si>
  <si>
    <t xml:space="preserve">Fluorescent Linear T12 (60W x 1L x 8') 1 Efficient Magnetic Ballast  </t>
  </si>
  <si>
    <t>FLT12-60W x 8'-MG(E) T2</t>
  </si>
  <si>
    <t>Fluorescent Linear T12 (60W x 1L x 8') 1 Efficient Magnetic Ballast  Tandem - 2 Fixtures/Ballast</t>
  </si>
  <si>
    <t>FLT12-75W x 2L x 8'-IS N</t>
  </si>
  <si>
    <t xml:space="preserve">Fluorescent Linear T12 (75W x 2L x 8') 1 Instant start Ballast (0.85 &lt; BF &lt; 0.95) </t>
  </si>
  <si>
    <t>FLT12-75W x 2L x 8'-MG</t>
  </si>
  <si>
    <t xml:space="preserve">Fluorescent Linear T12 (75W x 2L x 8') 1 Magnetic Ballast  </t>
  </si>
  <si>
    <t>FLT12-75W x 2L x 8'-MG(E)</t>
  </si>
  <si>
    <t xml:space="preserve">Fluorescent Linear T12 (75W x 2L x 8') 1 Efficient Magnetic Ballast  </t>
  </si>
  <si>
    <t>FLT12-75W x 3L x 8'-2 IS N</t>
  </si>
  <si>
    <t xml:space="preserve">Fluorescent Linear T12 (75W x 3L x 8') 2 Instant start Ballast (0.85 &lt; BF &lt; 0.95) </t>
  </si>
  <si>
    <t>FLT12-75W x 3L x 8'-MG(E)</t>
  </si>
  <si>
    <t xml:space="preserve">Fluorescent Linear T12 (75W x 3L x 8') 1 Efficient Magnetic Ballast  </t>
  </si>
  <si>
    <t>FLT12-75W x 4L x 8'-2 IS N</t>
  </si>
  <si>
    <t xml:space="preserve">Fluorescent Linear T12 (75W x 4L x 8') 2 Instant start Ballast (0.85 &lt; BF &lt; 0.95) </t>
  </si>
  <si>
    <t>FLT12-75W x 4L x 8'-MG(E)</t>
  </si>
  <si>
    <t xml:space="preserve">Fluorescent Linear T12 (75W x 4L x 8') 1 Efficient Magnetic Ballast  </t>
  </si>
  <si>
    <t>FLT12-75W x 6L x 8'-MG</t>
  </si>
  <si>
    <t xml:space="preserve">Fluorescent Linear T12 (75W x 6L x 8') 1 Magnetic Ballast  </t>
  </si>
  <si>
    <t>FLT12-75W x 6L x 8'-MG(E)</t>
  </si>
  <si>
    <t xml:space="preserve">Fluorescent Linear T12 (75W x 6L x 8') 1 Efficient Magnetic Ballast  </t>
  </si>
  <si>
    <t>FLT12-75W x 8'-IS N</t>
  </si>
  <si>
    <t xml:space="preserve">Fluorescent Linear T12 (75W x 1L x 8') 1 Instant start Ballast (0.85 &lt; BF &lt; 0.95) </t>
  </si>
  <si>
    <t>FLT12-75W x 8'-IS N T2</t>
  </si>
  <si>
    <t>Fluorescent Linear T12 (75W x 1L x 8') 1 Instant start Ballast (0.85 &lt; BF &lt; 0.95) Tandem - 2 Fixtures/Ballast</t>
  </si>
  <si>
    <t>FLT12-75W x 8'-MG</t>
  </si>
  <si>
    <t xml:space="preserve">Fluorescent Linear T12 (75W x 1L x 8') 1 Magnetic Ballast  </t>
  </si>
  <si>
    <t>FLT12-75W x 8'-MG T2</t>
  </si>
  <si>
    <t>Fluorescent Linear T12 (75W x 1L x 8') 1 Magnetic Ballast  Tandem - 2 Fixtures/Ballast</t>
  </si>
  <si>
    <t>FLT12-75W x 8'-MG(E)</t>
  </si>
  <si>
    <t xml:space="preserve">Fluorescent Linear T12 (75W x 1L x 8') 1 Efficient Magnetic Ballast  </t>
  </si>
  <si>
    <t>FLT12-75W x 8'-MG(E) T2</t>
  </si>
  <si>
    <t>Fluorescent Linear T12 (75W x 1L x 8') 1 Efficient Magnetic Ballast  Tandem - 2 Fixtures/Ballast</t>
  </si>
  <si>
    <t>FLT12HO-110W x 2L x 8'-IS N</t>
  </si>
  <si>
    <t xml:space="preserve">Fluorescent Linear T12 HO (110W x 2L x 8') 1 Instant start Ballast (0.85 &lt; BF &lt; 0.95) </t>
  </si>
  <si>
    <t>T12HO</t>
  </si>
  <si>
    <t>T12 HO</t>
  </si>
  <si>
    <t>FLT12HO-110W x 2L x 8'-MG</t>
  </si>
  <si>
    <t xml:space="preserve">Fluorescent Linear T12 HO (110W x 2L x 8') 1 Magnetic Ballast  </t>
  </si>
  <si>
    <t>FLT12HO-110W x 2L x 8'-MG(E)</t>
  </si>
  <si>
    <t xml:space="preserve">Fluorescent Linear T12 HO (110W x 2L x 8') 1 Efficient Magnetic Ballast  </t>
  </si>
  <si>
    <t>FLT12HO-110W x 3L x 8'-MG</t>
  </si>
  <si>
    <t xml:space="preserve">Fluorescent Linear T12 HO (110W x 3L x 8') 1 Magnetic Ballast  </t>
  </si>
  <si>
    <t>FLT12HO-110W x 3L x 8'-MG(E)</t>
  </si>
  <si>
    <t xml:space="preserve">Fluorescent Linear T12 HO (110W x 3L x 8') 1 Efficient Magnetic Ballast  </t>
  </si>
  <si>
    <t>FLT12HO-110W x 4L x 8'-2 IS N</t>
  </si>
  <si>
    <t xml:space="preserve">Fluorescent Linear T12 HO (110W x 4L x 8') 2 Instant start Ballast (0.85 &lt; BF &lt; 0.95) </t>
  </si>
  <si>
    <t>FLT12HO-110W x 4L x 8'-MG</t>
  </si>
  <si>
    <t xml:space="preserve">Fluorescent Linear T12 HO (110W x 4L x 8') 1 Magnetic Ballast  </t>
  </si>
  <si>
    <t>FLT12HO-110W x 4L x 8'-MG(E)</t>
  </si>
  <si>
    <t xml:space="preserve">Fluorescent Linear T12 HO (110W x 4L x 8') 1 Efficient Magnetic Ballast  </t>
  </si>
  <si>
    <t>FLT12HO-110W x 8L x 8'-MG</t>
  </si>
  <si>
    <t xml:space="preserve">Fluorescent Linear T12 HO (110W x 8L x 8') 1 Magnetic Ballast  </t>
  </si>
  <si>
    <t>FLT12HO-110W x 8'-MG</t>
  </si>
  <si>
    <t xml:space="preserve">Fluorescent Linear T12 HO (110W x 1L x 8') 1 Magnetic Ballast  </t>
  </si>
  <si>
    <t>FLT12HO-35W x 2L x 2'-MG</t>
  </si>
  <si>
    <t xml:space="preserve">Fluorescent Linear T12 HO (35W x 2L x 2') 1 Magnetic Ballast  </t>
  </si>
  <si>
    <t>FLT12HO-35W x 2'-MG</t>
  </si>
  <si>
    <t xml:space="preserve">Fluorescent Linear T12 HO (35W x 1L x 2') 1 Magnetic Ballast  </t>
  </si>
  <si>
    <t>FLT12HO-50W x 2L x 3'-MG</t>
  </si>
  <si>
    <t xml:space="preserve">Fluorescent Linear T12 HO (50W x 2L x 3') 1 Magnetic Ballast  </t>
  </si>
  <si>
    <t>FLT12HO-50W x 3'-MG</t>
  </si>
  <si>
    <t xml:space="preserve">Fluorescent Linear T12 HO (50W x 1L x 3') 1 Magnetic Ballast  </t>
  </si>
  <si>
    <t>FLT12HO-55W x 2L x 4'-MG</t>
  </si>
  <si>
    <t xml:space="preserve">Fluorescent Linear T12 HO (55W x 2L x 4') 1 Magnetic Ballast  </t>
  </si>
  <si>
    <t>FLT12HO-55W x 3L x 4'-MG</t>
  </si>
  <si>
    <t xml:space="preserve">Fluorescent Linear T12 HO (55W x 3L x 4') 1 Magnetic Ballast  </t>
  </si>
  <si>
    <t>FLT12HO-55W x 4L x 4'-2 MG</t>
  </si>
  <si>
    <t xml:space="preserve">Fluorescent Linear T12 HO (55W x 4L x 4') 2 Magnetic Ballast  </t>
  </si>
  <si>
    <t>FLT12HO-55W x 4'-MG</t>
  </si>
  <si>
    <t xml:space="preserve">Fluorescent Linear T12 HO (55W x 1L x 4') 1 Magnetic Ballast  </t>
  </si>
  <si>
    <t>FLT12HO-60W x 2L x 4'-MG</t>
  </si>
  <si>
    <t xml:space="preserve">Fluorescent Linear T12 HO (60W x 2L x 4') 1 Magnetic Ballast  </t>
  </si>
  <si>
    <t>FLT12HO-60W x 3L x 4'-MG</t>
  </si>
  <si>
    <t xml:space="preserve">Fluorescent Linear T12 HO (60W x 3L x 4') 1 Magnetic Ballast  </t>
  </si>
  <si>
    <t>FLT12HO-60W x 4L x 4'-2 MG</t>
  </si>
  <si>
    <t xml:space="preserve">Fluorescent Linear T12 HO (60W x 4L x 4') 2 Magnetic Ballast  </t>
  </si>
  <si>
    <t>FLT12HO-60W x 4'-MG</t>
  </si>
  <si>
    <t xml:space="preserve">Fluorescent Linear T12 HO (60W x 1L x 4') 1 Magnetic Ballast  </t>
  </si>
  <si>
    <t>FLT12HO-75W x 2L x 5'-IS N</t>
  </si>
  <si>
    <t xml:space="preserve">Fluorescent Linear T12 HO (75W x 2L x 5') 1 Instant start Ballast (0.85 &lt; BF &lt; 0.95) </t>
  </si>
  <si>
    <t>FLT12HO-75W x 2L x 5'-MG</t>
  </si>
  <si>
    <t xml:space="preserve">Fluorescent Linear T12 HO (75W x 2L x 5') 1 Magnetic Ballast  </t>
  </si>
  <si>
    <t>FLT12HO-75W x 2L x 5'-MG(E)</t>
  </si>
  <si>
    <t xml:space="preserve">Fluorescent Linear T12 HO (75W x 2L x 5') 1 Efficient Magnetic Ballast  </t>
  </si>
  <si>
    <t>FLT12HO-75W x 5'-IS N</t>
  </si>
  <si>
    <t xml:space="preserve">Fluorescent Linear T12 HO (75W x 1L x 5') 1 Instant start Ballast (0.85 &lt; BF &lt; 0.95) </t>
  </si>
  <si>
    <t>FLT12HO-75W x 5'-MG</t>
  </si>
  <si>
    <t xml:space="preserve">Fluorescent Linear T12 HO (75W x 1L x 5') 1 Magnetic Ballast  </t>
  </si>
  <si>
    <t>FLT12HO-75W x 5'-MG(E)</t>
  </si>
  <si>
    <t xml:space="preserve">Fluorescent Linear T12 HO (75W x 1L x 5') 1 Efficient Magnetic Ballast  </t>
  </si>
  <si>
    <t>FLT12HO-85W x 2L x 6'-IS N</t>
  </si>
  <si>
    <t xml:space="preserve">Fluorescent Linear T12 HO (85W x 2L x 6') 1 Instant start Ballast (0.85 &lt; BF &lt; 0.95) </t>
  </si>
  <si>
    <t>FLT12HO-85W x 2L x 6'-MG</t>
  </si>
  <si>
    <t xml:space="preserve">Fluorescent Linear T12 HO (85W x 2L x 6') 1 Magnetic Ballast  </t>
  </si>
  <si>
    <t>FLT12HO-85W x 2L x 6'-MG(E)</t>
  </si>
  <si>
    <t xml:space="preserve">Fluorescent Linear T12 HO (85W x 2L x 6') 1 Efficient Magnetic Ballast  </t>
  </si>
  <si>
    <t>FLT12HO-85W x 4L x 6'-MG(E)</t>
  </si>
  <si>
    <t xml:space="preserve">Fluorescent Linear T12 HO (85W x 4L x 6') 1 Efficient Magnetic Ballast  </t>
  </si>
  <si>
    <t>FLT12HO-85W x 6'-MG</t>
  </si>
  <si>
    <t xml:space="preserve">Fluorescent Linear T12 HO (85W x 1L x 6') 1 Magnetic Ballast  </t>
  </si>
  <si>
    <t>FLT12HO-95W x 2L x 8'-IS N</t>
  </si>
  <si>
    <t xml:space="preserve">Fluorescent Linear T12 HO (95W x 2L x 8') 1 Instant start Ballast (0.85 &lt; BF &lt; 0.95) </t>
  </si>
  <si>
    <t>FLT12HO-95W x 2L x 8'-MG</t>
  </si>
  <si>
    <t xml:space="preserve">Fluorescent Linear T12 HO (95W x 2L x 8') 1 Magnetic Ballast  </t>
  </si>
  <si>
    <t>FLT12HO-95W x 2L x 8'-MG(E)</t>
  </si>
  <si>
    <t xml:space="preserve">Fluorescent Linear T12 HO (95W x 2L x 8') 1 Efficient Magnetic Ballast  </t>
  </si>
  <si>
    <t>FLT12HO-95W x 3L x 8'-MG</t>
  </si>
  <si>
    <t xml:space="preserve">Fluorescent Linear T12 HO (95W x 3L x 8') 1 Magnetic Ballast  </t>
  </si>
  <si>
    <t>FLT12HO-95W x 4L x 8'-2 IS N</t>
  </si>
  <si>
    <t xml:space="preserve">Fluorescent Linear T12 HO (95W x 4L x 8') 2 Instant start Ballast (0.85 &lt; BF &lt; 0.95) </t>
  </si>
  <si>
    <t>FLT12HO-95W x 4L x 8'-MG</t>
  </si>
  <si>
    <t xml:space="preserve">Fluorescent Linear T12 HO (95W x 4L x 8') 1 Magnetic Ballast  </t>
  </si>
  <si>
    <t>FLT12HO-95W x 4L x 8'-MG(E)</t>
  </si>
  <si>
    <t xml:space="preserve">Fluorescent Linear T12 HO (95W x 4L x 8') 1 Efficient Magnetic Ballast  </t>
  </si>
  <si>
    <t>FLT12HO-95W x 6L x 8'-MG</t>
  </si>
  <si>
    <t xml:space="preserve">Fluorescent Linear T12 HO (95W x 6L x 8') 1 Magnetic Ballast  </t>
  </si>
  <si>
    <t>FLT12HO-95W x 8'-IS N</t>
  </si>
  <si>
    <t xml:space="preserve">Fluorescent Linear T12 HO (95W x 1L x 8') 1 Instant start Ballast (0.85 &lt; BF &lt; 0.95) </t>
  </si>
  <si>
    <t>FLT12HO-95W x 8L x 8'-MG(E)</t>
  </si>
  <si>
    <t xml:space="preserve">Fluorescent Linear T12 HO (95W x 8L x 8') 1 Efficient Magnetic Ballast  </t>
  </si>
  <si>
    <t>FLT12HO-95W x 8'-MG</t>
  </si>
  <si>
    <t xml:space="preserve">Fluorescent Linear T12 HO (95W x 1L x 8') 1 Magnetic Ballast  </t>
  </si>
  <si>
    <t>FLT12VHO-110W x 2L x 4'-MG</t>
  </si>
  <si>
    <t xml:space="preserve">Fluorescent Linear T12 VHO (110W x 2L x 4') 1 Magnetic Ballast  </t>
  </si>
  <si>
    <t>T12VHO</t>
  </si>
  <si>
    <t>T12 VHO</t>
  </si>
  <si>
    <t>FLT12VHO-110W x 3L x 4'-MG</t>
  </si>
  <si>
    <t xml:space="preserve">Fluorescent Linear T12 VHO (110W x 3L x 4') 1 Magnetic Ballast  </t>
  </si>
  <si>
    <t>FLT12VHO-110W x 4L x 4'-2 MG</t>
  </si>
  <si>
    <t xml:space="preserve">Fluorescent Linear T12 VHO (110W x 4L x 4') 2 Magnetic Ballast  </t>
  </si>
  <si>
    <t>FLT12VHO-110W x 4'-MG</t>
  </si>
  <si>
    <t xml:space="preserve">Fluorescent Linear T12 VHO (110W x 1L x 4') 1 Magnetic Ballast  </t>
  </si>
  <si>
    <t>FLT12VHO-135W x 2L x 5'-MG</t>
  </si>
  <si>
    <t xml:space="preserve">Fluorescent Linear T12 VHO (135W x 2L x 5') 1 Magnetic Ballast  </t>
  </si>
  <si>
    <t>FLT12VHO-135W x 5'-MG</t>
  </si>
  <si>
    <t xml:space="preserve">Fluorescent Linear T12 VHO (135W x 1L x 5') 1 Magnetic Ballast  </t>
  </si>
  <si>
    <t>FLT12VHO-160W x 2L x 6'-MG</t>
  </si>
  <si>
    <t xml:space="preserve">Fluorescent Linear T12 VHO (160W x 2L x 6') 1 Magnetic Ballast  </t>
  </si>
  <si>
    <t>FLT12VHO-160W x 6'-MG</t>
  </si>
  <si>
    <t xml:space="preserve">Fluorescent Linear T12 VHO (160W x 1L x 6') 1 Magnetic Ballast  </t>
  </si>
  <si>
    <t>FLT12VHO-185W x 3L x 8'-MG</t>
  </si>
  <si>
    <t xml:space="preserve">Fluorescent Linear T12 VHO (185W x 3L x 8') 1 Magnetic Ballast  </t>
  </si>
  <si>
    <t>FLT12VHO-185W x 4L x 8'-MG</t>
  </si>
  <si>
    <t xml:space="preserve">Fluorescent Linear T12 VHO (185W x 4L x 8') 1 Magnetic Ballast  </t>
  </si>
  <si>
    <t>FLT12VHO-185W x 8'-MG</t>
  </si>
  <si>
    <t xml:space="preserve">Fluorescent Linear T12 VHO (185W x 1L x 8') 1 Magnetic Ballast  </t>
  </si>
  <si>
    <t>FLT12VHO-195W x 2L x 8'-MG</t>
  </si>
  <si>
    <t xml:space="preserve">Fluorescent Linear T12 VHO (195W x 2L x 8') 1 Magnetic Ballast  </t>
  </si>
  <si>
    <t>FLT12VHO-215W x 2L x 8'-MG</t>
  </si>
  <si>
    <t xml:space="preserve">Fluorescent Linear T12 VHO (215W x 2L x 8') 1 Magnetic Ballast  </t>
  </si>
  <si>
    <t>FLT12VHO-215W x 3L x 8'-MG</t>
  </si>
  <si>
    <t xml:space="preserve">Fluorescent Linear T12 VHO (215W x 3L x 8') 1 Magnetic Ballast  </t>
  </si>
  <si>
    <t>FLT12VHO-215W x 4L x 8'-MG</t>
  </si>
  <si>
    <t xml:space="preserve">Fluorescent Linear T12 VHO (215W x 4L x 8') 1 Magnetic Ballast  </t>
  </si>
  <si>
    <t>FLT12VHO-215W x 8'-MG</t>
  </si>
  <si>
    <t xml:space="preserve">Fluorescent Linear T12 VHO (215W x 1L x 8') 1 Magnetic Ballast  </t>
  </si>
  <si>
    <t>FLT12VHO-94W x 4L x 4'-2 MG</t>
  </si>
  <si>
    <t xml:space="preserve">Fluorescent Linear T12 VHO (94W x 4L x 4') 2 Magnetic Ballast  </t>
  </si>
  <si>
    <t>FLT17-215W x 8'-MG</t>
  </si>
  <si>
    <t xml:space="preserve">Fluorescent Linear T17 (215W x 1L x 8') 1 Magnetic Ballast  </t>
  </si>
  <si>
    <t>T17</t>
  </si>
  <si>
    <t>FLT5-13W x 2L x 2'-MG</t>
  </si>
  <si>
    <t xml:space="preserve">Fluorescent Linear T5 (13W x 2L x 2') 1 Magnetic Ballast  </t>
  </si>
  <si>
    <t>T5</t>
  </si>
  <si>
    <t>FLT5-13W x 4L x 2'-MG</t>
  </si>
  <si>
    <t xml:space="preserve">Fluorescent Linear T5 (13W x 4L x 2') 1 Magnetic Ballast  </t>
  </si>
  <si>
    <t>FLT5-14W x 2L x 2'-RS/PRS H</t>
  </si>
  <si>
    <t xml:space="preserve">Fluorescent Linear T5 (14W x 2L x 2') 1 Rapid/Program Start Ballast (0.95 &lt; BF &lt; 1.10) </t>
  </si>
  <si>
    <t>FLT5-14W x 2'-RS/PRS H</t>
  </si>
  <si>
    <t xml:space="preserve">Fluorescent Linear T5 (14W x 1L x 2') 1 Rapid/Program Start Ballast (0.95 &lt; BF &lt; 1.10) </t>
  </si>
  <si>
    <t>FLT5-14W x 3L x 2'-2 RS/PRS H</t>
  </si>
  <si>
    <t xml:space="preserve">Fluorescent Linear T5 (14W x 3L x 2') 2 Rapid/Program Start Ballast (0.95 &lt; BF &lt; 1.10) </t>
  </si>
  <si>
    <t>FLT5-14W x 4L x 2'-2 RS/PRS H</t>
  </si>
  <si>
    <t xml:space="preserve">Fluorescent Linear T5 (14W x 4L x 2') 2 Rapid/Program Start Ballast (0.95 &lt; BF &lt; 1.10) </t>
  </si>
  <si>
    <t>FLT5-21W x 2L x 3'-RS/PRS H</t>
  </si>
  <si>
    <t xml:space="preserve">Fluorescent Linear T5 (21W x 2L x 3') 1 Rapid/Program Start Ballast (0.95 &lt; BF &lt; 1.10) </t>
  </si>
  <si>
    <t>FLT5-21W x 3L x 3'-2 RS/PRS H</t>
  </si>
  <si>
    <t xml:space="preserve">Fluorescent Linear T5 (21W x 3L x 3') 2 Rapid/Program Start Ballast (0.95 &lt; BF &lt; 1.10) </t>
  </si>
  <si>
    <t>FLT5-21W x 3'-RS/PRS H</t>
  </si>
  <si>
    <t xml:space="preserve">Fluorescent Linear T5 (21W x 1L x 3') 1 Rapid/Program Start Ballast (0.95 &lt; BF &lt; 1.10) </t>
  </si>
  <si>
    <t>FLT5-21W x 4L x 3'-2 RS/PRS H</t>
  </si>
  <si>
    <t xml:space="preserve">Fluorescent Linear T5 (21W x 4L x 3') 2 Rapid/Program Start Ballast (0.95 &lt; BF &lt; 1.10) </t>
  </si>
  <si>
    <t>FLT5-24W x 4L x 2'-2 RS/PRS H</t>
  </si>
  <si>
    <t xml:space="preserve">Fluorescent Linear T5 (24W x 4L x 2') 2 Rapid/Program Start Ballast (0.95 &lt; BF &lt; 1.10) </t>
  </si>
  <si>
    <t>FLT5-28W x 2L x 4'-RS/PRS H</t>
  </si>
  <si>
    <t xml:space="preserve">Fluorescent Linear T5 (28W x 2L x 4') 1 Rapid/Program Start Ballast (0.95 &lt; BF &lt; 1.10) </t>
  </si>
  <si>
    <t>FLT5-28W x 3L x 4'-2 RS/PRS H</t>
  </si>
  <si>
    <t xml:space="preserve">Fluorescent Linear T5 (28W x 3L x 4') 2 Rapid/Program Start Ballast (0.95 &lt; BF &lt; 1.10) </t>
  </si>
  <si>
    <t>FLT5-28W x 4L x 4'-2 RS/PRS H</t>
  </si>
  <si>
    <t xml:space="preserve">Fluorescent Linear T5 (28W x 4L x 4') 2 Rapid/Program Start Ballast (0.95 &lt; BF &lt; 1.10) </t>
  </si>
  <si>
    <t>FLT5-28W x 4'-RS/PRS H</t>
  </si>
  <si>
    <t xml:space="preserve">Fluorescent Linear T5 (28W x 1L x 4') 1 Rapid/Program Start Ballast (0.95 &lt; BF &lt; 1.10) </t>
  </si>
  <si>
    <t>FLT5-28W x 4'-RS/PRS H T2</t>
  </si>
  <si>
    <t>Fluorescent Linear T5 (28W x 1L x 4') 1 Rapid/Program Start Ballast (0.95 &lt; BF &lt; 1.10) Tandem - 2 Fixtures/Ballast</t>
  </si>
  <si>
    <t>FLT5-35W x 2L x 5'-RS/PRS H</t>
  </si>
  <si>
    <t xml:space="preserve">Fluorescent Linear T5 (35W x 2L x 5') 1 Rapid/Program Start Ballast (0.95 &lt; BF &lt; 1.10) </t>
  </si>
  <si>
    <t>FLT5-35W x 4L x 5'-2 RS/PRS H</t>
  </si>
  <si>
    <t xml:space="preserve">Fluorescent Linear T5 (35W x 4L x 5') 2 Rapid/Program Start Ballast (0.95 &lt; BF &lt; 1.10) </t>
  </si>
  <si>
    <t>FLT5-35W x 5'-RS/PRS H</t>
  </si>
  <si>
    <t xml:space="preserve">Fluorescent Linear T5 (35W x 1L x 5') 1 Rapid/Program Start Ballast (0.95 &lt; BF &lt; 1.10) </t>
  </si>
  <si>
    <t>FLT5HO-24W x 2L x 2'-RS/PRS H</t>
  </si>
  <si>
    <t xml:space="preserve">Fluorescent Linear T5 HO (24W x 2L x 2') 1 Rapid/Program Start Ballast (0.95 &lt; BF &lt; 1.10) </t>
  </si>
  <si>
    <t>T5HO</t>
  </si>
  <si>
    <t>T5 HO</t>
  </si>
  <si>
    <t>FLT5HO-24W x 2L x 2'-RS/PRS VH</t>
  </si>
  <si>
    <t>VH</t>
  </si>
  <si>
    <t>(BF &gt; 1.10)</t>
  </si>
  <si>
    <t>FLT5HO-24W x 2'-RS/PRS H</t>
  </si>
  <si>
    <t xml:space="preserve">Fluorescent Linear T5 HO (24W x 1L x 2') 1 Rapid/Program Start Ballast (0.95 &lt; BF &lt; 1.10) </t>
  </si>
  <si>
    <t>FLT5HO-24W x 3L x 2'-2 RS/PRS H</t>
  </si>
  <si>
    <t xml:space="preserve">Fluorescent Linear T5 HO (24W x 3L x 2') 2 Rapid/Program Start Ballast (0.95 &lt; BF &lt; 1.10) </t>
  </si>
  <si>
    <t>FLT5HO-35W x 3L x 5'-2 RS/PRS H</t>
  </si>
  <si>
    <t xml:space="preserve">Fluorescent Linear T5 HO (35W x 3L x 5') 2 Rapid/Program Start Ballast (0.95 &lt; BF &lt; 1.10) </t>
  </si>
  <si>
    <t>FLT5HO-39W x 2L x 3'-RS/PRS H</t>
  </si>
  <si>
    <t xml:space="preserve">Fluorescent Linear T5 HO (39W x 2L x 3') 1 Rapid/Program Start Ballast (0.95 &lt; BF &lt; 1.10) </t>
  </si>
  <si>
    <t>FLT5HO-39W x 2L x 3'-RS/PRS VH</t>
  </si>
  <si>
    <t xml:space="preserve">Fluorescent Linear T5 HO (39W x 2L x 3') 1 Rapid/Program Start Ballast (BF &gt; 1.10) </t>
  </si>
  <si>
    <t>FLT5HO-39W x 3L x 3'-2 RS/PRS H</t>
  </si>
  <si>
    <t xml:space="preserve">Fluorescent Linear T5 HO (39W x 3L x 3') 2 Rapid/Program Start Ballast (0.95 &lt; BF &lt; 1.10) </t>
  </si>
  <si>
    <t>FLT5HO-39W x 3L x 3'-RS/PRS VH</t>
  </si>
  <si>
    <t xml:space="preserve">Fluorescent Linear T5 HO (39W x 3L x 3') 1 Rapid/Program Start Ballast (BF &gt; 1.10) </t>
  </si>
  <si>
    <t>FLT5HO-39W x 3'-RS/PRS H</t>
  </si>
  <si>
    <t xml:space="preserve">Fluorescent Linear T5 HO (39W x 1L x 3') 1 Rapid/Program Start Ballast (0.95 &lt; BF &lt; 1.10) </t>
  </si>
  <si>
    <t>FLT5HO-39W x 3'-RS/PRS VH</t>
  </si>
  <si>
    <t xml:space="preserve">Fluorescent Linear T5 HO (39W x 1L x 3') 1 Rapid/Program Start Ballast (BF &gt; 1.10) </t>
  </si>
  <si>
    <t>FLT5HO-39W x 4L x 3'-2 RS/PRS H</t>
  </si>
  <si>
    <t xml:space="preserve">Fluorescent Linear T5 HO (39W x 4L x 3') 2 Rapid/Program Start Ballast (0.95 &lt; BF &lt; 1.10) </t>
  </si>
  <si>
    <t>FLT5HO-39W x 4L x 3'-RS/PRS VH</t>
  </si>
  <si>
    <t xml:space="preserve">Fluorescent Linear T5 HO (39W x 4L x 3') 1 Rapid/Program Start Ballast (BF &gt; 1.10) </t>
  </si>
  <si>
    <t>FLT5HO-49W x 10L x 4'-3 RS/PRS H</t>
  </si>
  <si>
    <t xml:space="preserve">Fluorescent Linear T5 HO (49W x 10L x 4') 3 Rapid/Program Start Ballast (0.95 &lt; BF &lt; 1.10) </t>
  </si>
  <si>
    <t>FLT5HO-49W x 12L x 4'-3 RS/PRS H</t>
  </si>
  <si>
    <t xml:space="preserve">Fluorescent Linear T5 HO (49W x 12L x 4') 3 Rapid/Program Start Ballast (0.95 &lt; BF &lt; 1.10) </t>
  </si>
  <si>
    <t>FLT5HO-49W x 2L x 4'-RS/PRS H</t>
  </si>
  <si>
    <t xml:space="preserve">Fluorescent Linear T5 HO (49W x 2L x 4') 1 Rapid/Program Start Ballast (0.95 &lt; BF &lt; 1.10) </t>
  </si>
  <si>
    <t>FLT5HO-49W x 2L x 4'-RS/PRS H T2</t>
  </si>
  <si>
    <t>Fluorescent Linear T5 HO (49W x 2L x 4') 1 Rapid/Program Start Ballast (0.95 &lt; BF &lt; 1.10) Tandem - 2 Fixtures/Ballast</t>
  </si>
  <si>
    <t>FLT5HO-49W x 2L x 4'-RS/PRS VH</t>
  </si>
  <si>
    <t xml:space="preserve">Fluorescent Linear T5 HO (49W x 2L x 4') 1 Rapid/Program Start Ballast (BF &gt; 1.10) </t>
  </si>
  <si>
    <t>FLT5HO-49W x 2L x 4'-RS/PRS VH T2</t>
  </si>
  <si>
    <t>Fluorescent Linear T5 HO (49W x 2L x 4') 1 Rapid/Program Start Ballast (BF &gt; 1.10) Tandem - 2 Fixtures/Ballast</t>
  </si>
  <si>
    <t>FLT5HO-49W x 3L x 4'-RS/PRS H</t>
  </si>
  <si>
    <t xml:space="preserve">Fluorescent Linear T5 HO (49W x 3L x 4') 1 Rapid/Program Start Ballast (0.95 &lt; BF &lt; 1.10) </t>
  </si>
  <si>
    <t>FLT5HO-49W x 3L x 4'-RS/PRS VH</t>
  </si>
  <si>
    <t xml:space="preserve">Fluorescent Linear T5 HO (49W x 3L x 4') 1 Rapid/Program Start Ballast (BF &gt; 1.10) </t>
  </si>
  <si>
    <t>FLT5HO-49W x 4L x 4'-RS/PRS H</t>
  </si>
  <si>
    <t xml:space="preserve">Fluorescent Linear T5 HO (49W x 4L x 4') 1 Rapid/Program Start Ballast (0.95 &lt; BF &lt; 1.10) </t>
  </si>
  <si>
    <t>FLT5HO-49W x 4L x 4'-RS/PRS VH</t>
  </si>
  <si>
    <t xml:space="preserve">Fluorescent Linear T5 HO (49W x 4L x 4') 1 Rapid/Program Start Ballast (BF &gt; 1.10) </t>
  </si>
  <si>
    <t>FLT5HO-49W x 4'-RS/PRS H</t>
  </si>
  <si>
    <t xml:space="preserve">Fluorescent Linear T5 HO (49W x 1L x 4') 1 Rapid/Program Start Ballast (0.95 &lt; BF &lt; 1.10) </t>
  </si>
  <si>
    <t>FLT5HO-49W x 4'-RS/PRS H T2</t>
  </si>
  <si>
    <t>Fluorescent Linear T5 HO (49W x 1L x 4') 1 Rapid/Program Start Ballast (0.95 &lt; BF &lt; 1.10) Tandem - 2 Fixtures/Ballast</t>
  </si>
  <si>
    <t>FLT5HO-49W x 4'-RS/PRS H T3</t>
  </si>
  <si>
    <t>Fluorescent Linear T5 HO (49W x 1L x 4') 1 Rapid/Program Start Ballast (0.95 &lt; BF &lt; 1.10) Tandem - 3 Fixtures/Ballast</t>
  </si>
  <si>
    <t>FLT5HO-49W x 4'-RS/PRS H T4</t>
  </si>
  <si>
    <t>Fluorescent Linear T5 HO (49W x 1L x 4') 1 Rapid/Program Start Ballast (0.95 &lt; BF &lt; 1.10) Tandem - 4 Fixtures/Ballast</t>
  </si>
  <si>
    <t>FLT5HO-49W x 4'-RS/PRS VH</t>
  </si>
  <si>
    <t xml:space="preserve">Fluorescent Linear T5 HO (49W x 1L x 4') 1 Rapid/Program Start Ballast (BF &gt; 1.10) </t>
  </si>
  <si>
    <t>FLT5HO-49W x 4'-RS/PRS VH T2</t>
  </si>
  <si>
    <t>Fluorescent Linear T5 HO (49W x 1L x 4') 1 Rapid/Program Start Ballast (BF &gt; 1.10) Tandem - 2 Fixtures/Ballast</t>
  </si>
  <si>
    <t>FLT5HO-49W x 4'-RS/PRS VH T3</t>
  </si>
  <si>
    <t>Fluorescent Linear T5 HO (49W x 1L x 4') 1 Rapid/Program Start Ballast (BF &gt; 1.10) Tandem - 3 Fixtures/Ballast</t>
  </si>
  <si>
    <t>FLT5HO-49W x 4'-RS/PRS VH T4</t>
  </si>
  <si>
    <t>Fluorescent Linear T5 HO (49W x 1L x 4') 1 Rapid/Program Start Ballast (BF &gt; 1.10) Tandem - 4 Fixtures/Ballast</t>
  </si>
  <si>
    <t>FLT5HO-49W x 6L x 4'-2 RS/PRS H</t>
  </si>
  <si>
    <t xml:space="preserve">Fluorescent Linear T5 HO (49W x 6L x 4') 2 Rapid/Program Start Ballast (0.95 &lt; BF &lt; 1.10) </t>
  </si>
  <si>
    <t>FLT5HO-49W x 8L x 4'-2 RS/PRS H</t>
  </si>
  <si>
    <t xml:space="preserve">Fluorescent Linear T5 HO (49W x 8L x 4') 2 Rapid/Program Start Ballast (0.95 &lt; BF &lt; 1.10) </t>
  </si>
  <si>
    <t>FLT5HO-51W x 10L x 4'-3 RS/PRS H</t>
  </si>
  <si>
    <t xml:space="preserve">Fluorescent Linear T5 HO (51W x 10L x 4') 3 Rapid/Program Start Ballast (0.95 &lt; BF &lt; 1.10) </t>
  </si>
  <si>
    <t>FLT5HO-51W x 12L x 4'-3 RS/PRS H</t>
  </si>
  <si>
    <t xml:space="preserve">Fluorescent Linear T5 HO (51W x 12L x 4') 3 Rapid/Program Start Ballast (0.95 &lt; BF &lt; 1.10) </t>
  </si>
  <si>
    <t>FLT5HO-51W x 2L x 4'-RS/PRS H</t>
  </si>
  <si>
    <t xml:space="preserve">Fluorescent Linear T5 HO (51W x 2L x 4') 1 Rapid/Program Start Ballast (0.95 &lt; BF &lt; 1.10) </t>
  </si>
  <si>
    <t>FLT5HO-51W x 2L x 4'-RS/PRS H T2</t>
  </si>
  <si>
    <t>Fluorescent Linear T5 HO (51W x 2L x 4') 1 Rapid/Program Start Ballast (0.95 &lt; BF &lt; 1.10) Tandem - 2 Fixtures/Ballast</t>
  </si>
  <si>
    <t>FLT5HO-51W x 3L x 4'-RS/PRS H</t>
  </si>
  <si>
    <t xml:space="preserve">Fluorescent Linear T5 HO (51W x 3L x 4') 1 Rapid/Program Start Ballast (0.95 &lt; BF &lt; 1.10) </t>
  </si>
  <si>
    <t>FLT5HO-51W x 4L x 4'-RS/PRS H</t>
  </si>
  <si>
    <t xml:space="preserve">Fluorescent Linear T5 HO (51W x 4L x 4') 1 Rapid/Program Start Ballast (0.95 &lt; BF &lt; 1.10) </t>
  </si>
  <si>
    <t>FLT5HO-51W x 4'-RS/PRS H T2</t>
  </si>
  <si>
    <t>Fluorescent Linear T5 HO (51W x 1L x 4') 1 Rapid/Program Start Ballast (0.95 &lt; BF &lt; 1.10) Tandem - 2 Fixtures/Ballast</t>
  </si>
  <si>
    <t>FLT5HO-51W x 4'-RS/PRS H T3</t>
  </si>
  <si>
    <t>Fluorescent Linear T5 HO (51W x 1L x 4') 1 Rapid/Program Start Ballast (0.95 &lt; BF &lt; 1.10) Tandem - 3 Fixtures/Ballast</t>
  </si>
  <si>
    <t>FLT5HO-51W x 4'-RS/PRS H T4</t>
  </si>
  <si>
    <t>Fluorescent Linear T5 HO (51W x 1L x 4') 1 Rapid/Program Start Ballast (0.95 &lt; BF &lt; 1.10) Tandem - 4 Fixtures/Ballast</t>
  </si>
  <si>
    <t>FLT5HO-51W x 4'-RS/PRS VH</t>
  </si>
  <si>
    <t xml:space="preserve">Fluorescent Linear T5 HO (51W x 1L x 4') 1 Rapid/Program Start Ballast (BF &gt; 1.10) </t>
  </si>
  <si>
    <t>FLT5HO-51W x 6L x 4'-2 RS/PRS H</t>
  </si>
  <si>
    <t xml:space="preserve">Fluorescent Linear T5 HO (51W x 6L x 4') 2 Rapid/Program Start Ballast (0.95 &lt; BF &lt; 1.10) </t>
  </si>
  <si>
    <t>FLT5HO-51W x 8L x 4'-2 RS/PRS H</t>
  </si>
  <si>
    <t xml:space="preserve">Fluorescent Linear T5 HO (51W x 8L x 4') 2 Rapid/Program Start Ballast (0.95 &lt; BF &lt; 1.10) </t>
  </si>
  <si>
    <t>FLT5HO-54W x 2L x 4'-RS/PRS H</t>
  </si>
  <si>
    <t xml:space="preserve">Fluorescent Linear T5 HO (54W x 2L x 4') 1 Rapid/Program Start Ballast (0.95 &lt; BF &lt; 1.10) </t>
  </si>
  <si>
    <t>FLT5HO-54W x 3L x 4'-2 RS/PRS H</t>
  </si>
  <si>
    <t xml:space="preserve">Fluorescent Linear T5 HO (54W x 3L x 4') 2 Rapid/Program Start Ballast (0.95 &lt; BF &lt; 1.10) </t>
  </si>
  <si>
    <t>FLT5HO-54W x 4L x 4'-2 RS/PRS H</t>
  </si>
  <si>
    <t xml:space="preserve">Fluorescent Linear T5 HO (54W x 4L x 4') 2 Rapid/Program Start Ballast (0.95 &lt; BF &lt; 1.10) </t>
  </si>
  <si>
    <t>FLT5HO-54W x 4L x 4'-RS/PRS H</t>
  </si>
  <si>
    <t xml:space="preserve">Fluorescent Linear T5 HO (54W x 4L x 4') 1 Rapid/Program Start Ballast (0.95 &lt; BF &lt; 1.10) </t>
  </si>
  <si>
    <t>FLT5HO-54W x 4'-RS/PRS H</t>
  </si>
  <si>
    <t xml:space="preserve">Fluorescent Linear T5 HO (54W x 1L x 4') 1 Rapid/Program Start Ballast (0.95 &lt; BF &lt; 1.10) </t>
  </si>
  <si>
    <t>FLT5HO-54W x 4'-RS/PRS H T2</t>
  </si>
  <si>
    <t>Fluorescent Linear T5 HO (54W x 1L x 4') 1 Rapid/Program Start Ballast (0.95 &lt; BF &lt; 1.10) Tandem - 2 Fixtures/Ballast</t>
  </si>
  <si>
    <t>FLT5HO-80W x 2L x 5'-2 RS/PRS H</t>
  </si>
  <si>
    <t xml:space="preserve">Fluorescent Linear T5 HO (80W x 2L x 5') 2 Rapid/Program Start Ballast (0.95 &lt; BF &lt; 1.10) </t>
  </si>
  <si>
    <t>FLT5HO-80W x 5'-RS/PRS H</t>
  </si>
  <si>
    <t xml:space="preserve">Fluorescent Linear T5 HO (80W x 1L x 5') 1 Rapid/Program Start Ballast (0.95 &lt; BF &lt; 1.10) </t>
  </si>
  <si>
    <t>FLT5HO-80W x 5'-RS/PRS VH</t>
  </si>
  <si>
    <t xml:space="preserve">Fluorescent Linear T5 HO (80W x 1L x 5') 1 Rapid/Program Start Ballast (BF &gt; 1.10) </t>
  </si>
  <si>
    <t>FLT8-15W x 1.5'-MG</t>
  </si>
  <si>
    <t xml:space="preserve">Fluorescent Linear T8 (15W x 1L x 1.5') 1 Magnetic Ballast  </t>
  </si>
  <si>
    <t>T8</t>
  </si>
  <si>
    <t>FLT8-15W x 2L x 1.5'-MG</t>
  </si>
  <si>
    <t xml:space="preserve">Fluorescent Linear T8 (15W x 2L x 1.5') 1 Magnetic Ballast  </t>
  </si>
  <si>
    <t>FLT8-15W x 2'-RS/PRS H</t>
  </si>
  <si>
    <t xml:space="preserve">Fluorescent Linear T8 (15W x 1L x 2') 1 Rapid/Program Start Ballast (0.95 &lt; BF &lt; 1.10) </t>
  </si>
  <si>
    <t>FLT8-15W x 2'-RS/PRS N</t>
  </si>
  <si>
    <t xml:space="preserve">Fluorescent Linear T8 (15W x 1L x 2') 1 Rapid/Program Start Ballast (0.85 &lt; BF &lt; 0.95) </t>
  </si>
  <si>
    <t>FLT8-15W x 2'-RS/PRS VH</t>
  </si>
  <si>
    <t xml:space="preserve">Fluorescent Linear T8 (15W x 1L x 2') 1 Rapid/Program Start Ballast (BF &gt; 1.10) </t>
  </si>
  <si>
    <t>FLT8-17W x 2'-IS N</t>
  </si>
  <si>
    <t xml:space="preserve">Fluorescent Linear T8 (17W x 1L x 2') 1 Instant start Ballast (0.85 &lt; BF &lt; 0.95) </t>
  </si>
  <si>
    <t>FLT8-17W x 2'-IS N T2</t>
  </si>
  <si>
    <t>Fluorescent Linear T8 (17W x 1L x 2') 1 Instant start Ballast (0.85 &lt; BF &lt; 0.95) Tandem - 2 Fixtures/Ballast</t>
  </si>
  <si>
    <t>FLT8-17W x 2'-IS N T3</t>
  </si>
  <si>
    <t>Fluorescent Linear T8 (17W x 1L x 2') 1 Instant start Ballast (0.85 &lt; BF &lt; 0.95) Tandem - 3 Fixtures/Ballast</t>
  </si>
  <si>
    <t>FLT8-17W x 2'-IS N T4</t>
  </si>
  <si>
    <t>Fluorescent Linear T8 (17W x 1L x 2') 1 Instant start Ballast (0.85 &lt; BF &lt; 0.95) Tandem - 4 Fixtures/Ballast</t>
  </si>
  <si>
    <t>FLT8-17W x 2'-IS R</t>
  </si>
  <si>
    <t xml:space="preserve">Fluorescent Linear T8 (17W x 1L x 2') 1 Instant start Ballast (0.75 &lt; BF &lt; 0.85) </t>
  </si>
  <si>
    <t>FLT8-17W x 2'-IS R T2</t>
  </si>
  <si>
    <t>Fluorescent Linear T8 (17W x 1L x 2') 1 Instant start Ballast (0.75 &lt; BF &lt; 0.85) Tandem - 2 Fixtures/Ballast</t>
  </si>
  <si>
    <t>FLT8-17W x 2'-IS R T3</t>
  </si>
  <si>
    <t>Fluorescent Linear T8 (17W x 1L x 2') 1 Instant start Ballast (0.75 &lt; BF &lt; 0.85) Tandem - 3 Fixtures/Ballast</t>
  </si>
  <si>
    <t>FLT8-17W x 2'-IS R T4</t>
  </si>
  <si>
    <t>Fluorescent Linear T8 (17W x 1L x 2') 1 Instant start Ballast (0.75 &lt; BF &lt; 0.85) Tandem - 4 Fixtures/Ballast</t>
  </si>
  <si>
    <t>FLT8-17W x 2'-IS(E) N</t>
  </si>
  <si>
    <t xml:space="preserve">Fluorescent Linear T8 (17W x 1L x 2') 1 Efficient Instant Start Ballast (0.85 &lt; BF &lt; 0.95) </t>
  </si>
  <si>
    <t>IS(E)</t>
  </si>
  <si>
    <t>Efficient Instant Start Ballast</t>
  </si>
  <si>
    <t>FLT8-17W x 2'-IS(E) R</t>
  </si>
  <si>
    <t xml:space="preserve">Fluorescent Linear T8 (17W x 1L x 2') 1 Efficient Instant Start Ballast (0.75 &lt; BF &lt; 0.85) </t>
  </si>
  <si>
    <t>FLT8-17W x 2L x 2'-IS N</t>
  </si>
  <si>
    <t xml:space="preserve">Fluorescent Linear T8 (17W x 2L x 2') 1 Instant start Ballast (0.85 &lt; BF &lt; 0.95) </t>
  </si>
  <si>
    <t>FLT8-17W x 2L x 2'-IS N T4</t>
  </si>
  <si>
    <t>Fluorescent Linear T8 (17W x 2L x 2') 1 Instant start Ballast (0.85 &lt; BF &lt; 0.95) Tandem - 4 Fixtures/Ballast</t>
  </si>
  <si>
    <t>FLT8-17W x 2L x 2'-IS R</t>
  </si>
  <si>
    <t xml:space="preserve">Fluorescent Linear T8 (17W x 2L x 2') 1 Instant start Ballast (0.75 &lt; BF &lt; 0.85) </t>
  </si>
  <si>
    <t>FLT8-17W x 2L x 2'-IS R T4</t>
  </si>
  <si>
    <t>Fluorescent Linear T8 (17W x 2L x 2') 1 Instant start Ballast (0.75 &lt; BF &lt; 0.85) Tandem - 4 Fixtures/Ballast</t>
  </si>
  <si>
    <t>FLT8-17W x 2L x 2'-IS(E) N</t>
  </si>
  <si>
    <t xml:space="preserve">Fluorescent Linear T8 (17W x 2L x 2') 1 Efficient Instant Start Ballast (0.85 &lt; BF &lt; 0.95) </t>
  </si>
  <si>
    <t>FLT8-17W x 2L x 2'-IS(E) R</t>
  </si>
  <si>
    <t xml:space="preserve">Fluorescent Linear T8 (17W x 2L x 2') 1 Efficient Instant start Ballast (0.75 &lt; BF &lt; 0.85) </t>
  </si>
  <si>
    <t>Efficient Instant start Ballast</t>
  </si>
  <si>
    <t>FLT8-17W x 2L x 2'-RS/PRS N</t>
  </si>
  <si>
    <t xml:space="preserve">Fluorescent Linear T8 (17W x 2L x 2') 1 Rapid/Program Start Ballast (0.85 &lt; BF &lt; 0.95) </t>
  </si>
  <si>
    <t>FLT8-17W x 2L x 2'-RS/PRS N T4</t>
  </si>
  <si>
    <t>Fluorescent Linear T8 (17W x 2L x 2') 1 Rapid/Program Start Ballast (0.85 &lt; BF &lt; 0.95) Tandem - 4 Fixtures/Ballast</t>
  </si>
  <si>
    <t>FLT8-17W x 2L x 2'-RS/PRS R</t>
  </si>
  <si>
    <t xml:space="preserve">Fluorescent Linear T8 (17W x 2L x 2') 1 Rapid/Program Start Ballast (0.75 &lt; BF &lt; 0.85) </t>
  </si>
  <si>
    <t>FLT8-17W x 2L x 2'-RS/PRS VH</t>
  </si>
  <si>
    <t xml:space="preserve">Fluorescent Linear T8 (17W x 2L x 2') 1 Rapid/Program Start Ballast (BF &gt; 1.10) </t>
  </si>
  <si>
    <t>FLT8-17W x 2L x 2'-RS/PRS VR</t>
  </si>
  <si>
    <t xml:space="preserve">Fluorescent Linear T8 (17W x 2L x 2') 1 Rapid/Program Start Ballast (BF &lt; 0.75) </t>
  </si>
  <si>
    <t>VR</t>
  </si>
  <si>
    <t>(BF &lt; 0.75)</t>
  </si>
  <si>
    <t>FLT8-17W x 2L x 2'-RS/PRS(E) N</t>
  </si>
  <si>
    <t xml:space="preserve">Fluorescent Linear T8 (17W x 2L x 2') 1 Efficient Rapid/Program Start Ballast (0.85 &lt; BF &lt; 0.95) </t>
  </si>
  <si>
    <t>RS/PRS(E)</t>
  </si>
  <si>
    <t>Efficient Rapid/Program Start Ballast</t>
  </si>
  <si>
    <t>FLT8-17W x 2L x 3'-RS/PRS VH</t>
  </si>
  <si>
    <t xml:space="preserve">Fluorescent Linear T8 (17W x 2L x 3') 1 Rapid/Program Start Ballast (BF &gt; 1.10) </t>
  </si>
  <si>
    <t>FLT8-17W x 2'-MG</t>
  </si>
  <si>
    <t xml:space="preserve">Fluorescent Linear T8 (17W x 1L x 2') 1 Magnetic Ballast  </t>
  </si>
  <si>
    <t>FLT8-17W x 2'-RS/PRS H</t>
  </si>
  <si>
    <t xml:space="preserve">Fluorescent Linear T8 (17W x 1L x 2') 1 Rapid/Program Start Ballast (0.95 &lt; BF &lt; 1.10) </t>
  </si>
  <si>
    <t>FLT8-17W x 2'-RS/PRS N</t>
  </si>
  <si>
    <t xml:space="preserve">Fluorescent Linear T8 (17W x 1L x 2') 1 Rapid/Program Start Ballast (0.85 &lt; BF &lt; 0.95) </t>
  </si>
  <si>
    <t>FLT8-17W x 2'-RS/PRS N T2</t>
  </si>
  <si>
    <t>Fluorescent Linear T8 (17W x 1L x 2') 1 Rapid/Program Start Ballast (0.85 &lt; BF &lt; 0.95) Tandem - 2 Fixtures/Ballast</t>
  </si>
  <si>
    <t>FLT8-17W x 2'-RS/PRS N T3</t>
  </si>
  <si>
    <t>Fluorescent Linear T8 (17W x 1L x 2') 1 Rapid/Program Start Ballast (0.85 &lt; BF &lt; 0.95) Tandem - 3 Fixtures/Ballast</t>
  </si>
  <si>
    <t>FLT8-17W x 2'-RS/PRS N T4</t>
  </si>
  <si>
    <t>Fluorescent Linear T8 (17W x 1L x 2') 1 Rapid/Program Start Ballast (0.85 &lt; BF &lt; 0.95) Tandem - 4 Fixtures/Ballast</t>
  </si>
  <si>
    <t>FLT8-17W x 2'-RS/PRS R</t>
  </si>
  <si>
    <t xml:space="preserve">Fluorescent Linear T8 (17W x 1L x 2') 1 Rapid/Program Start Ballast (0.75 &lt; BF &lt; 0.85) </t>
  </si>
  <si>
    <t>FLT8-17W x 2'-RS/PRS VH</t>
  </si>
  <si>
    <t xml:space="preserve">Fluorescent Linear T8 (17W x 1L x 2') 1 Rapid/Program Start Ballast (BF &gt; 1.10) </t>
  </si>
  <si>
    <t>FLT8-17W x 2'-RS/PRS VR</t>
  </si>
  <si>
    <t xml:space="preserve">Fluorescent Linear T8 (17W x 1L x 2') 1 Rapid/Program Start Ballast (BF &lt; 0.75) </t>
  </si>
  <si>
    <t>FLT8-17W x 2'-RS/PRS(E) N</t>
  </si>
  <si>
    <t xml:space="preserve">Fluorescent Linear T8 (17W x 1L x 2') 1 Efficient Rapid/Program Start Ballast (0.85 &lt; BF &lt; 0.95) </t>
  </si>
  <si>
    <t>FLT8-17W x 3L x 2'-IS H</t>
  </si>
  <si>
    <t xml:space="preserve">Fluorescent Linear T8 (17W x 3L x 2') 1 Instant start Ballast (0.95 &lt; BF &lt; 1.10) </t>
  </si>
  <si>
    <t>FLT8-17W x 3L x 2'-IS N</t>
  </si>
  <si>
    <t xml:space="preserve">Fluorescent Linear T8 (17W x 3L x 2') 1 Instant start Ballast (0.85 &lt; BF &lt; 0.95) </t>
  </si>
  <si>
    <t>FLT8-17W x 3L x 2'-IS R</t>
  </si>
  <si>
    <t xml:space="preserve">Fluorescent Linear T8 (17W x 3L x 2') 1 Instant start Ballast (0.75 &lt; BF &lt; 0.85) </t>
  </si>
  <si>
    <t>FLT8-17W x 3L x 2'-IS(E) N</t>
  </si>
  <si>
    <t xml:space="preserve">Fluorescent Linear T8 (17W x 3L x 2') 1 Efficient Instant Start Ballast (0.85 &lt; BF &lt; 0.95) </t>
  </si>
  <si>
    <t>FLT8-17W x 3L x 2'-IS(E) R</t>
  </si>
  <si>
    <t xml:space="preserve">Fluorescent Linear T8 (17W x 3L x 2') 1 Efficient Instant Start Ballast (0.75 &lt; BF &lt; 0.85) </t>
  </si>
  <si>
    <t>FLT8-17W x 3L x 2'-RS/PRS H</t>
  </si>
  <si>
    <t xml:space="preserve">Fluorescent Linear T8 (17W x 3L x 2') 1 Rapid/Program Start Ballast (0.95 &lt; BF &lt; 1.10) </t>
  </si>
  <si>
    <t>FLT8-17W x 3L x 2'-RS/PRS N</t>
  </si>
  <si>
    <t xml:space="preserve">Fluorescent Linear T8 (17W x 3L x 2') 1 Rapid/Program Start Ballast (0.85 &lt; BF &lt; 0.95) </t>
  </si>
  <si>
    <t>FLT8-17W x 3L x 2'-RS/PRS R</t>
  </si>
  <si>
    <t xml:space="preserve">Fluorescent Linear T8 (17W x 3L x 2') 1 Rapid/Program Start Ballast (0.75 &lt; BF &lt; 0.85) </t>
  </si>
  <si>
    <t>FLT8-17W x 3L x 2'-RS/PRS VH</t>
  </si>
  <si>
    <t xml:space="preserve">Fluorescent Linear T8 (17W x 3L x 2') 1 Rapid/Program Start Ballast (BF &gt; 1.10) </t>
  </si>
  <si>
    <t>FLT8-17W x 3L x 2'-RS/PRS VR</t>
  </si>
  <si>
    <t xml:space="preserve">Fluorescent Linear T8 (17W x 3L x 2') 1 Rapid/Program Start Ballast (BF &lt; 0.75) </t>
  </si>
  <si>
    <t>FLT8-17W x 3L x 2'-RS/PRS(E) N</t>
  </si>
  <si>
    <t xml:space="preserve">Fluorescent Linear T8 (17W x 3L x 2') 1 Efficient Rapid/Program Start Ballast (0.85 &lt; BF &lt; 0.95) </t>
  </si>
  <si>
    <t>FLT8-17W x 3L x 3'-RS/PRS VH</t>
  </si>
  <si>
    <t xml:space="preserve">Fluorescent Linear T8 (17W x 3L x 3') 1 Rapid/Program Start Ballast (BF &gt; 1.10) </t>
  </si>
  <si>
    <t>FLT8-17W x 3'-RS/PRS VH</t>
  </si>
  <si>
    <t xml:space="preserve">Fluorescent Linear T8 (17W x 1L x 3') 1 Rapid/Program Start Ballast (BF &gt; 1.10) </t>
  </si>
  <si>
    <t>FLT8-17W x 4L x 2'-IS N</t>
  </si>
  <si>
    <t xml:space="preserve">Fluorescent Linear T8 (17W x 4L x 2') 1 Instant start Ballast (0.85 &lt; BF &lt; 0.95) </t>
  </si>
  <si>
    <t>FLT8-17W x 4L x 2'-IS R</t>
  </si>
  <si>
    <t xml:space="preserve">Fluorescent Linear T8 (17W x 4L x 2') 1 Instant start Ballast (0.75 &lt; BF &lt; 0.85) </t>
  </si>
  <si>
    <t>FLT8-17W x 4L x 2'-IS(E) N</t>
  </si>
  <si>
    <t xml:space="preserve">Fluorescent Linear T8 (17W x 4L x 2') 1 Efficient Instant Start Ballast (0.85 &lt; BF &lt; 0.95) </t>
  </si>
  <si>
    <t>FLT8-17W x 4L x 2'-IS(E) R</t>
  </si>
  <si>
    <t xml:space="preserve">Fluorescent Linear T8 (17W x 4L x 2') 1 Efficient Instant Start Ballast (0.75 &lt; BF &lt; 0.85) </t>
  </si>
  <si>
    <t>FLT8-17W x 4L x 2'-RS/PRS N</t>
  </si>
  <si>
    <t xml:space="preserve">Fluorescent Linear T8 (17W x 4L x 2') 1 Rapid/Program Start Ballast (0.85 &lt; BF &lt; 0.95) </t>
  </si>
  <si>
    <t>FLT8-17W x 4L x 2'-RS/PRS R</t>
  </si>
  <si>
    <t xml:space="preserve">Fluorescent Linear T8 (17W x 4L x 2') 1 Rapid/Program Start Ballast (0.75 &lt; BF &lt; 0.85) </t>
  </si>
  <si>
    <t>FLT8-17W x 4L x 2'-RS/PRS VH</t>
  </si>
  <si>
    <t xml:space="preserve">Fluorescent Linear T8 (17W x 4L x 2') 1 Rapid/Program Start Ballast (BF &gt; 1.10) </t>
  </si>
  <si>
    <t>FLT8-17W x 4L x 2'-RS/PRS VR</t>
  </si>
  <si>
    <t xml:space="preserve">Fluorescent Linear T8 (17W x 4L x 2') 1 Rapid/Program Start Ballast (BF &lt; 0.75) </t>
  </si>
  <si>
    <t>FLT8-17W x 4L x 2'-RS/PRS(E) N</t>
  </si>
  <si>
    <t xml:space="preserve">Fluorescent Linear T8 (17W x 4L x 2') 1 Efficient Rapid/Program Start Ballast (0.85 &lt; BF &lt; 0.95) </t>
  </si>
  <si>
    <t>FLT8-17W x 4L x 3'-RS/PRS N</t>
  </si>
  <si>
    <t xml:space="preserve">Fluorescent Linear T8 (17W x 4L x 3') 1 Rapid/Program Start Ballast (0.85 &lt; BF &lt; 0.95) </t>
  </si>
  <si>
    <t>FLT8-25W x 10L x 4'-3 RS/PRS N</t>
  </si>
  <si>
    <t xml:space="preserve">Fluorescent Linear T8 (25W x 10L x 4') 3 Rapid/Program Start Ballast (0.85 &lt; BF &lt; 0.95) </t>
  </si>
  <si>
    <t>FLT8-25W x 10L x 4'-3 RS/PRS VH</t>
  </si>
  <si>
    <t xml:space="preserve">Fluorescent Linear T8 (25W x 10L x 4') 3 Rapid/Program Start Ballast (BF &gt; 1.10) </t>
  </si>
  <si>
    <t>FLT8-25W x 10L x 4'-3 RS/PRS VR</t>
  </si>
  <si>
    <t xml:space="preserve">Fluorescent Linear T8 (25W x 10L x 4') 3 Rapid/Program Start Ballast (BF &lt; 0.75) </t>
  </si>
  <si>
    <t>FLT8-25W x 12L x 4'-3 RS/PRS N</t>
  </si>
  <si>
    <t xml:space="preserve">Fluorescent Linear T8 (25W x 12L x 4') 3 Rapid/Program Start Ballast (0.85 &lt; BF &lt; 0.95) </t>
  </si>
  <si>
    <t>FLT8-25W x 12L x 4'-3 RS/PRS VH</t>
  </si>
  <si>
    <t xml:space="preserve">Fluorescent Linear T8 (25W x 12L x 4') 3 Rapid/Program Start Ballast (BF &gt; 1.10) </t>
  </si>
  <si>
    <t>FLT8-25W x 12L x 4'-3 RS/PRS VR</t>
  </si>
  <si>
    <t xml:space="preserve">Fluorescent Linear T8 (25W x 12L x 4') 3 Rapid/Program Start Ballast (BF &lt; 0.75) </t>
  </si>
  <si>
    <t>FLT8-25W x 2L x 3'-2 IS R</t>
  </si>
  <si>
    <t xml:space="preserve">Fluorescent Linear T8 (25W x 2L x 3') 2 Instant start Ballast (0.75 &lt; BF &lt; 0.85) </t>
  </si>
  <si>
    <t>FLT8-25W x 2L x 3'-IS H</t>
  </si>
  <si>
    <t xml:space="preserve">Fluorescent Linear T8 (25W x 2L x 3') 1 Instant start Ballast (0.95 &lt; BF &lt; 1.10) </t>
  </si>
  <si>
    <t>FLT8-25W x 2L x 3'-IS N</t>
  </si>
  <si>
    <t xml:space="preserve">Fluorescent Linear T8 (25W x 2L x 3') 1 Instant start Ballast (0.85 &lt; BF &lt; 0.95) </t>
  </si>
  <si>
    <t>FLT8-25W x 2L x 3'-IS N T4</t>
  </si>
  <si>
    <t>Fluorescent Linear T8 (25W x 2L x 3') 1 Instant start Ballast (0.85 &lt; BF &lt; 0.95) Tandem - 4 Fixtures/Ballast</t>
  </si>
  <si>
    <t>FLT8-25W x 2L x 3'-IS R</t>
  </si>
  <si>
    <t xml:space="preserve">Fluorescent Linear T8 (25W x 2L x 3') 1 Instant start Ballast (0.75 &lt; BF &lt; 0.85) </t>
  </si>
  <si>
    <t>FLT8-25W x 2L x 3'-IS R T4</t>
  </si>
  <si>
    <t>Fluorescent Linear T8 (25W x 2L x 3') 1 Instant start Ballast (0.75 &lt; BF &lt; 0.85) Tandem - 4 Fixtures/Ballast</t>
  </si>
  <si>
    <t>FLT8-25W x 2L x 3'-IS(E) N</t>
  </si>
  <si>
    <t xml:space="preserve">Fluorescent Linear T8 (25W x 2L x 3') 1 Efficient Instant Start Ballast (0.85 &lt; BF &lt; 0.95) </t>
  </si>
  <si>
    <t>FLT8-25W x 2L x 3'-IS(E) R</t>
  </si>
  <si>
    <t xml:space="preserve">Fluorescent Linear T8 (25W x 2L x 3') 1 Efficient Instant Start Ballast (0.75 &lt; BF &lt; 0.85) </t>
  </si>
  <si>
    <t>FLT8-25W x 2L x 3'-IS(E) R T4</t>
  </si>
  <si>
    <t>Fluorescent Linear T8 (25W x 2L x 3') 1 Efficient Instant Start Ballast (0.75 &lt; BF &lt; 0.85) Tandem - 4 Fixtures/Ballast</t>
  </si>
  <si>
    <t>FLT8-25W x 2L x 3'-RS/PRS H</t>
  </si>
  <si>
    <t xml:space="preserve">Fluorescent Linear T8 (25W x 2L x 3') 1 Rapid/Program Start Ballast (0.95 &lt; BF &lt; 1.10) </t>
  </si>
  <si>
    <t>FLT8-25W x 2L x 3'-RS/PRS N</t>
  </si>
  <si>
    <t xml:space="preserve">Fluorescent Linear T8 (25W x 2L x 3') 1 Rapid/Program Start Ballast (0.85 &lt; BF &lt; 0.95) </t>
  </si>
  <si>
    <t>FLT8-25W x 2L x 3'-RS/PRS N T4</t>
  </si>
  <si>
    <t>Fluorescent Linear T8 (25W x 2L x 3') 1 Rapid/Program Start Ballast (0.85 &lt; BF &lt; 0.95) Tandem - 4 Fixtures/Ballast</t>
  </si>
  <si>
    <t>FLT8-25W x 2L x 3'-RS/PRS R</t>
  </si>
  <si>
    <t xml:space="preserve">Fluorescent Linear T8 (25W x 2L x 3') 1 Rapid/Program Start Ballast (0.75 &lt; BF &lt; 0.85) </t>
  </si>
  <si>
    <t>FLT8-25W x 2L x 3'-RS/PRS VH</t>
  </si>
  <si>
    <t xml:space="preserve">Fluorescent Linear T8 (25W x 2L x 3') 1 Rapid/Program Start Ballast (BF &gt; 1.10) </t>
  </si>
  <si>
    <t>FLT8-25W x 2L x 3'-RS/PRS VR</t>
  </si>
  <si>
    <t xml:space="preserve">Fluorescent Linear T8 (25W x 2L x 3') 1 Rapid/Program Start Ballast (BF &lt; 0.75) </t>
  </si>
  <si>
    <t>FLT8-25W x 2L x 3'-RS/PRS(E) N</t>
  </si>
  <si>
    <t xml:space="preserve">Fluorescent Linear T8 (25W x 2L x 3') 1 Efficient Rapid/Program Start Ballast (0.85 &lt; BF &lt; 0.95) </t>
  </si>
  <si>
    <t>FLT8-25W x 2L x 4'-IS H</t>
  </si>
  <si>
    <t xml:space="preserve">Fluorescent Linear T8 (25W x 2L x 4') 1 Instant start Ballast (0.95 &lt; BF &lt; 1.10) </t>
  </si>
  <si>
    <t>FLT8-25W x 2L x 4'-IS N</t>
  </si>
  <si>
    <t xml:space="preserve">Fluorescent Linear T8 (25W x 2L x 4') 1 Instant start Ballast (0.85 &lt; BF &lt; 0.95) </t>
  </si>
  <si>
    <t>FLT8-25W x 2L x 4'-IS N T2</t>
  </si>
  <si>
    <t>Fluorescent Linear T8 (25W x 2L x 4') 1 Instant start Ballast (0.85 &lt; BF &lt; 0.95) Tandem - 2 Fixtures/Ballast</t>
  </si>
  <si>
    <t>FLT8-25W x 2L x 4'-IS N T4</t>
  </si>
  <si>
    <t>Fluorescent Linear T8 (25W x 2L x 4') 1 Instant start Ballast (0.85 &lt; BF &lt; 0.95) Tandem - 4 Fixtures/Ballast</t>
  </si>
  <si>
    <t>FLT8-25W x 2L x 4'-IS R</t>
  </si>
  <si>
    <t xml:space="preserve">Fluorescent Linear T8 (25W x 2L x 4') 1 Instant start Ballast (0.75 &lt; BF &lt; 0.85) </t>
  </si>
  <si>
    <t>FLT8-25W x 2L x 4'-IS VH</t>
  </si>
  <si>
    <t xml:space="preserve">Fluorescent Linear T8 (25W x 2L x 4') 1 Instant start Ballast (BF &gt; 1.10) </t>
  </si>
  <si>
    <t>FLT8-25W x 2L x 4'-IS VH T2</t>
  </si>
  <si>
    <t>Fluorescent Linear T8 (25W x 2L x 4') 1 Instant start Ballast (BF &gt; 1.10) Tandem - 2 Fixtures/Ballast</t>
  </si>
  <si>
    <t>FLT8-25W x 2L x 4'-IS VR</t>
  </si>
  <si>
    <t xml:space="preserve">Fluorescent Linear T8 (25W x 2L x 4') 1 Instant start Ballast (BF &lt; 0.75) </t>
  </si>
  <si>
    <t>FLT8-25W x 2L x 4'-IS VR T2</t>
  </si>
  <si>
    <t>Fluorescent Linear T8 (25W x 2L x 4') 1 Instant start Ballast (BF &lt; 0.75) Tandem - 2 Fixtures/Ballast</t>
  </si>
  <si>
    <t>FLT8-25W x 2L x 4'-IS VR T4</t>
  </si>
  <si>
    <t>Fluorescent Linear T8 (25W x 2L x 4') 1 Instant start Ballast (BF &lt; 0.75) Tandem - 4 Fixtures/Ballast</t>
  </si>
  <si>
    <t>FLT8-25W x 2L x 4'-IS(E) H</t>
  </si>
  <si>
    <t xml:space="preserve">Fluorescent Linear T8 (25W x 2L x 4') 1 Efficient Instant Start Ballast (0.95 &lt; BF &lt; 1.10) </t>
  </si>
  <si>
    <t>FLT8-25W x 2L x 4'-IS(E) N</t>
  </si>
  <si>
    <t xml:space="preserve">Fluorescent Linear T8 (25W x 2L x 4') 1 Efficient Instant Start Ballast (0.85 &lt; BF &lt; 0.95) </t>
  </si>
  <si>
    <t>FLT8-25W x 2L x 4'-IS(E) N T4</t>
  </si>
  <si>
    <t>Fluorescent Linear T8 (25W x 2L x 4') 1 Efficient Instant Start Ballast (0.85 &lt; BF &lt; 0.95) Tandem - 4 Fixtures/Ballast</t>
  </si>
  <si>
    <t>FLT8-25W x 2L x 4'-IS(E) VR</t>
  </si>
  <si>
    <t xml:space="preserve">Fluorescent Linear T8 (25W x 2L x 4') 1 Efficient Instant Start Ballast (BF &lt; 0.75) </t>
  </si>
  <si>
    <t>FLT8-25W x 2L x 4'-RS/PRS N</t>
  </si>
  <si>
    <t xml:space="preserve">Fluorescent Linear T8 (25W x 2L x 4') 1 Rapid/Program Start Ballast (0.85 &lt; BF &lt; 0.95) </t>
  </si>
  <si>
    <t>FLT8-25W x 2L x 4'-RS/PRS N T2</t>
  </si>
  <si>
    <t>Fluorescent Linear T8 (25W x 2L x 4') 1 Rapid/Program Start Ballast (0.85 &lt; BF &lt; 0.95) Tandem - 2 Fixtures/Ballast</t>
  </si>
  <si>
    <t>FLT8-25W x 2L x 4'-RS/PRS VH</t>
  </si>
  <si>
    <t xml:space="preserve">Fluorescent Linear T8 (25W x 2L x 4') 1 Rapid/Program Start Ballast (BF &gt; 1.10) </t>
  </si>
  <si>
    <t>FLT8-25W x 2L x 4'-RS/PRS VH T2</t>
  </si>
  <si>
    <t>Fluorescent Linear T8 (25W x 2L x 4') 1 Rapid/Program Start Ballast (BF &gt; 1.10) Tandem - 2 Fixtures/Ballast</t>
  </si>
  <si>
    <t>FLT8-25W x 2L x 4'-RS/PRS VR</t>
  </si>
  <si>
    <t xml:space="preserve">Fluorescent Linear T8 (25W x 2L x 4') 1 Rapid/Program Start Ballast (BF &lt; 0.75) </t>
  </si>
  <si>
    <t>FLT8-25W x 2L x 4'-RS/PRS VR T2</t>
  </si>
  <si>
    <t>Fluorescent Linear T8 (25W x 2L x 4') 1 Rapid/Program Start Ballast (BF &lt; 0.75) Tandem - 2 Fixtures/Ballast</t>
  </si>
  <si>
    <t>FLT8-25W x 3'-IS H</t>
  </si>
  <si>
    <t xml:space="preserve">Fluorescent Linear T8 (25W x 1L x 3') 1 Instant start Ballast (0.95 &lt; BF &lt; 1.10) </t>
  </si>
  <si>
    <t>FLT8-25W x 3'-IS H T2</t>
  </si>
  <si>
    <t>Fluorescent Linear T8 (25W x 1L x 3') 1 Instant start Ballast (0.95 &lt; BF &lt; 1.10) Tandem - 2 Fixtures/Ballast</t>
  </si>
  <si>
    <t>FLT8-25W x 3'-IS N</t>
  </si>
  <si>
    <t xml:space="preserve">Fluorescent Linear T8 (25W x 1L x 3') 1 Instant start Ballast (0.85 &lt; BF &lt; 0.95) </t>
  </si>
  <si>
    <t>FLT8-25W x 3'-IS N T2</t>
  </si>
  <si>
    <t>Fluorescent Linear T8 (25W x 1L x 3') 1 Instant start Ballast (0.85 &lt; BF &lt; 0.95) Tandem - 2 Fixtures/Ballast</t>
  </si>
  <si>
    <t>FLT8-25W x 3'-IS N T3</t>
  </si>
  <si>
    <t>Fluorescent Linear T8 (25W x 1L x 3') 1 Instant start Ballast (0.85 &lt; BF &lt; 0.95) Tandem - 3 Fixtures/Ballast</t>
  </si>
  <si>
    <t>FLT8-25W x 3'-IS N T4</t>
  </si>
  <si>
    <t>Fluorescent Linear T8 (25W x 1L x 3') 1 Instant start Ballast (0.85 &lt; BF &lt; 0.95) Tandem - 4 Fixtures/Ballast</t>
  </si>
  <si>
    <t>FLT8-25W x 3'-IS R</t>
  </si>
  <si>
    <t xml:space="preserve">Fluorescent Linear T8 (25W x 1L x 3') 1 Instant start Ballast (0.75 &lt; BF &lt; 0.85) </t>
  </si>
  <si>
    <t>FLT8-25W x 3'-IS R T2</t>
  </si>
  <si>
    <t>Fluorescent Linear T8 (25W x 1L x 3') 1 Instant start Ballast (0.75 &lt; BF &lt; 0.85) Tandem - 2 Fixtures/Ballast</t>
  </si>
  <si>
    <t>FLT8-25W x 3'-IS R T3</t>
  </si>
  <si>
    <t>Fluorescent Linear T8 (25W x 1L x 3') 1 Instant start Ballast (0.75 &lt; BF &lt; 0.85) Tandem - 3 Fixtures/Ballast</t>
  </si>
  <si>
    <t>FLT8-25W x 3'-IS R T4</t>
  </si>
  <si>
    <t>Fluorescent Linear T8 (25W x 1L x 3') 1 Instant start Ballast (0.75 &lt; BF &lt; 0.85) Tandem - 4 Fixtures/Ballast</t>
  </si>
  <si>
    <t>FLT8-25W x 3'-IS(E) N</t>
  </si>
  <si>
    <t xml:space="preserve">Fluorescent Linear T8 (25W x 1L x 3') 1 Efficient Instant Start Ballast (0.85 &lt; BF &lt; 0.95) </t>
  </si>
  <si>
    <t>FLT8-25W x 3'-IS(E) N T2</t>
  </si>
  <si>
    <t>Fluorescent Linear T8 (25W x 1L x 3') 1 Efficient Instant Start Ballast (0.85 &lt; BF &lt; 0.95) Tandem - 2 Fixtures/Ballast</t>
  </si>
  <si>
    <t>FLT8-25W x 3'-IS(E) R</t>
  </si>
  <si>
    <t xml:space="preserve">Fluorescent Linear T8 (25W x 1L x 3') 1 Efficient Instant Start Ballast (0.75 &lt; BF &lt; 0.85) </t>
  </si>
  <si>
    <t>FLT8-25W x 3'-IS(E) R T2</t>
  </si>
  <si>
    <t>Fluorescent Linear T8 (25W x 1L x 3') 1 Efficient Instant Start Ballast (0.75 &lt; BF &lt; 0.85) Tandem - 2 Fixtures/Ballast</t>
  </si>
  <si>
    <t>FLT8-25W x 3'-IS(E) R T3</t>
  </si>
  <si>
    <t>Fluorescent Linear T8 (25W x 1L x 3') 1 Efficient Instant Start Ballast (0.75 &lt; BF &lt; 0.85) Tandem - 3 Fixtures/Ballast</t>
  </si>
  <si>
    <t>FLT8-25W x 3'-IS(E) R T4</t>
  </si>
  <si>
    <t>Fluorescent Linear T8 (25W x 1L x 3') 1 Efficient Instant Start Ballast (0.75 &lt; BF &lt; 0.85) Tandem - 4 Fixtures/Ballast</t>
  </si>
  <si>
    <t>FLT8-25W x 3L x 3'-IS N</t>
  </si>
  <si>
    <t xml:space="preserve">Fluorescent Linear T8 (25W x 3L x 3') 1 Instant start Ballast (0.85 &lt; BF &lt; 0.95) </t>
  </si>
  <si>
    <t>FLT8-25W x 3L x 3'-IS R</t>
  </si>
  <si>
    <t xml:space="preserve">Fluorescent Linear T8 (25W x 3L x 3') 1 Instant start Ballast (0.75 &lt; BF &lt; 0.85) </t>
  </si>
  <si>
    <t>FLT8-25W x 3L x 3'-IS(E) N</t>
  </si>
  <si>
    <t xml:space="preserve">Fluorescent Linear T8 (25W x 3L x 3') 1 Efficient Instant Start Ballast (0.85 &lt; BF &lt; 0.95) </t>
  </si>
  <si>
    <t>FLT8-25W x 3L x 3'-IS(E) R</t>
  </si>
  <si>
    <t xml:space="preserve">Fluorescent Linear T8 (25W x 3L x 3') 1 Efficient Instant Start Ballast (0.75 &lt; BF &lt; 0.85) </t>
  </si>
  <si>
    <t>FLT8-25W x 3L x 3'-RS/PRS N</t>
  </si>
  <si>
    <t xml:space="preserve">Fluorescent Linear T8 (25W x 3L x 3') 1 Rapid/Program Start Ballast (0.85 &lt; BF &lt; 0.95) </t>
  </si>
  <si>
    <t>FLT8-25W x 3L x 3'-RS/PRS R</t>
  </si>
  <si>
    <t xml:space="preserve">Fluorescent Linear T8 (25W x 3L x 3') 1 Rapid/Program Start Ballast (0.75 &lt; BF &lt; 0.85) </t>
  </si>
  <si>
    <t>FLT8-25W x 3L x 3'-RS/PRS VR</t>
  </si>
  <si>
    <t xml:space="preserve">Fluorescent Linear T8 (25W x 3L x 3') 1 Rapid/Program Start Ballast (BF &lt; 0.75) </t>
  </si>
  <si>
    <t>FLT8-25W x 3L x 3'-RS/PRS(E) N</t>
  </si>
  <si>
    <t xml:space="preserve">Fluorescent Linear T8 (25W x 3L x 3') 1 Efficient Rapid/Program Start Ballast (0.85 &lt; BF &lt; 0.95) </t>
  </si>
  <si>
    <t>FLT8-25W x 3L x 4'-2 IS H</t>
  </si>
  <si>
    <t xml:space="preserve">Fluorescent Linear T8 (25W x 3L x 4') 2 Instant start Ballast (0.95 &lt; BF &lt; 1.10) </t>
  </si>
  <si>
    <t>FLT8-25W x 3L x 4'-2 IS N</t>
  </si>
  <si>
    <t xml:space="preserve">Fluorescent Linear T8 (25W x 3L x 4') 2 Instant start Ballast (0.85 &lt; BF &lt; 0.95) </t>
  </si>
  <si>
    <t>FLT8-25W x 3L x 4'-2 IS VR</t>
  </si>
  <si>
    <t xml:space="preserve">Fluorescent Linear T8 (25W x 3L x 4') 2 Instant start Ballast (BF &lt; 0.75) </t>
  </si>
  <si>
    <t>FLT8-25W x 3L x 4'-2 IS(E) N</t>
  </si>
  <si>
    <t xml:space="preserve">Fluorescent Linear T8 (25W x 3L x 4') 2 Efficient Instant Start Ballast (0.85 &lt; BF &lt; 0.95) </t>
  </si>
  <si>
    <t>FLT8-25W x 3L x 4'-IS H</t>
  </si>
  <si>
    <t xml:space="preserve">Fluorescent Linear T8 (25W x 3L x 4') 1 Instant start Ballast (0.95 &lt; BF &lt; 1.10) </t>
  </si>
  <si>
    <t>FLT8-25W x 3L x 4'-IS N</t>
  </si>
  <si>
    <t xml:space="preserve">Fluorescent Linear T8 (25W x 3L x 4') 1 Instant start Ballast (0.85 &lt; BF &lt; 0.95) </t>
  </si>
  <si>
    <t>FLT8-25W x 3L x 4'-IS R</t>
  </si>
  <si>
    <t xml:space="preserve">Fluorescent Linear T8 (25W x 3L x 4') 1 Instant start Ballast (0.75 &lt; BF &lt; 0.85) </t>
  </si>
  <si>
    <t>FLT8-25W x 3L x 4'-IS VH</t>
  </si>
  <si>
    <t xml:space="preserve">Fluorescent Linear T8 (25W x 3L x 4') 1 Instant start Ballast (BF &gt; 1.10) </t>
  </si>
  <si>
    <t>FLT8-25W x 3L x 4'-IS VR</t>
  </si>
  <si>
    <t xml:space="preserve">Fluorescent Linear T8 (25W x 3L x 4') 1 Instant start Ballast (BF &lt; 0.75) </t>
  </si>
  <si>
    <t>FLT8-25W x 3L x 4'-IS(E) H</t>
  </si>
  <si>
    <t xml:space="preserve">Fluorescent Linear T8 (25W x 3L x 4') 1 Efficient Instant Start Ballast (0.95 &lt; BF &lt; 1.10) </t>
  </si>
  <si>
    <t>FLT8-25W x 3L x 4'-IS(E) N</t>
  </si>
  <si>
    <t xml:space="preserve">Fluorescent Linear T8 (25W x 3L x 4') 1 Efficient Instant Start Ballast (0.85 &lt; BF &lt; 0.95) </t>
  </si>
  <si>
    <t>FLT8-25W x 3L x 4'-IS(E) R</t>
  </si>
  <si>
    <t xml:space="preserve">Fluorescent Linear T8 (25W x 3L x 4') 1 Efficient Instant start Ballast (0.75 &lt; BF &lt; 0.85) </t>
  </si>
  <si>
    <t>FLT8-25W x 3L x 4'-IS(E) VR</t>
  </si>
  <si>
    <t xml:space="preserve">Fluorescent Linear T8 (25W x 3L x 4') 1 Efficient Instant Start Ballast (BF &lt; 0.75) </t>
  </si>
  <si>
    <t>FLT8-25W x 3L x 4'-RS/PRS N</t>
  </si>
  <si>
    <t xml:space="preserve">Fluorescent Linear T8 (25W x 3L x 4') 1 Rapid/Program Start Ballast (0.85 &lt; BF &lt; 0.95) </t>
  </si>
  <si>
    <t>FLT8-25W x 3L x 4'-RS/PRS VH</t>
  </si>
  <si>
    <t xml:space="preserve">Fluorescent Linear T8 (25W x 3L x 4') 1 Rapid/Program Start Ballast (BF &gt; 1.10) </t>
  </si>
  <si>
    <t>FLT8-25W x 3L x 4'-RS/PRS VR</t>
  </si>
  <si>
    <t xml:space="preserve">Fluorescent Linear T8 (25W x 3L x 4') 1 Rapid/Program Start Ballast (BF &lt; 0.75) </t>
  </si>
  <si>
    <t>FLT8-25W x 3'-RS/PRS H</t>
  </si>
  <si>
    <t xml:space="preserve">Fluorescent Linear T8 (25W x 1L x 3') 1 Rapid/Program Start Ballast (0.95 &lt; BF &lt; 1.10) </t>
  </si>
  <si>
    <t>FLT8-25W x 3'-RS/PRS N</t>
  </si>
  <si>
    <t xml:space="preserve">Fluorescent Linear T8 (25W x 1L x 3') 1 Rapid/Program Start Ballast (0.85 &lt; BF &lt; 0.95) </t>
  </si>
  <si>
    <t>FLT8-25W x 3'-RS/PRS N T2</t>
  </si>
  <si>
    <t>Fluorescent Linear T8 (25W x 1L x 3') 1 Rapid/Program Start Ballast (0.85 &lt; BF &lt; 0.95) Tandem - 2 Fixtures/Ballast</t>
  </si>
  <si>
    <t>FLT8-25W x 3'-RS/PRS N T3</t>
  </si>
  <si>
    <t>Fluorescent Linear T8 (25W x 1L x 3') 1 Rapid/Program Start Ballast (0.85 &lt; BF &lt; 0.95) Tandem - 3 Fixtures/Ballast</t>
  </si>
  <si>
    <t>FLT8-25W x 3'-RS/PRS N T4</t>
  </si>
  <si>
    <t>Fluorescent Linear T8 (25W x 1L x 3') 1 Rapid/Program Start Ballast (0.85 &lt; BF &lt; 0.95) Tandem - 4 Fixtures/Ballast</t>
  </si>
  <si>
    <t>FLT8-25W x 3'-RS/PRS R</t>
  </si>
  <si>
    <t xml:space="preserve">Fluorescent Linear T8 (25W x 1L x 3') 1 Rapid/Program Start Ballast (0.75 &lt; BF &lt; 0.85) </t>
  </si>
  <si>
    <t>FLT8-25W x 3'-RS/PRS VR</t>
  </si>
  <si>
    <t xml:space="preserve">Fluorescent Linear T8 (25W x 1L x 3') 1 Rapid/Program Start Ballast (BF &lt; 0.75) </t>
  </si>
  <si>
    <t>FLT8-25W x 3'-RS/PRS(E) N</t>
  </si>
  <si>
    <t xml:space="preserve">Fluorescent Linear T8 (25W x 1L x 3') 1 Efficient Rapid/Program Start Ballast (0.85 &lt; BF &lt; 0.95) </t>
  </si>
  <si>
    <t>FLT8-25W x 4'-IS H</t>
  </si>
  <si>
    <t xml:space="preserve">Fluorescent Linear T8 (25W x 1L x 4') 1 Instant start Ballast (0.95 &lt; BF &lt; 1.10) </t>
  </si>
  <si>
    <t>FLT8-25W x 4'-IS H T2</t>
  </si>
  <si>
    <t>Fluorescent Linear T8 (25W x 1L x 4') 1 Instant start Ballast (0.95 &lt; BF &lt; 1.10) Tandem - 2 Fixtures/Ballast</t>
  </si>
  <si>
    <t>FLT8-25W x 4'-IS H T3</t>
  </si>
  <si>
    <t>Fluorescent Linear T8 (25W x 1L x 4') 1 Instant start Ballast (0.95 &lt; BF &lt; 1.10) Tandem - 3 Fixtures/Ballast</t>
  </si>
  <si>
    <t>FLT8-25W x 4'-IS N</t>
  </si>
  <si>
    <t xml:space="preserve">Fluorescent Linear T8 (25W x 1L x 4') 1 Instant start Ballast (0.85 &lt; BF &lt; 0.95) </t>
  </si>
  <si>
    <t>FLT8-25W x 4'-IS N T2</t>
  </si>
  <si>
    <t>Fluorescent Linear T8 (25W x 1L x 4') 1 Instant start Ballast (0.85 &lt; BF &lt; 0.95) Tandem - 2 Fixtures/Ballast</t>
  </si>
  <si>
    <t>FLT8-25W x 4'-IS N T3</t>
  </si>
  <si>
    <t>Fluorescent Linear T8 (25W x 1L x 4') 1 Instant start Ballast (0.85 &lt; BF &lt; 0.95) Tandem - 3 Fixtures/Ballast</t>
  </si>
  <si>
    <t>FLT8-25W x 4'-IS N T4</t>
  </si>
  <si>
    <t>Fluorescent Linear T8 (25W x 1L x 4') 1 Instant start Ballast (0.85 &lt; BF &lt; 0.95) Tandem - 4 Fixtures/Ballast</t>
  </si>
  <si>
    <t>FLT8-25W x 4'-IS R</t>
  </si>
  <si>
    <t xml:space="preserve">Fluorescent Linear T8 (25W x 1L x 4') 1 Instant start Ballast (0.75 &lt; BF &lt; 0.85) </t>
  </si>
  <si>
    <t>FLT8-25W x 4'-IS VH</t>
  </si>
  <si>
    <t xml:space="preserve">Fluorescent Linear T8 (25W x 1L x 4') 1 Instant start Ballast (BF &gt; 1.10) </t>
  </si>
  <si>
    <t>FLT8-25W x 4'-IS VH T2</t>
  </si>
  <si>
    <t>Fluorescent Linear T8 (25W x 1L x 4') 1 Instant start Ballast (BF &gt; 1.10) Tandem - 2 Fixtures/Ballast</t>
  </si>
  <si>
    <t>FLT8-25W x 4'-IS VH T3</t>
  </si>
  <si>
    <t>Fluorescent Linear T8 (25W x 1L x 4') 1 Instant start Ballast (BF &gt; 1.10) Tandem - 3 Fixtures/Ballast</t>
  </si>
  <si>
    <t>FLT8-25W x 4'-IS VH T4</t>
  </si>
  <si>
    <t>Fluorescent Linear T8 (25W x 1L x 4') 1 Instant start Ballast (BF &gt; 1.10) Tandem - 4 Fixtures/Ballast</t>
  </si>
  <si>
    <t>FLT8-25W x 4'-IS VR</t>
  </si>
  <si>
    <t xml:space="preserve">Fluorescent Linear T8 (25W x 1L x 4') 1 Instant start Ballast (BF &lt; 0.75) </t>
  </si>
  <si>
    <t>FLT8-25W x 4'-IS VR T2</t>
  </si>
  <si>
    <t>Fluorescent Linear T8 (25W x 1L x 4') 1 Instant start Ballast (BF &lt; 0.75) Tandem - 2 Fixtures/Ballast</t>
  </si>
  <si>
    <t>FLT8-25W x 4'-IS VR T3</t>
  </si>
  <si>
    <t>Fluorescent Linear T8 (25W x 1L x 4') 1 Instant start Ballast (BF &lt; 0.75) Tandem - 3 Fixtures/Ballast</t>
  </si>
  <si>
    <t>FLT8-25W x 4'-IS VR T4</t>
  </si>
  <si>
    <t>Fluorescent Linear T8 (25W x 1L x 4') 1 Instant start Ballast (BF &lt; 0.75) Tandem - 4 Fixtures/Ballast</t>
  </si>
  <si>
    <t>FLT8-25W x 4'-IS(E) H</t>
  </si>
  <si>
    <t xml:space="preserve">Fluorescent Linear T8 (25W x 1L x 4') 1 Efficient Instant Start Ballast (0.95 &lt; BF &lt; 1.10) </t>
  </si>
  <si>
    <t>FLT8-25W x 4'-IS(E) N</t>
  </si>
  <si>
    <t xml:space="preserve">Fluorescent Linear T8 (25W x 1L x 4') 1 Efficient Instant Start Ballast (0.85 &lt; BF &lt; 0.95) </t>
  </si>
  <si>
    <t>FLT8-25W x 4'-IS(E) N T2</t>
  </si>
  <si>
    <t>Fluorescent Linear T8 (25W x 1L x 4') 1 Efficient Instant Start Ballast (0.85 &lt; BF &lt; 0.95) Tandem - 2 Fixtures/Ballast</t>
  </si>
  <si>
    <t>FLT8-25W x 4'-IS(E) N T3</t>
  </si>
  <si>
    <t>Fluorescent Linear T8 (25W x 1L x 4') 1 Efficient Instant Start Ballast (0.85 &lt; BF &lt; 0.95) Tandem - 3 Fixtures/Ballast</t>
  </si>
  <si>
    <t>FLT8-25W x 4'-IS(E) N T4</t>
  </si>
  <si>
    <t>Fluorescent Linear T8 (25W x 1L x 4') 1 Efficient Instant Start Ballast (0.85 &lt; BF &lt; 0.95) Tandem - 4 Fixtures/Ballast</t>
  </si>
  <si>
    <t>FLT8-25W x 4'-IS(E) VR T2</t>
  </si>
  <si>
    <t>Fluorescent Linear T8 (25W x 1L x 4') 1 Efficient Instant Start Ballast (BF &lt; 0.75) Tandem - 2 Fixtures/Ballast</t>
  </si>
  <si>
    <t>FLT8-25W x 4'-IS(E) VR T4</t>
  </si>
  <si>
    <t>Fluorescent Linear T8 (25W x 1L x 4') 1 Efficient Instant Start Ballast (BF &lt; 0.75) Tandem - 4 Fixtures/Ballast</t>
  </si>
  <si>
    <t>FLT8-25W x 4L x 3'-2 IS R</t>
  </si>
  <si>
    <t xml:space="preserve">Fluorescent Linear T8 (25W x 4L x 3') 2 Instant start Ballast (0.75 &lt; BF &lt; 0.85) </t>
  </si>
  <si>
    <t>FLT8-25W x 4L x 3'-IS N</t>
  </si>
  <si>
    <t xml:space="preserve">Fluorescent Linear T8 (25W x 4L x 3') 1 Instant start Ballast (0.85 &lt; BF &lt; 0.95) </t>
  </si>
  <si>
    <t>FLT8-25W x 4L x 3'-IS R</t>
  </si>
  <si>
    <t xml:space="preserve">Fluorescent Linear T8 (25W x 4L x 3') 1 Instant start Ballast (0.75 &lt; BF &lt; 0.85) </t>
  </si>
  <si>
    <t>FLT8-25W x 4L x 3'-IS(E) N</t>
  </si>
  <si>
    <t xml:space="preserve">Fluorescent Linear T8 (25W x 4L x 3') 1 Efficient Instant Start Ballast (0.85 &lt; BF &lt; 0.95) </t>
  </si>
  <si>
    <t>FLT8-25W x 4L x 3'-IS(E) R</t>
  </si>
  <si>
    <t xml:space="preserve">Fluorescent Linear T8 (25W x 4L x 3') 1 Efficient Instant Start Ballast (0.75 &lt; BF &lt; 0.85) </t>
  </si>
  <si>
    <t>FLT8-25W x 4L x 3'-RS/PRS N</t>
  </si>
  <si>
    <t xml:space="preserve">Fluorescent Linear T8 (25W x 4L x 3') 1 Rapid/Program Start Ballast (0.85 &lt; BF &lt; 0.95) </t>
  </si>
  <si>
    <t>FLT8-25W x 4L x 3'-RS/PRS R</t>
  </si>
  <si>
    <t xml:space="preserve">Fluorescent Linear T8 (25W x 4L x 3') 1 Rapid/Program Start Ballast (0.75 &lt; BF &lt; 0.85) </t>
  </si>
  <si>
    <t>FLT8-25W x 4L x 3'-RS/PRS VR</t>
  </si>
  <si>
    <t xml:space="preserve">Fluorescent Linear T8 (25W x 4L x 3') 1 Rapid/Program Start Ballast (BF &lt; 0.75) </t>
  </si>
  <si>
    <t>FLT8-25W x 4L x 3'-RS/PRS(E) N</t>
  </si>
  <si>
    <t xml:space="preserve">Fluorescent Linear T8 (25W x 4L x 3') 1 Efficient Rapid/Program Start Ballast (0.85 &lt; BF &lt; 0.95) </t>
  </si>
  <si>
    <t>FLT8-25W x 4L x 4'-2 IS H</t>
  </si>
  <si>
    <t xml:space="preserve">Fluorescent Linear T8 (25W x 4L x 4') 2 Instant start Ballast (0.95 &lt; BF &lt; 1.10) </t>
  </si>
  <si>
    <t>FLT8-25W x 4L x 4'-2 IS N</t>
  </si>
  <si>
    <t xml:space="preserve">Fluorescent Linear T8 (25W x 4L x 4') 2 Instant start Ballast (0.85 &lt; BF &lt; 0.95) </t>
  </si>
  <si>
    <t>FLT8-25W x 4L x 4'-2 IS VR</t>
  </si>
  <si>
    <t xml:space="preserve">Fluorescent Linear T8 (25W x 4L x 4') 2 Instant start Ballast (BF &lt; 0.75) </t>
  </si>
  <si>
    <t>FLT8-25W x 4L x 4'-2 IS(E) N</t>
  </si>
  <si>
    <t xml:space="preserve">Fluorescent Linear T8 (25W x 4L x 4') 2 Efficient Instant Start Ballast (0.85 &lt; BF &lt; 0.95) </t>
  </si>
  <si>
    <t>FLT8-25W x 4L x 4'-2 IS(E) VR</t>
  </si>
  <si>
    <t xml:space="preserve">Fluorescent Linear T8 (25W x 4L x 4') 2 Efficient Instant Start Ballast (BF &lt; 0.75) </t>
  </si>
  <si>
    <t>FLT8-25W x 4L x 4'-IS H</t>
  </si>
  <si>
    <t xml:space="preserve">Fluorescent Linear T8 (25W x 4L x 4') 1 Instant start Ballast (0.95 &lt; BF &lt; 1.10) </t>
  </si>
  <si>
    <t>FLT8-25W x 4L x 4'-IS N</t>
  </si>
  <si>
    <t xml:space="preserve">Fluorescent Linear T8 (25W x 4L x 4') 1 Instant start Ballast (0.85 &lt; BF &lt; 0.95) </t>
  </si>
  <si>
    <t>FLT8-25W x 4L x 4'-IS R</t>
  </si>
  <si>
    <t xml:space="preserve">Fluorescent Linear T8 (25W x 4L x 4') 1 Instant start Ballast (0.75 &lt; BF &lt; 0.85) </t>
  </si>
  <si>
    <t>FLT8-25W x 4L x 4'-IS VH</t>
  </si>
  <si>
    <t xml:space="preserve">Fluorescent Linear T8 (25W x 4L x 4') 1 Instant start Ballast (BF &gt; 1.10) </t>
  </si>
  <si>
    <t>FLT8-25W x 4L x 4'-IS VR</t>
  </si>
  <si>
    <t xml:space="preserve">Fluorescent Linear T8 (25W x 4L x 4') 1 Instant start Ballast (BF &lt; 0.75) </t>
  </si>
  <si>
    <t>FLT8-25W x 4L x 4'-IS(E) N</t>
  </si>
  <si>
    <t xml:space="preserve">Fluorescent Linear T8 (25W x 4L x 4') 1 Efficient Instant Start Ballast (0.85 &lt; BF &lt; 0.95) </t>
  </si>
  <si>
    <t>FLT8-25W x 4L x 4'-IS(E) R</t>
  </si>
  <si>
    <t xml:space="preserve">Fluorescent Linear T8 (25W x 4L x 4') 1 Efficient Instant Start Ballast (0.75 &lt; BF &lt; 0.85) </t>
  </si>
  <si>
    <t>FLT8-25W x 4L x 4'-IS(E) VR</t>
  </si>
  <si>
    <t xml:space="preserve">Fluorescent Linear T8 (25W x 4L x 4') 1 Efficient Instant Start Ballast (BF &lt; 0.75) </t>
  </si>
  <si>
    <t>FLT8-25W x 4L x 4'-RS/PRS N</t>
  </si>
  <si>
    <t xml:space="preserve">Fluorescent Linear T8 (25W x 4L x 4') 1 Rapid/Program Start Ballast (0.85 &lt; BF &lt; 0.95) </t>
  </si>
  <si>
    <t>FLT8-25W x 4L x 4'-RS/PRS VH</t>
  </si>
  <si>
    <t xml:space="preserve">Fluorescent Linear T8 (25W x 4L x 4') 1 Rapid/Program Start Ballast (BF &gt; 1.10) </t>
  </si>
  <si>
    <t>FLT8-25W x 4L x 4'-RS/PRS VR</t>
  </si>
  <si>
    <t xml:space="preserve">Fluorescent Linear T8 (25W x 4L x 4') 1 Rapid/Program Start Ballast (BF &lt; 0.75) </t>
  </si>
  <si>
    <t>FLT8-25W x 4'-RS/PRS N</t>
  </si>
  <si>
    <t xml:space="preserve">Fluorescent Linear T8 (25W x 1L x 4') 1 Rapid/Program Start Ballast (0.85 &lt; BF &lt; 0.95) </t>
  </si>
  <si>
    <t>FLT8-25W x 4'-RS/PRS N T2</t>
  </si>
  <si>
    <t>Fluorescent Linear T8 (25W x 1L x 4') 1 Rapid/Program Start Ballast (0.85 &lt; BF &lt; 0.95) Tandem - 2 Fixtures/Ballast</t>
  </si>
  <si>
    <t>FLT8-25W x 4'-RS/PRS N T3</t>
  </si>
  <si>
    <t>Fluorescent Linear T8 (25W x 1L x 4') 1 Rapid/Program Start Ballast (0.85 &lt; BF &lt; 0.95) Tandem - 3 Fixtures/Ballast</t>
  </si>
  <si>
    <t>FLT8-25W x 4'-RS/PRS N T4</t>
  </si>
  <si>
    <t>Fluorescent Linear T8 (25W x 1L x 4') 1 Rapid/Program Start Ballast (0.85 &lt; BF &lt; 0.95) Tandem - 4 Fixtures/Ballast</t>
  </si>
  <si>
    <t>FLT8-25W x 4'-RS/PRS VH</t>
  </si>
  <si>
    <t xml:space="preserve">Fluorescent Linear T8 (25W x 1L x 4') 1 Rapid/Program Start Ballast (BF &gt; 1.10) </t>
  </si>
  <si>
    <t>FLT8-25W x 4'-RS/PRS VH T2</t>
  </si>
  <si>
    <t>Fluorescent Linear T8 (25W x 1L x 4') 1 Rapid/Program Start Ballast (BF &gt; 1.10) Tandem - 2 Fixtures/Ballast</t>
  </si>
  <si>
    <t>FLT8-25W x 4'-RS/PRS VH T3</t>
  </si>
  <si>
    <t>Fluorescent Linear T8 (25W x 1L x 4') 1 Rapid/Program Start Ballast (BF &gt; 1.10) Tandem - 3 Fixtures/Ballast</t>
  </si>
  <si>
    <t>FLT8-25W x 4'-RS/PRS VH T4</t>
  </si>
  <si>
    <t>Fluorescent Linear T8 (25W x 1L x 4') 1 Rapid/Program Start Ballast (BF &gt; 1.10) Tandem - 4 Fixtures/Ballast</t>
  </si>
  <si>
    <t>FLT8-25W x 4'-RS/PRS VR</t>
  </si>
  <si>
    <t xml:space="preserve">Fluorescent Linear T8 (25W x 1L x 4') 1 Rapid/Program Start Ballast (BF &lt; 0.75) </t>
  </si>
  <si>
    <t>FLT8-25W x 4'-RS/PRS VR T2</t>
  </si>
  <si>
    <t>Fluorescent Linear T8 (25W x 1L x 4') 1 Rapid/Program Start Ballast (BF &lt; 0.75) Tandem - 2 Fixtures/Ballast</t>
  </si>
  <si>
    <t>FLT8-25W x 4'-RS/PRS VR T3</t>
  </si>
  <si>
    <t>Fluorescent Linear T8 (25W x 1L x 4') 1 Rapid/Program Start Ballast (BF &lt; 0.75) Tandem - 3 Fixtures/Ballast</t>
  </si>
  <si>
    <t>FLT8-25W x 4'-RS/PRS VR T4</t>
  </si>
  <si>
    <t>Fluorescent Linear T8 (25W x 1L x 4') 1 Rapid/Program Start Ballast (BF &lt; 0.75) Tandem - 4 Fixtures/Ballast</t>
  </si>
  <si>
    <t>FLT8-25W x 6L x 3'-2 IS N</t>
  </si>
  <si>
    <t xml:space="preserve">Fluorescent Linear T8 (25W x 6L x 3') 2 Instant start Ballast (0.85 &lt; BF &lt; 0.95) </t>
  </si>
  <si>
    <t>FLT8-25W x 6L x 3'-2 IS R</t>
  </si>
  <si>
    <t xml:space="preserve">Fluorescent Linear T8 (25W x 6L x 3') 2 Instant start Ballast (0.75 &lt; BF &lt; 0.85) </t>
  </si>
  <si>
    <t>FLT8-25W x 6L x 4'-2 RS/PRS N</t>
  </si>
  <si>
    <t xml:space="preserve">Fluorescent Linear T8 (25W x 6L x 4') 2 Rapid/Program Start Ballast (0.85 &lt; BF &lt; 0.95) </t>
  </si>
  <si>
    <t>FLT8-25W x 6L x 4'-2 RS/PRS VH</t>
  </si>
  <si>
    <t xml:space="preserve">Fluorescent Linear T8 (25W x 6L x 4') 2 Rapid/Program Start Ballast (BF &gt; 1.10) </t>
  </si>
  <si>
    <t>FLT8-25W x 6L x 4'-2 RS/PRS VR</t>
  </si>
  <si>
    <t xml:space="preserve">Fluorescent Linear T8 (25W x 6L x 4') 2 Rapid/Program Start Ballast (BF &lt; 0.75) </t>
  </si>
  <si>
    <t>FLT8-25W x 6L x 4'-IS VH</t>
  </si>
  <si>
    <t xml:space="preserve">Fluorescent Linear T8 (25W x 6L x 4') 1 Instant start Ballast (BF &gt; 1.10) </t>
  </si>
  <si>
    <t>FLT8-25W x 6L x 4'-RS/PRS N</t>
  </si>
  <si>
    <t xml:space="preserve">Fluorescent Linear T8 (25W x 6L x 4') 1 Rapid/Program Start Ballast (0.85 &lt; BF &lt; 0.95) </t>
  </si>
  <si>
    <t>FLT8-25W x 6L x 4'-RS/PRS VH</t>
  </si>
  <si>
    <t xml:space="preserve">Fluorescent Linear T8 (25W x 6L x 4') 1 Rapid/Program Start Ballast (BF &gt; 1.10) </t>
  </si>
  <si>
    <t>FLT8-25W x 6L x 4'-RS/PRS VR</t>
  </si>
  <si>
    <t xml:space="preserve">Fluorescent Linear T8 (25W x 6L x 4') 1 Rapid/Program Start Ballast (BF &lt; 0.75) </t>
  </si>
  <si>
    <t>FLT8-25W x 8L x 4'-2 RS/PRS N</t>
  </si>
  <si>
    <t xml:space="preserve">Fluorescent Linear T8 (25W x 8L x 4') 2 Rapid/Program Start Ballast (0.85 &lt; BF &lt; 0.95) </t>
  </si>
  <si>
    <t>FLT8-25W x 8L x 4'-2 RS/PRS VH</t>
  </si>
  <si>
    <t xml:space="preserve">Fluorescent Linear T8 (25W x 8L x 4') 2 Rapid/Program Start Ballast (BF &gt; 1.10) </t>
  </si>
  <si>
    <t>FLT8-25W x 8L x 4'-2 RS/PRS VR</t>
  </si>
  <si>
    <t xml:space="preserve">Fluorescent Linear T8 (25W x 8L x 4') 2 Rapid/Program Start Ballast (BF &lt; 0.75) </t>
  </si>
  <si>
    <t>FLT8-28W x 10L x 4'-3 RS/PRS N</t>
  </si>
  <si>
    <t xml:space="preserve">Fluorescent Linear T8 (28W x 10L x 4') 3 Rapid/Program Start Ballast (0.85 &lt; BF &lt; 0.95) </t>
  </si>
  <si>
    <t>FLT8-28W x 10L x 4'-3 RS/PRS VH</t>
  </si>
  <si>
    <t xml:space="preserve">Fluorescent Linear T8 (28W x 10L x 4') 3 Rapid/Program Start Ballast (BF &gt; 1.10) </t>
  </si>
  <si>
    <t>FLT8-28W x 10L x 4'-3 RS/PRS VR</t>
  </si>
  <si>
    <t xml:space="preserve">Fluorescent Linear T8 (28W x 10L x 4') 3 Rapid/Program Start Ballast (BF &lt; 0.75) </t>
  </si>
  <si>
    <t>FLT8-28W x 12L x 4'-3 RS/PRS N</t>
  </si>
  <si>
    <t xml:space="preserve">Fluorescent Linear T8 (28W x 12L x 4') 3 Rapid/Program Start Ballast (0.85 &lt; BF &lt; 0.95) </t>
  </si>
  <si>
    <t>FLT8-28W x 12L x 4'-3 RS/PRS VH</t>
  </si>
  <si>
    <t xml:space="preserve">Fluorescent Linear T8 (28W x 12L x 4') 3 Rapid/Program Start Ballast (BF &gt; 1.10) </t>
  </si>
  <si>
    <t>FLT8-28W x 12L x 4'-3 RS/PRS VR</t>
  </si>
  <si>
    <t xml:space="preserve">Fluorescent Linear T8 (28W x 12L x 4') 3 Rapid/Program Start Ballast (BF &lt; 0.75) </t>
  </si>
  <si>
    <t>FLT8-28W x 2L x 3'-RS/PRS N</t>
  </si>
  <si>
    <t xml:space="preserve">Fluorescent Linear T8 (28W x 2L x 3') 1 Rapid/Program Start Ballast (0.85 &lt; BF &lt; 0.95) </t>
  </si>
  <si>
    <t>FLT8-28W x 2L x 3'-RS/PRS VH</t>
  </si>
  <si>
    <t xml:space="preserve">Fluorescent Linear T8 (28W x 2L x 3') 1 Rapid/Program Start Ballast (BF &gt; 1.10) </t>
  </si>
  <si>
    <t>FLT8-28W x 2L x 3'-RS/PRS VR</t>
  </si>
  <si>
    <t xml:space="preserve">Fluorescent Linear T8 (28W x 2L x 3') 1 Rapid/Program Start Ballast (BF &lt; 0.75) </t>
  </si>
  <si>
    <t>FLT8-28W x 2L x 4'-CEE ISDIM N T2</t>
  </si>
  <si>
    <t>Fluorescent Linear T8 (28W x 2L x 4') 1 CEE Dimmable Instant Start Ballast (0.85 &lt; BF &lt; 0.95) Tandem - 2 Fixtures/Ballast</t>
  </si>
  <si>
    <t>CEE ISDIM</t>
  </si>
  <si>
    <t>CEE Dimmable Instant Start Ballast</t>
  </si>
  <si>
    <t>FLT8-28W x 2L x 4'-IS H</t>
  </si>
  <si>
    <t xml:space="preserve">Fluorescent Linear T8 (28W x 2L x 4') 1 Instant start Ballast (0.95 &lt; BF &lt; 1.10) </t>
  </si>
  <si>
    <t>FLT8-28W x 2L x 4'-IS N</t>
  </si>
  <si>
    <t xml:space="preserve">Fluorescent Linear T8 (28W x 2L x 4') 1 Instant start Ballast (0.85 &lt; BF &lt; 0.95) </t>
  </si>
  <si>
    <t>FLT8-28W x 2L x 4'-IS R</t>
  </si>
  <si>
    <t xml:space="preserve">Fluorescent Linear T8 (28W x 2L x 4') 1 Instant start Ballast (0.75 &lt; BF &lt; 0.85) </t>
  </si>
  <si>
    <t>FLT8-28W x 2L x 4'-IS VH</t>
  </si>
  <si>
    <t xml:space="preserve">Fluorescent Linear T8 (28W x 2L x 4') 1 Instant start Ballast (BF &gt; 1.10) </t>
  </si>
  <si>
    <t>FLT8-28W x 2L x 4'-IS VH T2</t>
  </si>
  <si>
    <t>Fluorescent Linear T8 (28W x 2L x 4') 1 Instant start Ballast (BF &gt; 1.10) Tandem - 2 Fixtures/Ballast</t>
  </si>
  <si>
    <t>FLT8-28W x 2L x 4'-IS VR</t>
  </si>
  <si>
    <t xml:space="preserve">Fluorescent Linear T8 (28W x 2L x 4') 1 Instant start Ballast (BF &lt; 0.75) </t>
  </si>
  <si>
    <t>FLT8-28W x 2L x 4'-IS VR T2</t>
  </si>
  <si>
    <t>Fluorescent Linear T8 (28W x 2L x 4') 1 Instant start Ballast (BF &lt; 0.75) Tandem - 2 Fixtures/Ballast</t>
  </si>
  <si>
    <t>FLT8-28W x 2L x 4'-IS(E) N</t>
  </si>
  <si>
    <t xml:space="preserve">Fluorescent Linear T8 (28W x 2L x 4') 1 Efficient Instant Start Ballast (0.85 &lt; BF &lt; 0.95) </t>
  </si>
  <si>
    <t>FLT8-28W x 2L x 4'-RS/PRS H</t>
  </si>
  <si>
    <t xml:space="preserve">Fluorescent Linear T8 (28W x 2L x 4') 1 Rapid/Program Start Ballast (0.95 &lt; BF &lt; 1.10) </t>
  </si>
  <si>
    <t>FLT8-28W x 2L x 4'-RS/PRS N</t>
  </si>
  <si>
    <t xml:space="preserve">Fluorescent Linear T8 (28W x 2L x 4') 1 Rapid/Program Start Ballast (0.85 &lt; BF &lt; 0.95) </t>
  </si>
  <si>
    <t>FLT8-28W x 2L x 4'-RS/PRS N T2</t>
  </si>
  <si>
    <t>Fluorescent Linear T8 (28W x 2L x 4') 1 Rapid/Program Start Ballast (0.85 &lt; BF &lt; 0.95) Tandem - 2 Fixtures/Ballast</t>
  </si>
  <si>
    <t>FLT8-28W x 2L x 4'-RS/PRS VH T2</t>
  </si>
  <si>
    <t>Fluorescent Linear T8 (28W x 2L x 4') 1 Rapid/Program Start Ballast (BF &gt; 1.10) Tandem - 2 Fixtures/Ballast</t>
  </si>
  <si>
    <t>FLT8-28W x 2L x 4'-RS/PRS VR</t>
  </si>
  <si>
    <t xml:space="preserve">Fluorescent Linear T8 (28W x 2L x 4') 1 Rapid/Program Start Ballast (BF &lt; 0.75) </t>
  </si>
  <si>
    <t>FLT8-28W x 2L x 4'-RS/PRS VR T2</t>
  </si>
  <si>
    <t>Fluorescent Linear T8 (28W x 2L x 4') 1 Rapid/Program Start Ballast (BF &lt; 0.75) Tandem - 2 Fixtures/Ballast</t>
  </si>
  <si>
    <t>FLT8-28W x 3L x 3'-RS/PRS N</t>
  </si>
  <si>
    <t xml:space="preserve">Fluorescent Linear T8 (28W x 3L x 3') 1 Rapid/Program Start Ballast (0.85 &lt; BF &lt; 0.95) </t>
  </si>
  <si>
    <t>FLT8-28W x 3L x 3'-RS/PRS VH</t>
  </si>
  <si>
    <t xml:space="preserve">Fluorescent Linear T8 (28W x 3L x 3') 1 Rapid/Program Start Ballast (BF &gt; 1.10) </t>
  </si>
  <si>
    <t>FLT8-28W x 3L x 3'-RS/PRS VR</t>
  </si>
  <si>
    <t xml:space="preserve">Fluorescent Linear T8 (28W x 3L x 3') 1 Rapid/Program Start Ballast (BF &lt; 0.75) </t>
  </si>
  <si>
    <t>FLT8-28W x 3L x 4'-IS H</t>
  </si>
  <si>
    <t xml:space="preserve">Fluorescent Linear T8 (28W x 3L x 4') 1 Instant start Ballast (0.95 &lt; BF &lt; 1.10) </t>
  </si>
  <si>
    <t>FLT8-28W x 3L x 4'-IS N</t>
  </si>
  <si>
    <t xml:space="preserve">Fluorescent Linear T8 (28W x 3L x 4') 1 Instant start Ballast (0.85 &lt; BF &lt; 0.95) </t>
  </si>
  <si>
    <t>FLT8-28W x 3L x 4'-IS R</t>
  </si>
  <si>
    <t xml:space="preserve">Fluorescent Linear T8 (28W x 3L x 4') 1 Instant start Ballast (0.75 &lt; BF &lt; 0.85) </t>
  </si>
  <si>
    <t>FLT8-28W x 3L x 4'-IS VH</t>
  </si>
  <si>
    <t xml:space="preserve">Fluorescent Linear T8 (28W x 3L x 4') 1 Instant start Ballast (BF &gt; 1.10) </t>
  </si>
  <si>
    <t>FLT8-28W x 3L x 4'-IS VR</t>
  </si>
  <si>
    <t xml:space="preserve">Fluorescent Linear T8 (28W x 3L x 4') 1 Instant start Ballast (BF &lt; 0.75) </t>
  </si>
  <si>
    <t>FLT8-28W x 3L x 4'-IS(E) N</t>
  </si>
  <si>
    <t xml:space="preserve">Fluorescent Linear T8 (28W x 3L x 4') 1 Efficient Instant Start Ballast (0.85 &lt; BF &lt; 0.95) </t>
  </si>
  <si>
    <t>FLT8-28W x 3L x 4'-RS/PRS N</t>
  </si>
  <si>
    <t xml:space="preserve">Fluorescent Linear T8 (28W x 3L x 4') 1 Rapid/Program Start Ballast (0.85 &lt; BF &lt; 0.95) </t>
  </si>
  <si>
    <t>FLT8-28W x 3L x 4'-RS/PRS VH</t>
  </si>
  <si>
    <t xml:space="preserve">Fluorescent Linear T8 (28W x 3L x 4') 1 Rapid/Program Start Ballast (BF &gt; 1.10) </t>
  </si>
  <si>
    <t>FLT8-28W x 3L x 4'-RS/PRS VR</t>
  </si>
  <si>
    <t xml:space="preserve">Fluorescent Linear T8 (28W x 3L x 4') 1 Rapid/Program Start Ballast (BF &lt; 0.75) </t>
  </si>
  <si>
    <t>FLT8-28W x 3'-RS/PRS N</t>
  </si>
  <si>
    <t xml:space="preserve">Fluorescent Linear T8 (28W x 1L x 3') 1 Rapid/Program Start Ballast (0.85 &lt; BF &lt; 0.95) </t>
  </si>
  <si>
    <t>FLT8-28W x 3'-RS/PRS VH</t>
  </si>
  <si>
    <t xml:space="preserve">Fluorescent Linear T8 (28W x 1L x 3') 1 Rapid/Program Start Ballast (BF &gt; 1.10) </t>
  </si>
  <si>
    <t>FLT8-28W x 3'-RS/PRS VR</t>
  </si>
  <si>
    <t xml:space="preserve">Fluorescent Linear T8 (28W x 1L x 3') 1 Rapid/Program Start Ballast (BF &lt; 0.75) </t>
  </si>
  <si>
    <t>FLT8-28W x 4'-IS H</t>
  </si>
  <si>
    <t xml:space="preserve">Fluorescent Linear T8 (28W x 1L x 4') 1 Instant start Ballast (0.95 &lt; BF &lt; 1.10) </t>
  </si>
  <si>
    <t>FLT8-28W x 4'-IS N</t>
  </si>
  <si>
    <t xml:space="preserve">Fluorescent Linear T8 (28W x 1L x 4') 1 Instant start Ballast (0.85 &lt; BF &lt; 0.95) </t>
  </si>
  <si>
    <t>FLT8-28W x 4'-IS R</t>
  </si>
  <si>
    <t xml:space="preserve">Fluorescent Linear T8 (28W x 1L x 4') 1 Instant start Ballast (0.75 &lt; BF &lt; 0.85) </t>
  </si>
  <si>
    <t>FLT8-28W x 4'-IS VH</t>
  </si>
  <si>
    <t xml:space="preserve">Fluorescent Linear T8 (28W x 1L x 4') 1 Instant start Ballast (BF &gt; 1.10) </t>
  </si>
  <si>
    <t>FLT8-28W x 4'-IS VH T2</t>
  </si>
  <si>
    <t>Fluorescent Linear T8 (28W x 1L x 4') 1 Instant start Ballast (BF &gt; 1.10) Tandem - 2 Fixtures/Ballast</t>
  </si>
  <si>
    <t>FLT8-28W x 4'-IS VH T3</t>
  </si>
  <si>
    <t>Fluorescent Linear T8 (28W x 1L x 4') 1 Instant start Ballast (BF &gt; 1.10) Tandem - 3 Fixtures/Ballast</t>
  </si>
  <si>
    <t>FLT8-28W x 4'-IS VH T4</t>
  </si>
  <si>
    <t>Fluorescent Linear T8 (28W x 1L x 4') 1 Instant start Ballast (BF &gt; 1.10) Tandem - 4 Fixtures/Ballast</t>
  </si>
  <si>
    <t>FLT8-28W x 4'-IS VR T2</t>
  </si>
  <si>
    <t>Fluorescent Linear T8 (28W x 1L x 4') 1 Instant start Ballast (BF &lt; 0.75) Tandem - 2 Fixtures/Ballast</t>
  </si>
  <si>
    <t>FLT8-28W x 4'-IS VR T4</t>
  </si>
  <si>
    <t>Fluorescent Linear T8 (28W x 1L x 4') 1 Instant start Ballast (BF &lt; 0.75) Tandem - 4 Fixtures/Ballast</t>
  </si>
  <si>
    <t>FLT8-28W x 4'-IS(E) N</t>
  </si>
  <si>
    <t xml:space="preserve">Fluorescent Linear T8 (28W x 1L x 4') 1 Efficient Instant Start Ballast (0.85 &lt; BF &lt; 0.95) </t>
  </si>
  <si>
    <t>FLT8-28W x 4L x 3'-RS/PRS N</t>
  </si>
  <si>
    <t xml:space="preserve">Fluorescent Linear T8 (28W x 4L x 3') 1 Rapid/Program Start Ballast (0.85 &lt; BF &lt; 0.95) </t>
  </si>
  <si>
    <t>FLT8-28W x 4L x 3'-RS/PRS VR</t>
  </si>
  <si>
    <t xml:space="preserve">Fluorescent Linear T8 (28W x 4L x 3') 1 Rapid/Program Start Ballast (BF &lt; 0.75) </t>
  </si>
  <si>
    <t>FLT8-28W x 4L x 4'-2 IS VR</t>
  </si>
  <si>
    <t xml:space="preserve">Fluorescent Linear T8 (28W x 4L x 4') 2 Instant start Ballast (BF &lt; 0.75) </t>
  </si>
  <si>
    <t>FLT8-28W x 4L x 4'-IS H</t>
  </si>
  <si>
    <t xml:space="preserve">Fluorescent Linear T8 (28W x 4L x 4') 1 Instant start Ballast (0.95 &lt; BF &lt; 1.10) </t>
  </si>
  <si>
    <t>FLT8-28W x 4L x 4'-IS N</t>
  </si>
  <si>
    <t xml:space="preserve">Fluorescent Linear T8 (28W x 4L x 4') 1 Instant start Ballast (0.85 &lt; BF &lt; 0.95) </t>
  </si>
  <si>
    <t>FLT8-28W x 4L x 4'-IS R</t>
  </si>
  <si>
    <t xml:space="preserve">Fluorescent Linear T8 (28W x 4L x 4') 1 Instant start Ballast (0.75 &lt; BF &lt; 0.85) </t>
  </si>
  <si>
    <t>FLT8-28W x 4L x 4'-IS VH</t>
  </si>
  <si>
    <t xml:space="preserve">Fluorescent Linear T8 (28W x 4L x 4') 1 Instant start Ballast (BF &gt; 1.10) </t>
  </si>
  <si>
    <t>FLT8-28W x 4L x 4'-IS VR</t>
  </si>
  <si>
    <t xml:space="preserve">Fluorescent Linear T8 (28W x 4L x 4') 1 Instant start Ballast (BF &lt; 0.75) </t>
  </si>
  <si>
    <t>FLT8-28W x 4L x 4'-IS(E) N</t>
  </si>
  <si>
    <t xml:space="preserve">Fluorescent Linear T8 (28W x 4L x 4') 1 Efficient Instant Start Ballast (0.85 &lt; BF &lt; 0.95) </t>
  </si>
  <si>
    <t>FLT8-28W x 4L x 4'-IS(E) R</t>
  </si>
  <si>
    <t xml:space="preserve">Fluorescent Linear T8 (28W x 4L x 4') 1 Efficient Instant Start Ballast (0.75 &lt; BF &lt; 0.85) </t>
  </si>
  <si>
    <t>FLT8-28W x 4L x 4'-RS/PRS N</t>
  </si>
  <si>
    <t xml:space="preserve">Fluorescent Linear T8 (28W x 4L x 4') 1 Rapid/Program Start Ballast (0.85 &lt; BF &lt; 0.95) </t>
  </si>
  <si>
    <t>FLT8-28W x 4L x 4'-RS/PRS VH</t>
  </si>
  <si>
    <t xml:space="preserve">Fluorescent Linear T8 (28W x 4L x 4') 1 Rapid/Program Start Ballast (BF &gt; 1.10) </t>
  </si>
  <si>
    <t>FLT8-28W x 4L x 4'-RS/PRS VR</t>
  </si>
  <si>
    <t xml:space="preserve">Fluorescent Linear T8 (28W x 4L x 4') 1 Rapid/Program Start Ballast (BF &lt; 0.75) </t>
  </si>
  <si>
    <t>FLT8-28W x 4'-RS/PRS N</t>
  </si>
  <si>
    <t xml:space="preserve">Fluorescent Linear T8 (28W x 1L x 4') 1 Rapid/Program Start Ballast (0.85 &lt; BF &lt; 0.95) </t>
  </si>
  <si>
    <t>FLT8-28W x 4'-RS/PRS N T2</t>
  </si>
  <si>
    <t>Fluorescent Linear T8 (28W x 1L x 4') 1 Rapid/Program Start Ballast (0.85 &lt; BF &lt; 0.95) Tandem - 2 Fixtures/Ballast</t>
  </si>
  <si>
    <t>FLT8-28W x 4'-RS/PRS N T3</t>
  </si>
  <si>
    <t>Fluorescent Linear T8 (28W x 1L x 4') 1 Rapid/Program Start Ballast (0.85 &lt; BF &lt; 0.95) Tandem - 3 Fixtures/Ballast</t>
  </si>
  <si>
    <t>FLT8-28W x 4'-RS/PRS N T4</t>
  </si>
  <si>
    <t>Fluorescent Linear T8 (28W x 1L x 4') 1 Rapid/Program Start Ballast (0.85 &lt; BF &lt; 0.95) Tandem - 4 Fixtures/Ballast</t>
  </si>
  <si>
    <t>FLT8-28W x 4'-RS/PRS VH</t>
  </si>
  <si>
    <t xml:space="preserve">Fluorescent Linear T8 (28W x 1L x 4') 1 Rapid/Program Start Ballast (BF &gt; 1.10) </t>
  </si>
  <si>
    <t>FLT8-28W x 4'-RS/PRS VH T2</t>
  </si>
  <si>
    <t>Fluorescent Linear T8 (28W x 1L x 4') 1 Rapid/Program Start Ballast (BF &gt; 1.10) Tandem - 2 Fixtures/Ballast</t>
  </si>
  <si>
    <t>FLT8-28W x 4'-RS/PRS VH T3</t>
  </si>
  <si>
    <t>Fluorescent Linear T8 (28W x 1L x 4') 1 Rapid/Program Start Ballast (BF &gt; 1.10) Tandem - 3 Fixtures/Ballast</t>
  </si>
  <si>
    <t>FLT8-28W x 4'-RS/PRS VH T4</t>
  </si>
  <si>
    <t>Fluorescent Linear T8 (28W x 1L x 4') 1 Rapid/Program Start Ballast (BF &gt; 1.10) Tandem - 4 Fixtures/Ballast</t>
  </si>
  <si>
    <t>FLT8-28W x 4'-RS/PRS VR</t>
  </si>
  <si>
    <t xml:space="preserve">Fluorescent Linear T8 (28W x 1L x 4') 1 Rapid/Program Start Ballast (BF &lt; 0.75) </t>
  </si>
  <si>
    <t>FLT8-28W x 4'-RS/PRS VR T2</t>
  </si>
  <si>
    <t>Fluorescent Linear T8 (28W x 1L x 4') 1 Rapid/Program Start Ballast (BF &lt; 0.75) Tandem - 2 Fixtures/Ballast</t>
  </si>
  <si>
    <t>FLT8-28W x 4'-RS/PRS VR T3</t>
  </si>
  <si>
    <t>Fluorescent Linear T8 (28W x 1L x 4') 1 Rapid/Program Start Ballast (BF &lt; 0.75) Tandem - 3 Fixtures/Ballast</t>
  </si>
  <si>
    <t>FLT8-28W x 4'-RS/PRS VR T4</t>
  </si>
  <si>
    <t>Fluorescent Linear T8 (28W x 1L x 4') 1 Rapid/Program Start Ballast (BF &lt; 0.75) Tandem - 4 Fixtures/Ballast</t>
  </si>
  <si>
    <t>FLT8-28W x 6L x 4'-2 RS/PRS N</t>
  </si>
  <si>
    <t xml:space="preserve">Fluorescent Linear T8 (28W x 6L x 4') 2 Rapid/Program Start Ballast (0.85 &lt; BF &lt; 0.95) </t>
  </si>
  <si>
    <t>FLT8-28W x 6L x 4'-2 RS/PRS VH</t>
  </si>
  <si>
    <t xml:space="preserve">Fluorescent Linear T8 (28W x 6L x 4') 2 Rapid/Program Start Ballast (BF &gt; 1.10) </t>
  </si>
  <si>
    <t>FLT8-28W x 6L x 4'-2 RS/PRS VR</t>
  </si>
  <si>
    <t xml:space="preserve">Fluorescent Linear T8 (28W x 6L x 4') 2 Rapid/Program Start Ballast (BF &lt; 0.75) </t>
  </si>
  <si>
    <t>FLT8-28W x 6L x 4'-IS VH</t>
  </si>
  <si>
    <t xml:space="preserve">Fluorescent Linear T8 (28W x 6L x 4') 1 Instant start Ballast (BF &gt; 1.10) </t>
  </si>
  <si>
    <t>FLT8-28W x 6L x 4'-RS/PRS N</t>
  </si>
  <si>
    <t xml:space="preserve">Fluorescent Linear T8 (28W x 6L x 4') 1 Rapid/Program Start Ballast (0.85 &lt; BF &lt; 0.95) </t>
  </si>
  <si>
    <t>FLT8-28W x 6L x 4'-RS/PRS VH</t>
  </si>
  <si>
    <t xml:space="preserve">Fluorescent Linear T8 (28W x 6L x 4') 1 Rapid/Program Start Ballast (BF &gt; 1.10) </t>
  </si>
  <si>
    <t>FLT8-28W x 6L x 4'-RS/PRS VR</t>
  </si>
  <si>
    <t xml:space="preserve">Fluorescent Linear T8 (28W x 6L x 4') 1 Rapid/Program Start Ballast (BF &lt; 0.75) </t>
  </si>
  <si>
    <t>FLT8-28W x 8L x 4'-2 RS/PRS N</t>
  </si>
  <si>
    <t xml:space="preserve">Fluorescent Linear T8 (28W x 8L x 4') 2 Rapid/Program Start Ballast (0.85 &lt; BF &lt; 0.95) </t>
  </si>
  <si>
    <t>FLT8-28W x 8L x 4'-2 RS/PRS VH</t>
  </si>
  <si>
    <t xml:space="preserve">Fluorescent Linear T8 (28W x 8L x 4') 2 Rapid/Program Start Ballast (BF &gt; 1.10) </t>
  </si>
  <si>
    <t>FLT8-28W x 8L x 4'-2 RS/PRS VR</t>
  </si>
  <si>
    <t xml:space="preserve">Fluorescent Linear T8 (28W x 8L x 4') 2 Rapid/Program Start Ballast (BF &lt; 0.75) </t>
  </si>
  <si>
    <t>FLT8-30W x 10L x 4'-3 RS/PRS N</t>
  </si>
  <si>
    <t xml:space="preserve">Fluorescent Linear T8 (30W x 10L x 4') 3 Rapid/Program Start Ballast (0.85 &lt; BF &lt; 0.95) </t>
  </si>
  <si>
    <t>FLT8-30W x 10L x 4'-3 RS/PRS VH</t>
  </si>
  <si>
    <t xml:space="preserve">Fluorescent Linear T8 (30W x 10L x 4') 3 Rapid/Program Start Ballast (BF &gt; 1.10) </t>
  </si>
  <si>
    <t>FLT8-30W x 10L x 4'-3 RS/PRS VR</t>
  </si>
  <si>
    <t xml:space="preserve">Fluorescent Linear T8 (30W x 10L x 4') 3 Rapid/Program Start Ballast (BF &lt; 0.75) </t>
  </si>
  <si>
    <t>FLT8-30W x 12L x 4'-3 RS/PRS N</t>
  </si>
  <si>
    <t xml:space="preserve">Fluorescent Linear T8 (30W x 12L x 4') 3 Rapid/Program Start Ballast (0.85 &lt; BF &lt; 0.95) </t>
  </si>
  <si>
    <t>FLT8-30W x 12L x 4'-3 RS/PRS VH</t>
  </si>
  <si>
    <t xml:space="preserve">Fluorescent Linear T8 (30W x 12L x 4') 3 Rapid/Program Start Ballast (BF &gt; 1.10) </t>
  </si>
  <si>
    <t>FLT8-30W x 12L x 4'-3 RS/PRS VR</t>
  </si>
  <si>
    <t xml:space="preserve">Fluorescent Linear T8 (30W x 12L x 4') 3 Rapid/Program Start Ballast (BF &lt; 0.75) </t>
  </si>
  <si>
    <t>FLT8-30W x 2L x 4'-IS H</t>
  </si>
  <si>
    <t xml:space="preserve">Fluorescent Linear T8 (30W x 2L x 4') 1 Instant start Ballast (0.95 &lt; BF &lt; 1.10) </t>
  </si>
  <si>
    <t>FLT8-30W x 2L x 4'-IS N</t>
  </si>
  <si>
    <t xml:space="preserve">Fluorescent Linear T8 (30W x 2L x 4') 1 Instant start Ballast (0.85 &lt; BF &lt; 0.95) </t>
  </si>
  <si>
    <t>FLT8-30W x 2L x 4'-IS N T4</t>
  </si>
  <si>
    <t>Fluorescent Linear T8 (30W x 2L x 4') 1 Instant start Ballast (0.85 &lt; BF &lt; 0.95) Tandem - 4 Fixtures/Ballast</t>
  </si>
  <si>
    <t>FLT8-30W x 2L x 4'-IS R</t>
  </si>
  <si>
    <t xml:space="preserve">Fluorescent Linear T8 (30W x 2L x 4') 1 Instant start Ballast (0.75 &lt; BF &lt; 0.85) </t>
  </si>
  <si>
    <t>FLT8-30W x 2L x 4'-IS R T4</t>
  </si>
  <si>
    <t>Fluorescent Linear T8 (30W x 2L x 4') 1 Instant start Ballast (0.75 &lt; BF &lt; 0.85) Tandem - 4 Fixtures/Ballast</t>
  </si>
  <si>
    <t>FLT8-30W x 2L x 4'-IS(E) N</t>
  </si>
  <si>
    <t xml:space="preserve">Fluorescent Linear T8 (30W x 2L x 4') 1 Efficient Instant Start Ballast (0.85 &lt; BF &lt; 0.95) </t>
  </si>
  <si>
    <t>FLT8-30W x 2L x 4'-IS(E) N T4</t>
  </si>
  <si>
    <t>Fluorescent Linear T8 (30W x 2L x 4') 1 Efficient Instant Start Ballast (0.85 &lt; BF &lt; 0.95) Tandem - 4 Fixtures/Ballast</t>
  </si>
  <si>
    <t>FLT8-30W x 2L x 4'-IS(E) R</t>
  </si>
  <si>
    <t xml:space="preserve">Fluorescent Linear T8 (30W x 2L x 4') 1 Efficient Instant Start Ballast (0.75 &lt; BF &lt; 0.85) </t>
  </si>
  <si>
    <t>FLT8-30W x 2L x 4'-IS(E) R T4</t>
  </si>
  <si>
    <t>Fluorescent Linear T8 (30W x 2L x 4') 1 Efficient Instant Start Ballast (0.75 &lt; BF &lt; 0.85) Tandem - 4 Fixtures/Ballast</t>
  </si>
  <si>
    <t>FLT8-30W x 2L x 4'-RS/PRS H</t>
  </si>
  <si>
    <t xml:space="preserve">Fluorescent Linear T8 (30W x 2L x 4') 1 Rapid/Program Start Ballast (0.95 &lt; BF &lt; 1.10) </t>
  </si>
  <si>
    <t>FLT8-30W x 2L x 4'-RS/PRS N</t>
  </si>
  <si>
    <t xml:space="preserve">Fluorescent Linear T8 (30W x 2L x 4') 1 Rapid/Program Start Ballast (0.85 &lt; BF &lt; 0.95) </t>
  </si>
  <si>
    <t>FLT8-30W x 2L x 4'-RS/PRS N T2</t>
  </si>
  <si>
    <t>Fluorescent Linear T8 (30W x 2L x 4') 1 Rapid/Program Start Ballast (0.85 &lt; BF &lt; 0.95) Tandem - 2 Fixtures/Ballast</t>
  </si>
  <si>
    <t>FLT8-30W x 2L x 4'-RS/PRS VH T2</t>
  </si>
  <si>
    <t>Fluorescent Linear T8 (30W x 2L x 4') 1 Rapid/Program Start Ballast (BF &gt; 1.10) Tandem - 2 Fixtures/Ballast</t>
  </si>
  <si>
    <t>FLT8-30W x 2L x 4'-RS/PRS VR</t>
  </si>
  <si>
    <t xml:space="preserve">Fluorescent Linear T8 (30W x 2L x 4') 1 Rapid/Program Start Ballast (BF &lt; 0.75) </t>
  </si>
  <si>
    <t>FLT8-30W x 2L x 4'-RS/PRS VR T2</t>
  </si>
  <si>
    <t>Fluorescent Linear T8 (30W x 2L x 4') 1 Rapid/Program Start Ballast (BF &lt; 0.75) Tandem - 2 Fixtures/Ballast</t>
  </si>
  <si>
    <t>FLT8-30W x 3L x 4'-2 IS H</t>
  </si>
  <si>
    <t xml:space="preserve">Fluorescent Linear T8 (30W x 3L x 4') 2 Instant start Ballast (0.95 &lt; BF &lt; 1.10) </t>
  </si>
  <si>
    <t>FLT8-30W x 3L x 4'-2 IS N</t>
  </si>
  <si>
    <t xml:space="preserve">Fluorescent Linear T8 (30W x 3L x 4') 2 Instant start Ballast (0.85 &lt; BF &lt; 0.95) </t>
  </si>
  <si>
    <t>FLT8-30W x 3L x 4'-2 IS R</t>
  </si>
  <si>
    <t xml:space="preserve">Fluorescent Linear T8 (30W x 3L x 4') 2 Instant start Ballast (0.75 &lt; BF &lt; 0.85) </t>
  </si>
  <si>
    <t>FLT8-30W x 3L x 4'-IS H</t>
  </si>
  <si>
    <t xml:space="preserve">Fluorescent Linear T8 (30W x 3L x 4') 1 Instant start Ballast (0.95 &lt; BF &lt; 1.10) </t>
  </si>
  <si>
    <t>FLT8-30W x 3L x 4'-IS N</t>
  </si>
  <si>
    <t xml:space="preserve">Fluorescent Linear T8 (30W x 3L x 4') 1 Instant start Ballast (0.85 &lt; BF &lt; 0.95) </t>
  </si>
  <si>
    <t>FLT8-30W x 3L x 4'-IS R</t>
  </si>
  <si>
    <t xml:space="preserve">Fluorescent Linear T8 (30W x 3L x 4') 1 Instant start Ballast (0.75 &lt; BF &lt; 0.85) </t>
  </si>
  <si>
    <t>FLT8-30W x 3L x 4'-IS VR</t>
  </si>
  <si>
    <t xml:space="preserve">Fluorescent Linear T8 (30W x 3L x 4') 1 Instant start Ballast (BF &lt; 0.75) </t>
  </si>
  <si>
    <t>FLT8-30W x 3L x 4'-IS(E) N</t>
  </si>
  <si>
    <t xml:space="preserve">Fluorescent Linear T8 (30W x 3L x 4') 1 Efficient Instant Start Ballast (0.85 &lt; BF &lt; 0.95) </t>
  </si>
  <si>
    <t>FLT8-30W x 3L x 4'-IS(E) R</t>
  </si>
  <si>
    <t xml:space="preserve">Fluorescent Linear T8 (30W x 3L x 4') 1 Efficient Instant Start Ballast (0.75 &lt; BF &lt; 0.85) </t>
  </si>
  <si>
    <t>FLT8-30W x 3L x 4'-RS/PRS N</t>
  </si>
  <si>
    <t xml:space="preserve">Fluorescent Linear T8 (30W x 3L x 4') 1 Rapid/Program Start Ballast (0.85 &lt; BF &lt; 0.95) </t>
  </si>
  <si>
    <t>FLT8-30W x 3L x 4'-RS/PRS R</t>
  </si>
  <si>
    <t xml:space="preserve">Fluorescent Linear T8 (30W x 3L x 4') 1 Rapid/Program Start Ballast (0.75 &lt; BF &lt; 0.85) </t>
  </si>
  <si>
    <t>FLT8-30W x 3L x 4'-RS/PRS VH</t>
  </si>
  <si>
    <t xml:space="preserve">Fluorescent Linear T8 (30W x 3L x 4') 1 Rapid/Program Start Ballast (BF &gt; 1.10) </t>
  </si>
  <si>
    <t>FLT8-30W x 3L x 4'-RS/PRS VR</t>
  </si>
  <si>
    <t xml:space="preserve">Fluorescent Linear T8 (30W x 3L x 4') 1 Rapid/Program Start Ballast (BF &lt; 0.75) </t>
  </si>
  <si>
    <t>FLT8-30W x 4'-IS H</t>
  </si>
  <si>
    <t xml:space="preserve">Fluorescent Linear T8 (30W x 1L x 4') 1 Instant start Ballast (0.95 &lt; BF &lt; 1.10) </t>
  </si>
  <si>
    <t>FLT8-30W x 4'-IS N</t>
  </si>
  <si>
    <t xml:space="preserve">Fluorescent Linear T8 (30W x 1L x 4') 1 Instant start Ballast (0.85 &lt; BF &lt; 0.95) </t>
  </si>
  <si>
    <t>FLT8-30W x 4'-IS N T2</t>
  </si>
  <si>
    <t>Fluorescent Linear T8 (30W x 1L x 4') 1 Instant start Ballast (0.85 &lt; BF &lt; 0.95) Tandem - 2 Fixtures/Ballast</t>
  </si>
  <si>
    <t>FLT8-30W x 4'-IS N T3</t>
  </si>
  <si>
    <t>Fluorescent Linear T8 (30W x 1L x 4') 1 Instant start Ballast (0.85 &lt; BF &lt; 0.95) Tandem - 3 Fixtures/Ballast</t>
  </si>
  <si>
    <t>FLT8-30W x 4'-IS N T4</t>
  </si>
  <si>
    <t>Fluorescent Linear T8 (30W x 1L x 4') 1 Instant start Ballast (0.85 &lt; BF &lt; 0.95) Tandem - 4 Fixtures/Ballast</t>
  </si>
  <si>
    <t>FLT8-30W x 4'-IS R</t>
  </si>
  <si>
    <t xml:space="preserve">Fluorescent Linear T8 (30W x 1L x 4') 1 Instant start Ballast (0.75 &lt; BF &lt; 0.85) </t>
  </si>
  <si>
    <t>FLT8-30W x 4'-IS R T2</t>
  </si>
  <si>
    <t>Fluorescent Linear T8 (30W x 1L x 4') 1 Instant start Ballast (0.75 &lt; BF &lt; 0.85) Tandem - 2 Fixtures/Ballast</t>
  </si>
  <si>
    <t>FLT8-30W x 4'-IS R T3</t>
  </si>
  <si>
    <t>Fluorescent Linear T8 (30W x 1L x 4') 1 Instant start Ballast (0.75 &lt; BF &lt; 0.85) Tandem - 3 Fixtures/Ballast</t>
  </si>
  <si>
    <t>FLT8-30W x 4'-IS R T4</t>
  </si>
  <si>
    <t>Fluorescent Linear T8 (30W x 1L x 4') 1 Instant start Ballast (0.75 &lt; BF &lt; 0.85) Tandem - 4 Fixtures/Ballast</t>
  </si>
  <si>
    <t>FLT8-30W x 4'-IS VR</t>
  </si>
  <si>
    <t xml:space="preserve">Fluorescent Linear T8 (30W x 1L x 4') 1 Instant start Ballast (BF &lt; 0.75) </t>
  </si>
  <si>
    <t>FLT8-30W x 4'-IS(E) H</t>
  </si>
  <si>
    <t xml:space="preserve">Fluorescent Linear T8 (30W x 1L x 4') 1 Efficient Instant Start Ballast (0.95 &lt; BF &lt; 1.10) </t>
  </si>
  <si>
    <t>FLT8-30W x 4'-IS(E) N</t>
  </si>
  <si>
    <t xml:space="preserve">Fluorescent Linear T8 (30W x 1L x 4') 1 Efficient Instant Start Ballast (0.85 &lt; BF &lt; 0.95) </t>
  </si>
  <si>
    <t>FLT8-30W x 4'-IS(E) N T2</t>
  </si>
  <si>
    <t>Fluorescent Linear T8 (30W x 1L x 4') 1 Efficient Instant Start Ballast (0.85 &lt; BF &lt; 0.95) Tandem - 2 Fixtures/Ballast</t>
  </si>
  <si>
    <t>FLT8-30W x 4'-IS(E) N T3</t>
  </si>
  <si>
    <t>Fluorescent Linear T8 (30W x 1L x 4') 1 Efficient Instant Start Ballast (0.85 &lt; BF &lt; 0.95) Tandem - 3 Fixtures/Ballast</t>
  </si>
  <si>
    <t>FLT8-30W x 4'-IS(E) N T4</t>
  </si>
  <si>
    <t>Fluorescent Linear T8 (30W x 1L x 4') 1 Efficient Instant Start Ballast (0.85 &lt; BF &lt; 0.95) Tandem - 4 Fixtures/Ballast</t>
  </si>
  <si>
    <t>FLT8-30W x 4L x 4'-2 IS H</t>
  </si>
  <si>
    <t xml:space="preserve">Fluorescent Linear T8 (30W x 4L x 4') 2 Instant start Ballast (0.95 &lt; BF &lt; 1.10) </t>
  </si>
  <si>
    <t>FLT8-30W x 4L x 4'-2 IS N</t>
  </si>
  <si>
    <t xml:space="preserve">Fluorescent Linear T8 (30W x 4L x 4') 2 Instant start Ballast (0.85 &lt; BF &lt; 0.95) </t>
  </si>
  <si>
    <t>FLT8-30W x 4L x 4'-2 IS R</t>
  </si>
  <si>
    <t xml:space="preserve">Fluorescent Linear T8 (30W x 4L x 4') 2 Instant start Ballast (0.75 &lt; BF &lt; 0.85) </t>
  </si>
  <si>
    <t>FLT8-30W x 4L x 4'-IS N</t>
  </si>
  <si>
    <t xml:space="preserve">Fluorescent Linear T8 (30W x 4L x 4') 1 Instant start Ballast (0.85 &lt; BF &lt; 0.95) </t>
  </si>
  <si>
    <t>FLT8-30W x 4L x 4'-IS R</t>
  </si>
  <si>
    <t xml:space="preserve">Fluorescent Linear T8 (30W x 4L x 4') 1 Instant start Ballast (0.75 &lt; BF &lt; 0.85) </t>
  </si>
  <si>
    <t>FLT8-30W x 4L x 4'-IS(E) N</t>
  </si>
  <si>
    <t xml:space="preserve">Fluorescent Linear T8 (30W x 4L x 4') 1 Efficient Instant Start Ballast (0.85 &lt; BF &lt; 0.95) </t>
  </si>
  <si>
    <t>FLT8-30W x 4L x 4'-IS(E) R</t>
  </si>
  <si>
    <t xml:space="preserve">Fluorescent Linear T8 (30W x 4L x 4') 1 Efficient Instant Start Ballast (0.75 &lt; BF &lt; 0.85) </t>
  </si>
  <si>
    <t>FLT8-30W x 4L x 4'-RS/PRS N</t>
  </si>
  <si>
    <t xml:space="preserve">Fluorescent Linear T8 (30W x 4L x 4') 1 Rapid/Program Start Ballast (0.85 &lt; BF &lt; 0.95) </t>
  </si>
  <si>
    <t>FLT8-30W x 4L x 4'-RS/PRS VH</t>
  </si>
  <si>
    <t xml:space="preserve">Fluorescent Linear T8 (30W x 4L x 4') 1 Rapid/Program Start Ballast (BF &gt; 1.10) </t>
  </si>
  <si>
    <t>FLT8-30W x 4L x 4'-RS/PRS VR</t>
  </si>
  <si>
    <t xml:space="preserve">Fluorescent Linear T8 (30W x 4L x 4') 1 Rapid/Program Start Ballast (BF &lt; 0.75) </t>
  </si>
  <si>
    <t>FLT8-30W x 4'-RS/PRS N</t>
  </si>
  <si>
    <t xml:space="preserve">Fluorescent Linear T8 (30W x 1L x 4') 1 Rapid/Program Start Ballast (0.85 &lt; BF &lt; 0.95) </t>
  </si>
  <si>
    <t>FLT8-30W x 4'-RS/PRS N T2</t>
  </si>
  <si>
    <t>Fluorescent Linear T8 (30W x 1L x 4') 1 Rapid/Program Start Ballast (0.85 &lt; BF &lt; 0.95) Tandem - 2 Fixtures/Ballast</t>
  </si>
  <si>
    <t>FLT8-30W x 4'-RS/PRS N T3</t>
  </si>
  <si>
    <t>Fluorescent Linear T8 (30W x 1L x 4') 1 Rapid/Program Start Ballast (0.85 &lt; BF &lt; 0.95) Tandem - 3 Fixtures/Ballast</t>
  </si>
  <si>
    <t>FLT8-30W x 4'-RS/PRS N T4</t>
  </si>
  <si>
    <t>Fluorescent Linear T8 (30W x 1L x 4') 1 Rapid/Program Start Ballast (0.85 &lt; BF &lt; 0.95) Tandem - 4 Fixtures/Ballast</t>
  </si>
  <si>
    <t>FLT8-30W x 4'-RS/PRS VH</t>
  </si>
  <si>
    <t xml:space="preserve">Fluorescent Linear T8 (30W x 1L x 4') 1 Rapid/Program Start Ballast (BF &gt; 1.10) </t>
  </si>
  <si>
    <t>FLT8-30W x 4'-RS/PRS VH T2</t>
  </si>
  <si>
    <t>Fluorescent Linear T8 (30W x 1L x 4') 1 Rapid/Program Start Ballast (BF &gt; 1.10) Tandem - 2 Fixtures/Ballast</t>
  </si>
  <si>
    <t>FLT8-30W x 4'-RS/PRS VH T3</t>
  </si>
  <si>
    <t>Fluorescent Linear T8 (30W x 1L x 4') 1 Rapid/Program Start Ballast (BF &gt; 1.10) Tandem - 3 Fixtures/Ballast</t>
  </si>
  <si>
    <t>FLT8-30W x 4'-RS/PRS VH T4</t>
  </si>
  <si>
    <t>Fluorescent Linear T8 (30W x 1L x 4') 1 Rapid/Program Start Ballast (BF &gt; 1.10) Tandem - 4 Fixtures/Ballast</t>
  </si>
  <si>
    <t>FLT8-30W x 4'-RS/PRS VR</t>
  </si>
  <si>
    <t xml:space="preserve">Fluorescent Linear T8 (30W x 1L x 4') 1 Rapid/Program Start Ballast (BF &lt; 0.75) </t>
  </si>
  <si>
    <t>FLT8-30W x 4'-RS/PRS VR T2</t>
  </si>
  <si>
    <t>Fluorescent Linear T8 (30W x 1L x 4') 1 Rapid/Program Start Ballast (BF &lt; 0.75) Tandem - 2 Fixtures/Ballast</t>
  </si>
  <si>
    <t>FLT8-30W x 4'-RS/PRS VR T3</t>
  </si>
  <si>
    <t>Fluorescent Linear T8 (30W x 1L x 4') 1 Rapid/Program Start Ballast (BF &lt; 0.75) Tandem - 3 Fixtures/Ballast</t>
  </si>
  <si>
    <t>FLT8-30W x 4'-RS/PRS VR T4</t>
  </si>
  <si>
    <t>Fluorescent Linear T8 (30W x 1L x 4') 1 Rapid/Program Start Ballast (BF &lt; 0.75) Tandem - 4 Fixtures/Ballast</t>
  </si>
  <si>
    <t>FLT8-30W x 6L x 4'-2 IS N</t>
  </si>
  <si>
    <t xml:space="preserve">Fluorescent Linear T8 (30W x 6L x 4') 2 Instant start Ballast (0.85 &lt; BF &lt; 0.95) </t>
  </si>
  <si>
    <t>FLT8-30W x 6L x 4'-2 IS R</t>
  </si>
  <si>
    <t xml:space="preserve">Fluorescent Linear T8 (30W x 6L x 4') 2 Instant start Ballast (0.75 &lt; BF &lt; 0.85) </t>
  </si>
  <si>
    <t>FLT8-30W x 6L x 4'-2 RS/PRS N</t>
  </si>
  <si>
    <t xml:space="preserve">Fluorescent Linear T8 (30W x 6L x 4') 2 Rapid/Program Start Ballast (0.85 &lt; BF &lt; 0.95) </t>
  </si>
  <si>
    <t>FLT8-30W x 6L x 4'-2 RS/PRS VH</t>
  </si>
  <si>
    <t xml:space="preserve">Fluorescent Linear T8 (30W x 6L x 4') 2 Rapid/Program Start Ballast (BF &gt; 1.10) </t>
  </si>
  <si>
    <t>FLT8-30W x 6L x 4'-2 RS/PRS VR</t>
  </si>
  <si>
    <t xml:space="preserve">Fluorescent Linear T8 (30W x 6L x 4') 2 Rapid/Program Start Ballast (BF &lt; 0.75) </t>
  </si>
  <si>
    <t>FLT8-30W x 6L x 4'-IS VH</t>
  </si>
  <si>
    <t xml:space="preserve">Fluorescent Linear T8 (30W x 6L x 4') 1 Instant start Ballast (BF &gt; 1.10) </t>
  </si>
  <si>
    <t>FLT8-30W x 6L x 4'-RS/PRS N</t>
  </si>
  <si>
    <t xml:space="preserve">Fluorescent Linear T8 (30W x 6L x 4') 1 Rapid/Program Start Ballast (0.85 &lt; BF &lt; 0.95) </t>
  </si>
  <si>
    <t>FLT8-30W x 6L x 4'-RS/PRS VH</t>
  </si>
  <si>
    <t xml:space="preserve">Fluorescent Linear T8 (30W x 6L x 4') 1 Rapid/Program Start Ballast (BF &gt; 1.10) </t>
  </si>
  <si>
    <t>FLT8-30W x 6L x 4'-RS/PRS VR</t>
  </si>
  <si>
    <t xml:space="preserve">Fluorescent Linear T8 (30W x 6L x 4') 1 Rapid/Program Start Ballast (BF &lt; 0.75) </t>
  </si>
  <si>
    <t>FLT8-30W x 8L x 4'-2 RS/PRS N</t>
  </si>
  <si>
    <t xml:space="preserve">Fluorescent Linear T8 (30W x 8L x 4') 2 Rapid/Program Start Ballast (0.85 &lt; BF &lt; 0.95) </t>
  </si>
  <si>
    <t>FLT8-30W x 8L x 4'-2 RS/PRS VH</t>
  </si>
  <si>
    <t xml:space="preserve">Fluorescent Linear T8 (30W x 8L x 4') 2 Rapid/Program Start Ballast (BF &gt; 1.10) </t>
  </si>
  <si>
    <t>FLT8-30W x 8L x 4'-2 RS/PRS VR</t>
  </si>
  <si>
    <t xml:space="preserve">Fluorescent Linear T8 (30W x 8L x 4') 2 Rapid/Program Start Ballast (BF &lt; 0.75) </t>
  </si>
  <si>
    <t>FLT8-32W x 10L x 4'-3 RS/PRS N</t>
  </si>
  <si>
    <t xml:space="preserve">Fluorescent Linear T8 (32W x 10L x 4') 3 Rapid/Program Start Ballast (0.85 &lt; BF &lt; 0.95) </t>
  </si>
  <si>
    <t>FLT8-32W x 10L x 4'-3 RS/PRS VH</t>
  </si>
  <si>
    <t xml:space="preserve">Fluorescent Linear T8 (32W x 10L x 4') 3 Rapid/Program Start Ballast (BF &gt; 1.10) </t>
  </si>
  <si>
    <t>FLT8-32W x 10L x 4'-3 RS/PRS VR</t>
  </si>
  <si>
    <t xml:space="preserve">Fluorescent Linear T8 (32W x 10L x 4') 3 Rapid/Program Start Ballast (BF &lt; 0.75) </t>
  </si>
  <si>
    <t>FLT8-32W x 12L x 4'-3 RS/PRS N</t>
  </si>
  <si>
    <t xml:space="preserve">Fluorescent Linear T8 (32W x 12L x 4') 3 Rapid/Program Start Ballast (0.85 &lt; BF &lt; 0.95) </t>
  </si>
  <si>
    <t>FLT8-32W x 12L x 4'-3 RS/PRS VH</t>
  </si>
  <si>
    <t xml:space="preserve">Fluorescent Linear T8 (32W x 12L x 4') 3 Rapid/Program Start Ballast (BF &gt; 1.10) </t>
  </si>
  <si>
    <t>FLT8-32W x 12L x 4'-3 RS/PRS VR</t>
  </si>
  <si>
    <t xml:space="preserve">Fluorescent Linear T8 (32W x 12L x 4') 3 Rapid/Program Start Ballast (BF &lt; 0.75) </t>
  </si>
  <si>
    <t>FLT8-32W x 2L x 4'-2 IS N</t>
  </si>
  <si>
    <t xml:space="preserve">Fluorescent Linear T8 (32W x 2L x 4') 2 Instant start Ballast (0.85 &lt; BF &lt; 0.95) </t>
  </si>
  <si>
    <t>FLT8-32W x 2L x 4'-2 IS R</t>
  </si>
  <si>
    <t xml:space="preserve">Fluorescent Linear T8 (32W x 2L x 4') 2 Instant start Ballast (0.75 &lt; BF &lt; 0.85) </t>
  </si>
  <si>
    <t>FLT8-32W x 2L x 4'-2 RS/PRS N</t>
  </si>
  <si>
    <t xml:space="preserve">Fluorescent Linear T8 (32W x 2L x 4') 2 Rapid/Program Start Ballast (0.85 &lt; BF &lt; 0.95) </t>
  </si>
  <si>
    <t>FLT8-32W x 2L x 4'-CEE ISDIM N</t>
  </si>
  <si>
    <t xml:space="preserve">Fluorescent Linear T8 (32W x 2L x 4') 1 CEE Dimmable Instant Start Ballast (0.85 &lt; BF &lt; 0.95) </t>
  </si>
  <si>
    <t>FLT8-32W x 2L x 4'-CEE PS/PRS DIM H</t>
  </si>
  <si>
    <t xml:space="preserve">Fluorescent Linear T8 (32W x 2L x 4') 1 CEE Dimmable PS/PRS Ballast (0.95 &lt; BF &lt; 1.10) </t>
  </si>
  <si>
    <t>CEE PS/PRS DIM</t>
  </si>
  <si>
    <t>CEE Dimmable PS/PRS Ballast</t>
  </si>
  <si>
    <t>FLT8-32W x 2L x 4'-CEE PS/PRS DIM N</t>
  </si>
  <si>
    <t xml:space="preserve">Fluorescent Linear T8 (32W x 2L x 4') 1 CEE Dimmable PS/PRS Ballast (0.85 &lt; BF &lt; 0.95) </t>
  </si>
  <si>
    <t>FLT8-32W x 2L x 4'-CEE PS/PRS DIM R</t>
  </si>
  <si>
    <t xml:space="preserve">Fluorescent Linear T8 (32W x 2L x 4') 1 CEE Dimmable PS/PRS Ballast (0.75 &lt; BF &lt; 0.85) </t>
  </si>
  <si>
    <t>FLT8-32W x 2L x 4'-CEE PS/PRS DIM VH</t>
  </si>
  <si>
    <t xml:space="preserve">Fluorescent Linear T8 (32W x 2L x 4') 1 CEE Dimmable PS/PRS Ballast (BF &gt; 1.10) </t>
  </si>
  <si>
    <t>FLT8-32W x 2L x 4'-IS H</t>
  </si>
  <si>
    <t xml:space="preserve">Fluorescent Linear T8 (32W x 2L x 4') 1 Instant start Ballast (0.95 &lt; BF &lt; 1.10) </t>
  </si>
  <si>
    <t>FLT8-32W x 2L x 4'-IS N</t>
  </si>
  <si>
    <t xml:space="preserve">Fluorescent Linear T8 (32W x 2L x 4') 1 Instant start Ballast (0.85 &lt; BF &lt; 0.95) </t>
  </si>
  <si>
    <t>FLT8-32W x 2L x 4'-IS N T2</t>
  </si>
  <si>
    <t>Fluorescent Linear T8 (32W x 2L x 4') 1 Instant start Ballast (0.85 &lt; BF &lt; 0.95) Tandem - 2 Fixtures/Ballast</t>
  </si>
  <si>
    <t>FLT8-32W x 2L x 4'-IS N T4</t>
  </si>
  <si>
    <t>Fluorescent Linear T8 (32W x 2L x 4') 1 Instant start Ballast (0.85 &lt; BF &lt; 0.95) Tandem - 4 Fixtures/Ballast</t>
  </si>
  <si>
    <t>FLT8-32W x 2L x 4'-IS R</t>
  </si>
  <si>
    <t xml:space="preserve">Fluorescent Linear T8 (32W x 2L x 4') 1 Instant start Ballast (0.75 &lt; BF &lt; 0.85) </t>
  </si>
  <si>
    <t>FLT8-32W x 2L x 4'-IS R T4</t>
  </si>
  <si>
    <t>Fluorescent Linear T8 (32W x 2L x 4') 1 Instant start Ballast (0.75 &lt; BF &lt; 0.85) Tandem - 4 Fixtures/Ballast</t>
  </si>
  <si>
    <t>FLT8-32W x 2L x 4'-IS VH</t>
  </si>
  <si>
    <t xml:space="preserve">Fluorescent Linear T8 (32W x 2L x 4') 1 Instant start Ballast (BF &gt; 1.10) </t>
  </si>
  <si>
    <t>FLT8-32W x 2L x 4'-IS VH T2</t>
  </si>
  <si>
    <t>Fluorescent Linear T8 (32W x 2L x 4') 1 Instant start Ballast (BF &gt; 1.10) Tandem - 2 Fixtures/Ballast</t>
  </si>
  <si>
    <t>FLT8-32W x 2L x 4'-IS VH T3</t>
  </si>
  <si>
    <t>Fluorescent Linear T8 (32W x 2L x 4') 1 Instant start Ballast (BF &gt; 1.10) Tandem - 3 Fixtures/Ballast</t>
  </si>
  <si>
    <t>FLT8-32W x 2L x 4'-IS VR</t>
  </si>
  <si>
    <t xml:space="preserve">Fluorescent Linear T8 (32W x 2L x 4') 1 Instant start Ballast (BF &lt; 0.75) </t>
  </si>
  <si>
    <t>FLT8-32W x 2L x 4'-IS VR T2</t>
  </si>
  <si>
    <t>Fluorescent Linear T8 (32W x 2L x 4') 1 Instant start Ballast (BF &lt; 0.75) Tandem - 2 Fixtures/Ballast</t>
  </si>
  <si>
    <t>FLT8-32W x 2L x 4'-IS(E) H</t>
  </si>
  <si>
    <t xml:space="preserve">Fluorescent Linear T8 (32W x 2L x 4') 1 Efficient Instant Start Ballast (0.95 &lt; BF &lt; 1.10) </t>
  </si>
  <si>
    <t>FLT8-32W x 2L x 4'-IS(E) N</t>
  </si>
  <si>
    <t xml:space="preserve">Fluorescent Linear T8 (32W x 2L x 4') 1 Efficient Instant Start Ballast (0.85 &lt; BF &lt; 0.95) </t>
  </si>
  <si>
    <t>FLT8-32W x 2L x 4'-IS(E) N T4</t>
  </si>
  <si>
    <t>Fluorescent Linear T8 (32W x 2L x 4') 1 Efficient Instant Start Ballast (0.85 &lt; BF &lt; 0.95) Tandem - 4 Fixtures/Ballast</t>
  </si>
  <si>
    <t>FLT8-32W x 2L x 4'-IS(E) R</t>
  </si>
  <si>
    <t xml:space="preserve">Fluorescent Linear T8 (32W x 2L x 4') 1 Efficient Instant Start Ballast (0.75 &lt; BF &lt; 0.85) </t>
  </si>
  <si>
    <t>FLT8-32W x 2L x 4'-IS(E) R T4</t>
  </si>
  <si>
    <t>Fluorescent Linear T8 (32W x 2L x 4') 1 Efficient Instant Start Ballast (0.75 &lt; BF &lt; 0.85) Tandem - 4 Fixtures/Ballast</t>
  </si>
  <si>
    <t>FLT8-32W x 2L x 4'-IS(E) VH</t>
  </si>
  <si>
    <t xml:space="preserve">Fluorescent Linear T8 (32W x 2L x 4') 1 Efficient Instant Start Ballast (BF &gt; 1.10) </t>
  </si>
  <si>
    <t>FLT8-32W x 2L x 4'-MG</t>
  </si>
  <si>
    <t xml:space="preserve">Fluorescent Linear T8 (32W x 2L x 4') 1 Magnetic Ballast  </t>
  </si>
  <si>
    <t>FLT8-32W x 2L x 4'-RS/PRS H</t>
  </si>
  <si>
    <t xml:space="preserve">Fluorescent Linear T8 (32W x 2L x 4') 1 Rapid/Program Start Ballast (0.95 &lt; BF &lt; 1.10) </t>
  </si>
  <si>
    <t>FLT8-32W x 2L x 4'-RS/PRS N</t>
  </si>
  <si>
    <t xml:space="preserve">Fluorescent Linear T8 (32W x 2L x 4') 1 Rapid/Program Start Ballast (0.85 &lt; BF &lt; 0.95) </t>
  </si>
  <si>
    <t>FLT8-32W x 2L x 4'-RS/PRS N T2</t>
  </si>
  <si>
    <t>Fluorescent Linear T8 (32W x 2L x 4') 1 Rapid/Program Start Ballast (0.85 &lt; BF &lt; 0.95) Tandem - 2 Fixtures/Ballast</t>
  </si>
  <si>
    <t>FLT8-32W x 2L x 4'-RS/PRS N T4</t>
  </si>
  <si>
    <t>Fluorescent Linear T8 (32W x 2L x 4') 1 Rapid/Program Start Ballast (0.85 &lt; BF &lt; 0.95) Tandem - 4 Fixtures/Ballast</t>
  </si>
  <si>
    <t>FLT8-32W x 2L x 4'-RS/PRS R</t>
  </si>
  <si>
    <t xml:space="preserve">Fluorescent Linear T8 (32W x 2L x 4') 1 Rapid/Program Start Ballast (0.75 &lt; BF &lt; 0.85) </t>
  </si>
  <si>
    <t>FLT8-32W x 2L x 4'-RS/PRS R T4</t>
  </si>
  <si>
    <t>Fluorescent Linear T8 (32W x 2L x 4') 1 Rapid/Program Start Ballast (0.75 &lt; BF &lt; 0.85) Tandem - 4 Fixtures/Ballast</t>
  </si>
  <si>
    <t>FLT8-32W x 2L x 4'-RS/PRS VH</t>
  </si>
  <si>
    <t xml:space="preserve">Fluorescent Linear T8 (32W x 2L x 4') 1 Rapid/Program Start Ballast (BF &gt; 1.10) </t>
  </si>
  <si>
    <t>FLT8-32W x 2L x 4'-RS/PRS VH T2</t>
  </si>
  <si>
    <t>Fluorescent Linear T8 (32W x 2L x 4') 1 Rapid/Program Start Ballast (BF &gt; 1.10) Tandem - 2 Fixtures/Ballast</t>
  </si>
  <si>
    <t>FLT8-32W x 2L x 4'-RS/PRS VR</t>
  </si>
  <si>
    <t xml:space="preserve">Fluorescent Linear T8 (32W x 2L x 4') 1 Rapid/Program Start Ballast (BF &lt; 0.75) </t>
  </si>
  <si>
    <t>FLT8-32W x 2L x 4'-RS/PRS VR T2</t>
  </si>
  <si>
    <t>Fluorescent Linear T8 (32W x 2L x 4') 1 Rapid/Program Start Ballast (BF &lt; 0.75) Tandem - 2 Fixtures/Ballast</t>
  </si>
  <si>
    <t>FLT8-32W x 2L x 4'-RS/PRS(E) H</t>
  </si>
  <si>
    <t xml:space="preserve">Fluorescent Linear T8 (32W x 2L x 4') 1 Efficient Rapid/Program Start Ballast (0.95 &lt; BF &lt; 1.10) </t>
  </si>
  <si>
    <t>FLT8-32W x 2L x 4'-RS/PRS(E) N</t>
  </si>
  <si>
    <t xml:space="preserve">Fluorescent Linear T8 (32W x 2L x 4') 1 Efficient Rapid/Program Start Ballast (0.85 &lt; BF &lt; 0.95) </t>
  </si>
  <si>
    <t>FLT8-32W x 2L x 4'-RS/PRS(E) R</t>
  </si>
  <si>
    <t xml:space="preserve">Fluorescent Linear T8 (32W x 2L x 4') 1 Efficient Rapid/Program Start Ballast (0.75 &lt; BF &lt; 0.85) </t>
  </si>
  <si>
    <t>FLT8-32W x 2L x 4'-RS/PRS(E) VH</t>
  </si>
  <si>
    <t xml:space="preserve">Fluorescent Linear T8 (32W x 2L x 4') 1 Efficient Rapid/Program Start Ballast (BF &gt; 1.10) </t>
  </si>
  <si>
    <t>FLT8-32W x 2L x 4'-RS/PRS(E) VR</t>
  </si>
  <si>
    <t xml:space="preserve">Fluorescent Linear T8 (32W x 2L x 4') 1 Efficient Rapid/Program Start Ballast (BF &lt; 0.75) </t>
  </si>
  <si>
    <t>FLT8-32W x 3L x 4'-2 IS H</t>
  </si>
  <si>
    <t xml:space="preserve">Fluorescent Linear T8 (32W x 3L x 4') 2 Instant start Ballast (0.95 &lt; BF &lt; 1.10) </t>
  </si>
  <si>
    <t>FLT8-32W x 3L x 4'-2 IS N</t>
  </si>
  <si>
    <t xml:space="preserve">Fluorescent Linear T8 (32W x 3L x 4') 2 Instant start Ballast (0.85 &lt; BF &lt; 0.95) </t>
  </si>
  <si>
    <t>FLT8-32W x 3L x 4'-2 IS R</t>
  </si>
  <si>
    <t xml:space="preserve">Fluorescent Linear T8 (32W x 3L x 4') 2 Instant start Ballast (0.75 &lt; BF &lt; 0.85) </t>
  </si>
  <si>
    <t>FLT8-32W x 3L x 4'-2 RS/PRS N</t>
  </si>
  <si>
    <t xml:space="preserve">Fluorescent Linear T8 (32W x 3L x 4') 2 Rapid/Program Start Ballast (0.85 &lt; BF &lt; 0.95) </t>
  </si>
  <si>
    <t>FLT8-32W x 3L x 4'-CEE ISDIM N</t>
  </si>
  <si>
    <t xml:space="preserve">Fluorescent Linear T8 (32W x 3L x 4') 1 CEE Dimmable Instant Start Ballast (0.85 &lt; BF &lt; 0.95) </t>
  </si>
  <si>
    <t>FLT8-32W x 3L x 4'-CEE PS/PRS DIM H</t>
  </si>
  <si>
    <t xml:space="preserve">Fluorescent Linear T8 (32W x 3L x 4') 1 CEE Dimmable PS/PRS Ballast (0.95 &lt; BF &lt; 1.10) </t>
  </si>
  <si>
    <t>FLT8-32W x 3L x 4'-CEE PS/PRS DIM N</t>
  </si>
  <si>
    <t xml:space="preserve">Fluorescent Linear T8 (32W x 3L x 4') 1 CEE Dimmable PS/PRS Ballast (0.85 &lt; BF &lt; 0.95) </t>
  </si>
  <si>
    <t>FLT8-32W x 3L x 4'-CEE PS/PRS DIM R</t>
  </si>
  <si>
    <t xml:space="preserve">Fluorescent Linear T8 (32W x 3L x 4') 1 CEE Dimmable PS/PRS Ballast (0.75 &lt; BF &lt; 0.85) </t>
  </si>
  <si>
    <t>FLT8-32W x 3L x 4'-CEE PS/PRS DIM VH</t>
  </si>
  <si>
    <t xml:space="preserve">Fluorescent Linear T8 (32W x 3L x 4') 1 CEE Dimmable PS/PRS Ballast (BF &gt; 1.10) </t>
  </si>
  <si>
    <t>FLT8-32W x 3L x 4'-CEE PS/PRS DIM VR</t>
  </si>
  <si>
    <t xml:space="preserve">Fluorescent Linear T8 (32W x 3L x 4') 1 CEE Dimmable PS/PRS Ballast (BF &lt; 0.75) </t>
  </si>
  <si>
    <t>FLT8-32W x 3L x 4'-IS H</t>
  </si>
  <si>
    <t xml:space="preserve">Fluorescent Linear T8 (32W x 3L x 4') 1 Instant start Ballast (0.95 &lt; BF &lt; 1.10) </t>
  </si>
  <si>
    <t>FLT8-32W x 3L x 4'-IS N</t>
  </si>
  <si>
    <t xml:space="preserve">Fluorescent Linear T8 (32W x 3L x 4') 1 Instant start Ballast (0.85 &lt; BF &lt; 0.95) </t>
  </si>
  <si>
    <t>FLT8-32W x 3L x 4'-IS R</t>
  </si>
  <si>
    <t xml:space="preserve">Fluorescent Linear T8 (32W x 3L x 4') 1 Instant start Ballast (0.75 &lt; BF &lt; 0.85) </t>
  </si>
  <si>
    <t>FLT8-32W x 3L x 4'-IS R T2</t>
  </si>
  <si>
    <t>Fluorescent Linear T8 (32W x 3L x 4') 1 Instant start Ballast (0.75 &lt; BF &lt; 0.85) Tandem - 2 Fixtures/Ballast</t>
  </si>
  <si>
    <t>FLT8-32W x 3L x 4'-IS VH</t>
  </si>
  <si>
    <t xml:space="preserve">Fluorescent Linear T8 (32W x 3L x 4') 1 Instant start Ballast (BF &gt; 1.10) </t>
  </si>
  <si>
    <t>FLT8-32W x 3L x 4'-IS VH T2</t>
  </si>
  <si>
    <t>Fluorescent Linear T8 (32W x 3L x 4') 1 Instant start Ballast (BF &gt; 1.10) Tandem - 2 Fixtures/Ballast</t>
  </si>
  <si>
    <t>FLT8-32W x 3L x 4'-IS(E) H</t>
  </si>
  <si>
    <t xml:space="preserve">Fluorescent Linear T8 (32W x 3L x 4') 1 Efficient Instant Start Ballast (0.95 &lt; BF &lt; 1.10) </t>
  </si>
  <si>
    <t>FLT8-32W x 3L x 4'-IS(E) N</t>
  </si>
  <si>
    <t xml:space="preserve">Fluorescent Linear T8 (32W x 3L x 4') 1 Efficient Instant Start Ballast (0.85 &lt; BF &lt; 0.95) </t>
  </si>
  <si>
    <t>FLT8-32W x 3L x 4'-IS(E) R</t>
  </si>
  <si>
    <t xml:space="preserve">Fluorescent Linear T8 (32W x 3L x 4') 1 Efficient Instant Start Ballast (0.75 &lt; BF &lt; 0.85) </t>
  </si>
  <si>
    <t>FLT8-32W x 3L x 4'-IS(E) VH</t>
  </si>
  <si>
    <t xml:space="preserve">Fluorescent Linear T8 (32W x 3L x 4') 1 Efficient Instant Start Ballast (BF &gt; 1.10) </t>
  </si>
  <si>
    <t>FLT8-32W x 3L x 4'-MG</t>
  </si>
  <si>
    <t xml:space="preserve">Fluorescent Linear T8 (32W x 3L x 4') 1 Magnetic Ballast  </t>
  </si>
  <si>
    <t>FLT8-32W x 3L x 4'-RS/PRS H</t>
  </si>
  <si>
    <t xml:space="preserve">Fluorescent Linear T8 (32W x 3L x 4') 1 Rapid/Program Start Ballast (0.95 &lt; BF &lt; 1.10) </t>
  </si>
  <si>
    <t>FLT8-32W x 3L x 4'-RS/PRS N</t>
  </si>
  <si>
    <t xml:space="preserve">Fluorescent Linear T8 (32W x 3L x 4') 1 Rapid/Program Start Ballast (0.85 &lt; BF &lt; 0.95) </t>
  </si>
  <si>
    <t>FLT8-32W x 3L x 4'-RS/PRS R</t>
  </si>
  <si>
    <t xml:space="preserve">Fluorescent Linear T8 (32W x 3L x 4') 1 Rapid/Program Start Ballast (0.75 &lt; BF &lt; 0.85) </t>
  </si>
  <si>
    <t>FLT8-32W x 3L x 4'-RS/PRS VH</t>
  </si>
  <si>
    <t xml:space="preserve">Fluorescent Linear T8 (32W x 3L x 4') 1 Rapid/Program Start Ballast (BF &gt; 1.10) </t>
  </si>
  <si>
    <t>FLT8-32W x 3L x 4'-RS/PRS VR</t>
  </si>
  <si>
    <t xml:space="preserve">Fluorescent Linear T8 (32W x 3L x 4') 1 Rapid/Program Start Ballast (BF &lt; 0.75) </t>
  </si>
  <si>
    <t>FLT8-32W x 3L x 4'-RS/PRS(E) H</t>
  </si>
  <si>
    <t xml:space="preserve">Fluorescent Linear T8 (32W x 3L x 4') 1 Efficient Rapid/Program Start Ballast (0.95 &lt; BF &lt; 1.10) </t>
  </si>
  <si>
    <t>FLT8-32W x 3L x 4'-RS/PRS(E) N</t>
  </si>
  <si>
    <t xml:space="preserve">Fluorescent Linear T8 (32W x 3L x 4') 1 Efficient Rapid/Program Start Ballast (0.85 &lt; BF &lt; 0.95) </t>
  </si>
  <si>
    <t>FLT8-32W x 3L x 4'-RS/PRS(E) R</t>
  </si>
  <si>
    <t xml:space="preserve">Fluorescent Linear T8 (32W x 3L x 4') 1 Efficient Rapid/Program Start Ballast (0.75 &lt; BF &lt; 0.85) </t>
  </si>
  <si>
    <t>FLT8-32W x 3L x 4'-RS/PRS(E) VR</t>
  </si>
  <si>
    <t xml:space="preserve">Fluorescent Linear T8 (32W x 3L x 4') 1 Efficient Rapid/Program Start Ballast (BF &lt; 0.75) </t>
  </si>
  <si>
    <t>FLT8-32W x 4'-CEE PS/PRS DIM H</t>
  </si>
  <si>
    <t xml:space="preserve">Fluorescent Linear T8 (32W x 1L x 4') 1 CEE Dimmable PS/PRS Ballast (0.95 &lt; BF &lt; 1.10) </t>
  </si>
  <si>
    <t>FLT8-32W x 4'-CEE PS/PRS DIM N</t>
  </si>
  <si>
    <t xml:space="preserve">Fluorescent Linear T8 (32W x 1L x 4') 1 CEE Dimmable PS/PRS Ballast (0.85 &lt; BF &lt; 0.95) </t>
  </si>
  <si>
    <t>FLT8-32W x 4'-CEE PS/PRS DIM VH</t>
  </si>
  <si>
    <t xml:space="preserve">Fluorescent Linear T8 (32W x 1L x 4') 1 CEE Dimmable PS/PRS Ballast (BF &gt; 1.10) </t>
  </si>
  <si>
    <t>FLT8-32W x 4'-CEE PS/PRS DIM VR</t>
  </si>
  <si>
    <t xml:space="preserve">Fluorescent Linear T8 (32W x 1L x 4') 1 CEE Dimmable PS/PRS Ballast (BF &lt; 0.75) </t>
  </si>
  <si>
    <t>FLT8-32W x 4'-IS H</t>
  </si>
  <si>
    <t xml:space="preserve">Fluorescent Linear T8 (32W x 1L x 4') 1 Instant start Ballast (0.95 &lt; BF &lt; 1.10) </t>
  </si>
  <si>
    <t>FLT8-32W x 4'-IS H T2</t>
  </si>
  <si>
    <t>Fluorescent Linear T8 (32W x 1L x 4') 1 Instant start Ballast (0.95 &lt; BF &lt; 1.10) Tandem - 2 Fixtures/Ballast</t>
  </si>
  <si>
    <t>FLT8-32W x 4'-IS H T3</t>
  </si>
  <si>
    <t>Fluorescent Linear T8 (32W x 1L x 4') 1 Instant start Ballast (0.95 &lt; BF &lt; 1.10) Tandem - 3 Fixtures/Ballast</t>
  </si>
  <si>
    <t>FLT8-32W x 4'-IS N</t>
  </si>
  <si>
    <t xml:space="preserve">Fluorescent Linear T8 (32W x 1L x 4') 1 Instant start Ballast (0.85 &lt; BF &lt; 0.95) </t>
  </si>
  <si>
    <t>FLT8-32W x 4'-IS N T2</t>
  </si>
  <si>
    <t>Fluorescent Linear T8 (32W x 1L x 4') 1 Instant start Ballast (0.85 &lt; BF &lt; 0.95) Tandem - 2 Fixtures/Ballast</t>
  </si>
  <si>
    <t>FLT8-32W x 4'-IS N T3</t>
  </si>
  <si>
    <t>Fluorescent Linear T8 (32W x 1L x 4') 1 Instant start Ballast (0.85 &lt; BF &lt; 0.95) Tandem - 3 Fixtures/Ballast</t>
  </si>
  <si>
    <t>FLT8-32W x 4'-IS N T4</t>
  </si>
  <si>
    <t>Fluorescent Linear T8 (32W x 1L x 4') 1 Instant start Ballast (0.85 &lt; BF &lt; 0.95) Tandem - 4 Fixtures/Ballast</t>
  </si>
  <si>
    <t>FLT8-32W x 4'-IS R</t>
  </si>
  <si>
    <t xml:space="preserve">Fluorescent Linear T8 (32W x 1L x 4') 1 Instant start Ballast (0.75 &lt; BF &lt; 0.85) </t>
  </si>
  <si>
    <t>FLT8-32W x 4'-IS R T2</t>
  </si>
  <si>
    <t>Fluorescent Linear T8 (32W x 1L x 4') 1 Instant start Ballast (0.75 &lt; BF &lt; 0.85) Tandem - 2 Fixtures/Ballast</t>
  </si>
  <si>
    <t>FLT8-32W x 4'-IS R T3</t>
  </si>
  <si>
    <t>Fluorescent Linear T8 (32W x 1L x 4') 1 Instant start Ballast (0.75 &lt; BF &lt; 0.85) Tandem - 3 Fixtures/Ballast</t>
  </si>
  <si>
    <t>FLT8-32W x 4'-IS R T4</t>
  </si>
  <si>
    <t>Fluorescent Linear T8 (32W x 1L x 4') 1 Instant start Ballast (0.75 &lt; BF &lt; 0.85) Tandem - 4 Fixtures/Ballast</t>
  </si>
  <si>
    <t>FLT8-32W x 4'-IS VH</t>
  </si>
  <si>
    <t xml:space="preserve">Fluorescent Linear T8 (32W x 1L x 4') 1 Instant start Ballast (BF &gt; 1.10) </t>
  </si>
  <si>
    <t>FLT8-32W x 4'-IS VH T2</t>
  </si>
  <si>
    <t>Fluorescent Linear T8 (32W x 1L x 4') 1 Instant start Ballast (BF &gt; 1.10) Tandem - 2 Fixtures/Ballast</t>
  </si>
  <si>
    <t>FLT8-32W x 4'-IS VH T4</t>
  </si>
  <si>
    <t>Fluorescent Linear T8 (32W x 1L x 4') 1 Instant start Ballast (BF &gt; 1.10) Tandem - 4 Fixtures/Ballast</t>
  </si>
  <si>
    <t>FLT8-32W x 4'-IS VR</t>
  </si>
  <si>
    <t xml:space="preserve">Fluorescent Linear T8 (32W x 1L x 4') 1 Instant start Ballast (BF &lt; 0.75) </t>
  </si>
  <si>
    <t>FLT8-32W x 4'-IS VR T2</t>
  </si>
  <si>
    <t>Fluorescent Linear T8 (32W x 1L x 4') 1 Instant start Ballast (BF &lt; 0.75) Tandem - 2 Fixtures/Ballast</t>
  </si>
  <si>
    <t>FLT8-32W x 4'-IS VR T4</t>
  </si>
  <si>
    <t>Fluorescent Linear T8 (32W x 1L x 4') 1 Instant start Ballast (BF &lt; 0.75) Tandem - 4 Fixtures/Ballast</t>
  </si>
  <si>
    <t>FLT8-32W x 4'-IS(E) H</t>
  </si>
  <si>
    <t xml:space="preserve">Fluorescent Linear T8 (32W x 1L x 4') 1 Efficient Instant Start Ballast (0.95 &lt; BF &lt; 1.10) </t>
  </si>
  <si>
    <t>FLT8-32W x 4'-IS(E) N</t>
  </si>
  <si>
    <t xml:space="preserve">Fluorescent Linear T8 (32W x 1L x 4') 1 Efficient Instant Start Ballast (0.85 &lt; BF &lt; 0.95) </t>
  </si>
  <si>
    <t>FLT8-32W x 4'-IS(E) N T2</t>
  </si>
  <si>
    <t>Fluorescent Linear T8 (32W x 1L x 4') 1 Efficient Instant Start Ballast (0.85 &lt; BF &lt; 0.95) Tandem - 2 Fixtures/Ballast</t>
  </si>
  <si>
    <t>FLT8-32W x 4'-IS(E) N T3</t>
  </si>
  <si>
    <t>Fluorescent Linear T8 (32W x 1L x 4') 1 Efficient Instant Start Ballast (0.85 &lt; BF &lt; 0.95) Tandem - 3 Fixtures/Ballast</t>
  </si>
  <si>
    <t>FLT8-32W x 4'-IS(E) N T4</t>
  </si>
  <si>
    <t>Fluorescent Linear T8 (32W x 1L x 4') 1 Efficient Instant start Ballast (0.85 &lt; BF &lt; 0.95) Tandem - 4 Fixtures/Ballast</t>
  </si>
  <si>
    <t>FLT8-32W x 4'-IS(E) R</t>
  </si>
  <si>
    <t xml:space="preserve">Fluorescent Linear T8 (32W x 1L x 4') 1 Efficient Instant Start Ballast (0.75 &lt; BF &lt; 0.85) </t>
  </si>
  <si>
    <t>FLT8-32W x 4'-IS(E) R T2</t>
  </si>
  <si>
    <t>Fluorescent Linear T8 (32W x 1L x 4') 1 Efficient Instant Start Ballast (0.75 &lt; BF &lt; 0.85) Tandem - 2 Fixtures/Ballast</t>
  </si>
  <si>
    <t>FLT8-32W x 4'-IS(E) R T3</t>
  </si>
  <si>
    <t>Fluorescent Linear T8 (32W x 1L x 4') 1 Efficient Instant Start Ballast (0.75 &lt; BF &lt; 0.85) Tandem - 3 Fixtures/Ballast</t>
  </si>
  <si>
    <t>FLT8-32W x 4'-IS(E) R T4</t>
  </si>
  <si>
    <t>Fluorescent Linear T8 (32W x 1L x 4') 1 Efficient Instant Start Ballast (0.75 &lt; BF &lt; 0.85) Tandem - 4 Fixtures/Ballast</t>
  </si>
  <si>
    <t>FLT8-32W x 4'-IS(E) VH</t>
  </si>
  <si>
    <t xml:space="preserve">Fluorescent Linear T8 (32W x 1L x 4') 1 Efficient Instant Start Ballast (BF &gt; 1.10) </t>
  </si>
  <si>
    <t>FLT8-32W x 4L x 4'-2 IS H</t>
  </si>
  <si>
    <t xml:space="preserve">Fluorescent Linear T8 (32W x 4L x 4') 2 Instant start Ballast (0.95 &lt; BF &lt; 1.10) </t>
  </si>
  <si>
    <t>FLT8-32W x 4L x 4'-2 IS N</t>
  </si>
  <si>
    <t xml:space="preserve">Fluorescent Linear T8 (32W x 4L x 4') 2 Instant start Ballast (0.85 &lt; BF &lt; 0.95) </t>
  </si>
  <si>
    <t>FLT8-32W x 4L x 4'-2 IS R</t>
  </si>
  <si>
    <t xml:space="preserve">Fluorescent Linear T8 (32W x 4L x 4') 2 Instant start Ballast (0.75 &lt; BF &lt; 0.85) </t>
  </si>
  <si>
    <t>FLT8-32W x 4L x 4'-2 IS VH</t>
  </si>
  <si>
    <t xml:space="preserve">Fluorescent Linear T8 (32W x 4L x 4') 2 Instant start Ballast (BF &gt; 1.10) </t>
  </si>
  <si>
    <t>FLT8-32W x 4L x 4'-2 RS/PRS N</t>
  </si>
  <si>
    <t xml:space="preserve">Fluorescent Linear T8 (32W x 4L x 4') 2 Rapid/Program Start Ballast (0.85 &lt; BF &lt; 0.95) </t>
  </si>
  <si>
    <t>FLT8-32W x 4L x 4'-CEE ISDIM VH</t>
  </si>
  <si>
    <t xml:space="preserve">Fluorescent Linear T8 (32W x 4L x 4') 1 CEE Dimmable Instant Start Ballast (BF &gt; 1.10) </t>
  </si>
  <si>
    <t>FLT8-32W x 4L x 4'-CEE PS/PRS DIM N</t>
  </si>
  <si>
    <t xml:space="preserve">Fluorescent Linear T8 (32W x 4L x 4') 1 CEE Dimmable PS/PRS Ballast (0.85 &lt; BF &lt; 0.95) </t>
  </si>
  <si>
    <t>FLT8-32W x 4L x 4'-CEE PS/PRS DIM VH</t>
  </si>
  <si>
    <t xml:space="preserve">Fluorescent Linear T8 (32W x 4L x 4') 1 CEE Dimmable PS/PRS Ballast (BF &gt; 1.10) </t>
  </si>
  <si>
    <t>FLT8-32W x 4L x 4'-CEE PS/PRS DIM VR</t>
  </si>
  <si>
    <t xml:space="preserve">Fluorescent Linear T8 (32W x 4L x 4') 1 CEE Dimmable PS/PRS Ballast (BF &lt; 0.75) </t>
  </si>
  <si>
    <t>FLT8-32W x 4L x 4'-IS H</t>
  </si>
  <si>
    <t xml:space="preserve">Fluorescent Linear T8 (32W x 4L x 4') 1 Instant start Ballast (0.95 &lt; BF &lt; 1.10) </t>
  </si>
  <si>
    <t>FLT8-32W x 4L x 4'-IS N</t>
  </si>
  <si>
    <t xml:space="preserve">Fluorescent Linear T8 (32W x 4L x 4') 1 Instant start Ballast (0.85 &lt; BF &lt; 0.95) </t>
  </si>
  <si>
    <t>FLT8-32W x 4L x 4'-IS R</t>
  </si>
  <si>
    <t xml:space="preserve">Fluorescent Linear T8 (32W x 4L x 4') 1 Instant start Ballast (0.75 &lt; BF &lt; 0.85) </t>
  </si>
  <si>
    <t>FLT8-32W x 4L x 4'-IS VH</t>
  </si>
  <si>
    <t xml:space="preserve">Fluorescent Linear T8 (32W x 4L x 4') 1 Instant start Ballast (BF &gt; 1.10) </t>
  </si>
  <si>
    <t>FLT8-32W x 4L x 4'-IS VR</t>
  </si>
  <si>
    <t xml:space="preserve">Fluorescent Linear T8 (32W x 4L x 4') 1 Instant start Ballast (BF &lt; 0.75) </t>
  </si>
  <si>
    <t>FLT8-32W x 4L x 4'-IS(E) N</t>
  </si>
  <si>
    <t xml:space="preserve">Fluorescent Linear T8 (32W x 4L x 4') 1 Efficient Instant Start Ballast (0.85 &lt; BF &lt; 0.95) </t>
  </si>
  <si>
    <t>FLT8-32W x 4L x 4'-IS(E) R</t>
  </si>
  <si>
    <t xml:space="preserve">Fluorescent Linear T8 (32W x 4L x 4') 1 Efficient Instant Start Ballast (0.75 &lt; BF &lt; 0.85) </t>
  </si>
  <si>
    <t>FLT8-32W x 4L x 4'-IS(E) VH</t>
  </si>
  <si>
    <t xml:space="preserve">Fluorescent Linear T8 (32W x 4L x 4') 1 Efficient Instant Start Ballast (BF &gt; 1.10) </t>
  </si>
  <si>
    <t>FLT8-32W x 4L x 4'-MG</t>
  </si>
  <si>
    <t xml:space="preserve">Fluorescent Linear T8 (32W x 4L x 4') 1 Magnetic Ballast  </t>
  </si>
  <si>
    <t>FLT8-32W x 4L x 4'-RS/PRS N</t>
  </si>
  <si>
    <t xml:space="preserve">Fluorescent Linear T8 (32W x 4L x 4') 1 Rapid/Program Start Ballast (0.85 &lt; BF &lt; 0.95) </t>
  </si>
  <si>
    <t>FLT8-32W x 4L x 4'-RS/PRS R</t>
  </si>
  <si>
    <t xml:space="preserve">Fluorescent Linear T8 (32W x 4L x 4') 1 Rapid/Program Start Ballast (0.75 &lt; BF &lt; 0.85) </t>
  </si>
  <si>
    <t>FLT8-32W x 4L x 4'-RS/PRS VH</t>
  </si>
  <si>
    <t xml:space="preserve">Fluorescent Linear T8 (32W x 4L x 4') 1 Rapid/Program Start Ballast (BF &gt; 1.10) </t>
  </si>
  <si>
    <t>FLT8-32W x 4L x 4'-RS/PRS VR</t>
  </si>
  <si>
    <t xml:space="preserve">Fluorescent Linear T8 (32W x 4L x 4') 1 Rapid/Program Start Ballast (BF &lt; 0.75) </t>
  </si>
  <si>
    <t>FLT8-32W x 4L x 4'-RS/PRS(E) N</t>
  </si>
  <si>
    <t xml:space="preserve">Fluorescent Linear T8 (32W x 4L x 4') 1 Efficient Rapid/Program Start Ballast (0.85 &lt; BF &lt; 0.95) </t>
  </si>
  <si>
    <t>FLT8-32W x 4L x 4'-RS/PRS(E) VR</t>
  </si>
  <si>
    <t xml:space="preserve">Fluorescent Linear T8 (32W x 4L x 4') 1 Efficient Rapid/Program Start Ballast (BF &lt; 0.75) </t>
  </si>
  <si>
    <t>FLT8-32W x 4'-MG</t>
  </si>
  <si>
    <t xml:space="preserve">Fluorescent Linear T8 (32W x 1L x 4') 1 Magnetic Ballast  </t>
  </si>
  <si>
    <t>FLT8-32W x 4'-RS/PRS H</t>
  </si>
  <si>
    <t xml:space="preserve">Fluorescent Linear T8 (32W x 1L x 4') 1 Rapid/Program Start Ballast (0.95 &lt; BF &lt; 1.10) </t>
  </si>
  <si>
    <t>FLT8-32W x 4'-RS/PRS H T2</t>
  </si>
  <si>
    <t>Fluorescent Linear T8 (32W x 1L x 4') 1 Rapid/Program Start Ballast (0.95 &lt; BF &lt; 1.10) Tandem - 2 Fixtures/Ballast</t>
  </si>
  <si>
    <t>FLT8-32W x 4'-RS/PRS H T3</t>
  </si>
  <si>
    <t>Fluorescent Linear T8 (32W x 1L x 4') 1 Rapid/Program Start Ballast (0.95 &lt; BF &lt; 1.10) Tandem - 3 Fixtures/Ballast</t>
  </si>
  <si>
    <t>FLT8-32W x 4'-RS/PRS N</t>
  </si>
  <si>
    <t xml:space="preserve">Fluorescent Linear T8 (32W x 1L x 4') 1 Rapid/Program Start Ballast (0.85 &lt; BF &lt; 0.95) </t>
  </si>
  <si>
    <t>FLT8-32W x 4'-RS/PRS N T2</t>
  </si>
  <si>
    <t>Fluorescent Linear T8 (32W x 1L x 4') 1 Rapid/Program Start Ballast (0.85 &lt; BF &lt; 0.95) Tandem - 2 Fixtures/Ballast</t>
  </si>
  <si>
    <t>FLT8-32W x 4'-RS/PRS N T3</t>
  </si>
  <si>
    <t>Fluorescent Linear T8 (32W x 1L x 4') 1 Rapid/Program Start Ballast (0.85 &lt; BF &lt; 0.95) Tandem - 3 Fixtures/Ballast</t>
  </si>
  <si>
    <t>FLT8-32W x 4'-RS/PRS N T4</t>
  </si>
  <si>
    <t>Fluorescent Linear T8 (32W x 1L x 4') 1 Rapid/Program Start Ballast (0.85 &lt; BF &lt; 0.95) Tandem - 4 Fixtures/Ballast</t>
  </si>
  <si>
    <t>FLT8-32W x 4'-RS/PRS R</t>
  </si>
  <si>
    <t xml:space="preserve">Fluorescent Linear T8 (32W x 1L x 4') 1 Rapid/Program Start Ballast (0.75 &lt; BF &lt; 0.85) </t>
  </si>
  <si>
    <t>FLT8-32W x 4'-RS/PRS R T2</t>
  </si>
  <si>
    <t>Fluorescent Linear T8 (32W x 1L x 4') 1 Rapid/Program Start Ballast (0.75 &lt; BF &lt; 0.85) Tandem - 2 Fixtures/Ballast</t>
  </si>
  <si>
    <t>FLT8-32W x 4'-RS/PRS R T3</t>
  </si>
  <si>
    <t>Fluorescent Linear T8 (32W x 1L x 4') 1 Rapid/Program Start Ballast (0.75 &lt; BF &lt; 0.85) Tandem - 3 Fixtures/Ballast</t>
  </si>
  <si>
    <t>FLT8-32W x 4'-RS/PRS R T4</t>
  </si>
  <si>
    <t>Fluorescent Linear T8 (32W x 1L x 4') 1 Rapid/Program Start Ballast (0.75 &lt; BF &lt; 0.85) Tandem - 4 Fixtures/Ballast</t>
  </si>
  <si>
    <t>FLT8-32W x 4'-RS/PRS VH</t>
  </si>
  <si>
    <t xml:space="preserve">Fluorescent Linear T8 (32W x 1L x 4') 1 Rapid/Program Start Ballast (BF &gt; 1.10) </t>
  </si>
  <si>
    <t>FLT8-32W x 4'-RS/PRS VH T2</t>
  </si>
  <si>
    <t>Fluorescent Linear T8 (32W x 1L x 4') 1 Rapid/Program Start Ballast (BF &gt; 1.10) Tandem - 2 Fixtures/Ballast</t>
  </si>
  <si>
    <t>FLT8-32W x 4'-RS/PRS VH T3</t>
  </si>
  <si>
    <t>Fluorescent Linear T8 (32W x 1L x 4') 1 Rapid/Program Start Ballast (BF &gt; 1.10) Tandem - 3 Fixtures/Ballast</t>
  </si>
  <si>
    <t>FLT8-32W x 4'-RS/PRS VH T4</t>
  </si>
  <si>
    <t>Fluorescent Linear T8 (32W x 1L x 4') 1 Rapid/Program Start Ballast (BF &gt; 1.10) Tandem - 4 Fixtures/Ballast</t>
  </si>
  <si>
    <t>FLT8-32W x 4'-RS/PRS VR</t>
  </si>
  <si>
    <t xml:space="preserve">Fluorescent Linear T8 (32W x 1L x 4') 1 Rapid/Program Start Ballast (BF &lt; 0.75) </t>
  </si>
  <si>
    <t>FLT8-32W x 4'-RS/PRS VR T2</t>
  </si>
  <si>
    <t>Fluorescent Linear T8 (32W x 1L x 4') 1 Rapid/Program Start Ballast (BF &lt; 0.75) Tandem - 2 Fixtures/Ballast</t>
  </si>
  <si>
    <t>FLT8-32W x 4'-RS/PRS VR T3</t>
  </si>
  <si>
    <t>Fluorescent Linear T8 (32W x 1L x 4') 1 Rapid/Program Start Ballast (BF &lt; 0.75) Tandem - 3 Fixtures/Ballast</t>
  </si>
  <si>
    <t>FLT8-32W x 4'-RS/PRS VR T4</t>
  </si>
  <si>
    <t>Fluorescent Linear T8 (32W x 1L x 4') 1 Rapid/Program Start Ballast (BF &lt; 0.75) Tandem - 4 Fixtures/Ballast</t>
  </si>
  <si>
    <t>FLT8-32W x 4'-RS/PRS(E) H</t>
  </si>
  <si>
    <t xml:space="preserve">Fluorescent Linear T8 (32W x 1L x 4') 1 Efficient Rapid/Program Start Ballast (0.95 &lt; BF &lt; 1.10) </t>
  </si>
  <si>
    <t>FLT8-32W x 4'-RS/PRS(E) N</t>
  </si>
  <si>
    <t xml:space="preserve">Fluorescent Linear T8 (32W x 1L x 4') 1 Efficient Rapid/Program Start Ballast (0.85 &lt; BF &lt; 0.95) </t>
  </si>
  <si>
    <t>FLT8-32W x 4'-RS/PRS(E) N T2</t>
  </si>
  <si>
    <t>Fluorescent Linear T8 (32W x 1L x 4') 1 Efficient Rapid/Program Start Ballast (0.85 &lt; BF &lt; 0.95) Tandem - 2 Fixtures/Ballast</t>
  </si>
  <si>
    <t>FLT8-32W x 4'-RS/PRS(E) N T3</t>
  </si>
  <si>
    <t>Fluorescent Linear T8 (32W x 1L x 4') 1 Efficient Rapid/Program Start Ballast (0.85 &lt; BF &lt; 0.95) Tandem - 3 Fixtures/Ballast</t>
  </si>
  <si>
    <t>FLT8-32W x 4'-RS/PRS(E) N T4</t>
  </si>
  <si>
    <t>Fluorescent Linear T8 (32W x 1L x 4') 1 Efficient Rapid/Program Start Ballast (0.85 &lt; BF &lt; 0.95) Tandem - 4 Fixtures/Ballast</t>
  </si>
  <si>
    <t>FLT8-32W x 4'-RS/PRS(E) R T2</t>
  </si>
  <si>
    <t>Fluorescent Linear T8 (32W x 1L x 4') 1 Efficient Rapid/Program Start Ballast (0.75 &lt; BF &lt; 0.85) Tandem - 2 Fixtures/Ballast</t>
  </si>
  <si>
    <t>FLT8-32W x 4'-RS/PRS(E) R T3</t>
  </si>
  <si>
    <t>Fluorescent Linear T8 (32W x 1L x 4') 1 Efficient Rapid/Program Start Ballast (0.75 &lt; BF &lt; 0.85) Tandem - 3 Fixtures/Ballast</t>
  </si>
  <si>
    <t>FLT8-32W x 4'-RS/PRS(E) VR</t>
  </si>
  <si>
    <t xml:space="preserve">Fluorescent Linear T8 (32W x 1L x 4') 1 Efficient Rapid/Program Start Ballast (BF &lt; 0.75) </t>
  </si>
  <si>
    <t>FLT8-32W x 5L x 4'-2 IS N</t>
  </si>
  <si>
    <t xml:space="preserve">Fluorescent Linear T8 (32W x 5L x 4') 2 Instant start Ballast (0.85 &lt; BF &lt; 0.95) </t>
  </si>
  <si>
    <t>FLT8-32W x 6L x 4'-2 IS H</t>
  </si>
  <si>
    <t xml:space="preserve">Fluorescent Linear T8 (32W x 6L x 4') 2 Instant start Ballast (0.95 &lt; BF &lt; 1.10) </t>
  </si>
  <si>
    <t>FLT8-32W x 6L x 4'-2 IS N</t>
  </si>
  <si>
    <t xml:space="preserve">Fluorescent Linear T8 (32W x 6L x 4') 2 Instant start Ballast (0.85 &lt; BF &lt; 0.95) </t>
  </si>
  <si>
    <t>FLT8-32W x 6L x 4'-2 IS R</t>
  </si>
  <si>
    <t xml:space="preserve">Fluorescent Linear T8 (32W x 6L x 4') 2 Instant start Ballast (0.75 &lt; BF &lt; 0.85) </t>
  </si>
  <si>
    <t>FLT8-32W x 6L x 4'-2 IS VH</t>
  </si>
  <si>
    <t xml:space="preserve">Fluorescent Linear T8 (32W x 6L x 4') 2 Instant start Ballast (BF &gt; 1.10) </t>
  </si>
  <si>
    <t>FLT8-32W x 6L x 4'-2 IS(E) H</t>
  </si>
  <si>
    <t xml:space="preserve">Fluorescent Linear T8 (32W x 6L x 4') 2 Efficient Instant Start Ballast (0.95 &lt; BF &lt; 1.10) </t>
  </si>
  <si>
    <t>FLT8-32W x 6L x 4'-2 IS(E) N</t>
  </si>
  <si>
    <t xml:space="preserve">Fluorescent Linear T8 (32W x 6L x 4') 2 Efficient Instant Start Ballast (0.85 &lt; BF &lt; 0.95) </t>
  </si>
  <si>
    <t>FLT8-32W x 6L x 4'-2 IS(E) R</t>
  </si>
  <si>
    <t xml:space="preserve">Fluorescent Linear T8 (32W x 6L x 4') 2 Efficient Instant Start Ballast (0.75 &lt; BF &lt; 0.85) </t>
  </si>
  <si>
    <t>FLT8-32W x 6L x 4'-2 RS/PRS N</t>
  </si>
  <si>
    <t xml:space="preserve">Fluorescent Linear T8 (32W x 6L x 4') 2 Rapid/Program Start Ballast (0.85 &lt; BF &lt; 0.95) </t>
  </si>
  <si>
    <t>FLT8-32W x 6L x 4'-2 RS/PRS VH</t>
  </si>
  <si>
    <t xml:space="preserve">Fluorescent Linear T8 (32W x 6L x 4') 2 Rapid/Program Start Ballast (BF &gt; 1.10) </t>
  </si>
  <si>
    <t>FLT8-32W x 6L x 4'-2 RS/PRS VR</t>
  </si>
  <si>
    <t xml:space="preserve">Fluorescent Linear T8 (32W x 6L x 4') 2 Rapid/Program Start Ballast (BF &lt; 0.75) </t>
  </si>
  <si>
    <t>FLT8-32W x 6L x 4'-IS R</t>
  </si>
  <si>
    <t xml:space="preserve">Fluorescent Linear T8 (32W x 6L x 4') 1 Instant start Ballast (0.75 &lt; BF &lt; 0.85) </t>
  </si>
  <si>
    <t>FLT8-32W x 6L x 4'-IS VH</t>
  </si>
  <si>
    <t xml:space="preserve">Fluorescent Linear T8 (32W x 6L x 4') 1 Instant start Ballast (BF &gt; 1.10) </t>
  </si>
  <si>
    <t>FLT8-32W x 6L x 4'-RS/PRS N</t>
  </si>
  <si>
    <t xml:space="preserve">Fluorescent Linear T8 (32W x 6L x 4') 1 Rapid/Program Start Ballast (0.85 &lt; BF &lt; 0.95) </t>
  </si>
  <si>
    <t>FLT8-32W x 6L x 4'-RS/PRS VH</t>
  </si>
  <si>
    <t xml:space="preserve">Fluorescent Linear T8 (32W x 6L x 4') 1 Rapid/Program Start Ballast (BF &gt; 1.10) </t>
  </si>
  <si>
    <t>FLT8-32W x 6L x 4'-RS/PRS VR</t>
  </si>
  <si>
    <t xml:space="preserve">Fluorescent Linear T8 (32W x 6L x 4') 1 Rapid/Program Start Ballast (BF &lt; 0.75) </t>
  </si>
  <si>
    <t>FLT8-32W x 8L x 4'-2 IS H</t>
  </si>
  <si>
    <t xml:space="preserve">Fluorescent Linear T8 (32W x 8L x 4') 2 Instant start Ballast (0.95 &lt; BF &lt; 1.10) </t>
  </si>
  <si>
    <t>FLT8-32W x 8L x 4'-2 IS N</t>
  </si>
  <si>
    <t xml:space="preserve">Fluorescent Linear T8 (32W x 8L x 4') 2 Instant start Ballast (0.85 &lt; BF &lt; 0.95) </t>
  </si>
  <si>
    <t>FLT8-32W x 8L x 4'-2 IS R</t>
  </si>
  <si>
    <t xml:space="preserve">Fluorescent Linear T8 (32W x 8L x 4') 2 Instant start Ballast (0.75 &lt; BF &lt; 0.85) </t>
  </si>
  <si>
    <t>FLT8-32W x 8L x 4'-2 IS VH</t>
  </si>
  <si>
    <t xml:space="preserve">Fluorescent Linear T8 (32W x 8L x 4') 2 Instant start Ballast (BF &gt; 1.10) </t>
  </si>
  <si>
    <t>FLT8-32W x 8L x 4'-2 RS/PRS N</t>
  </si>
  <si>
    <t xml:space="preserve">Fluorescent Linear T8 (32W x 8L x 4') 2 Rapid/Program Start Ballast (0.85 &lt; BF &lt; 0.95) </t>
  </si>
  <si>
    <t>FLT8-32W x 8L x 4'-2 RS/PRS VH</t>
  </si>
  <si>
    <t xml:space="preserve">Fluorescent Linear T8 (32W x 8L x 4') 2 Rapid/Program Start Ballast (BF &gt; 1.10) </t>
  </si>
  <si>
    <t>FLT8-32W x 8L x 4'-2 RS/PRS VR</t>
  </si>
  <si>
    <t xml:space="preserve">Fluorescent Linear T8 (32W x 8L x 4') 2 Rapid/Program Start Ballast (BF &lt; 0.75) </t>
  </si>
  <si>
    <t>FLT8-40W x 2L x 5'-IS H</t>
  </si>
  <si>
    <t xml:space="preserve">Fluorescent Linear T8 (40W x 2L x 5') 1 Instant start Ballast (0.95 &lt; BF &lt; 1.10) </t>
  </si>
  <si>
    <t>FLT8-40W x 2L x 5'-IS N</t>
  </si>
  <si>
    <t xml:space="preserve">Fluorescent Linear T8 (40W x 2L x 5') 1 Instant start Ballast (0.85 &lt; BF &lt; 0.95) </t>
  </si>
  <si>
    <t>FLT8-40W x 2L x 5'-IS N T4</t>
  </si>
  <si>
    <t>Fluorescent Linear T8 (40W x 2L x 5') 1 Instant start Ballast (0.85 &lt; BF &lt; 0.95) Tandem - 4 Fixtures/Ballast</t>
  </si>
  <si>
    <t>FLT8-40W x 2L x 5'-IS R</t>
  </si>
  <si>
    <t xml:space="preserve">Fluorescent Linear T8 (40W x 2L x 5') 1 Instant start Ballast (0.75 &lt; BF &lt; 0.85) </t>
  </si>
  <si>
    <t>FLT8-40W x 2L x 5'-IS VH</t>
  </si>
  <si>
    <t xml:space="preserve">Fluorescent Linear T8 (40W x 2L x 5') 1 Instant start Ballast (BF &gt; 1.10) </t>
  </si>
  <si>
    <t>FLT8-40W x 2L x 5'-IS(E) N</t>
  </si>
  <si>
    <t xml:space="preserve">Fluorescent Linear T8 (40W x 2L x 5') 1 Efficient Instant Start Ballast (0.85 &lt; BF &lt; 0.95) </t>
  </si>
  <si>
    <t>FLT8-40W x 2L x 5'-IS(E) R</t>
  </si>
  <si>
    <t xml:space="preserve">Fluorescent Linear T8 (40W x 2L x 5') 1 Efficient Instant Start Ballast (0.75 &lt; BF &lt; 0.85) </t>
  </si>
  <si>
    <t>FLT8-40W x 3L x 5'-IS H</t>
  </si>
  <si>
    <t xml:space="preserve">Fluorescent Linear T8 (40W x 3L x 5') 1 Instant start Ballast (0.95 &lt; BF &lt; 1.10) </t>
  </si>
  <si>
    <t>FLT8-40W x 3L x 5'-IS N</t>
  </si>
  <si>
    <t xml:space="preserve">Fluorescent Linear T8 (40W x 3L x 5') 1 Instant start Ballast (0.85 &lt; BF &lt; 0.95) </t>
  </si>
  <si>
    <t>FLT8-40W x 3L x 5'-IS R</t>
  </si>
  <si>
    <t xml:space="preserve">Fluorescent Linear T8 (40W x 3L x 5') 1 Instant start Ballast (0.75 &lt; BF &lt; 0.85) </t>
  </si>
  <si>
    <t>FLT8-40W x 3L x 5'-IS VH</t>
  </si>
  <si>
    <t xml:space="preserve">Fluorescent Linear T8 (40W x 3L x 5') 1 Instant start Ballast (BF &gt; 1.10) </t>
  </si>
  <si>
    <t>FLT8-40W x 3L x 5'-IS(E) N</t>
  </si>
  <si>
    <t xml:space="preserve">Fluorescent Linear T8 (40W x 3L x 5') 1 Efficient Instant Start Ballast (0.85 &lt; BF &lt; 0.95) </t>
  </si>
  <si>
    <t>FLT8-40W x 4L x 5'-IS H</t>
  </si>
  <si>
    <t xml:space="preserve">Fluorescent Linear T8 (40W x 4L x 5') 1 Instant start Ballast (0.95 &lt; BF &lt; 1.10) </t>
  </si>
  <si>
    <t>FLT8-40W x 4L x 5'-IS N</t>
  </si>
  <si>
    <t xml:space="preserve">Fluorescent Linear T8 (40W x 4L x 5') 1 Instant start Ballast (0.85 &lt; BF &lt; 0.95) </t>
  </si>
  <si>
    <t>FLT8-40W x 5'-IS H</t>
  </si>
  <si>
    <t xml:space="preserve">Fluorescent Linear T8 (40W x 1L x 5') 1 Instant start Ballast (0.95 &lt; BF &lt; 1.10) </t>
  </si>
  <si>
    <t>FLT8-40W x 5'-IS N</t>
  </si>
  <si>
    <t xml:space="preserve">Fluorescent Linear T8 (40W x 1L x 5') 1 Instant start Ballast (0.85 &lt; BF &lt; 0.95) </t>
  </si>
  <si>
    <t>FLT8-40W x 5'-IS N T2</t>
  </si>
  <si>
    <t>Fluorescent Linear T8 (40W x 1L x 5') 1 Instant start Ballast (0.85 &lt; BF &lt; 0.95) Tandem - 2 Fixtures/Ballast</t>
  </si>
  <si>
    <t>FLT8-40W x 5'-IS N T3</t>
  </si>
  <si>
    <t>Fluorescent Linear T8 (40W x 1L x 5') 1 Instant start Ballast (0.85 &lt; BF &lt; 0.95) Tandem - 3 Fixtures/Ballast</t>
  </si>
  <si>
    <t>FLT8-40W x 5'-IS N T4</t>
  </si>
  <si>
    <t>Fluorescent Linear T8 (40W x 1L x 5') 1 Instant start Ballast (0.85 &lt; BF &lt; 0.95) Tandem - 4 Fixtures/Ballast</t>
  </si>
  <si>
    <t>FLT8-40W x 5'-IS R</t>
  </si>
  <si>
    <t xml:space="preserve">Fluorescent Linear T8 (40W x 1L x 5') 1 Instant start Ballast (0.75 &lt; BF &lt; 0.85) </t>
  </si>
  <si>
    <t>FLT8-40W x 5'-IS VH</t>
  </si>
  <si>
    <t xml:space="preserve">Fluorescent Linear T8 (40W x 1L x 5') 1 Instant start Ballast (BF &gt; 1.10) </t>
  </si>
  <si>
    <t>FLT8-40W x 5'-IS VR</t>
  </si>
  <si>
    <t xml:space="preserve">Fluorescent Linear T8 (40W x 1L x 5') 1 Instant start Ballast (BF &lt; 0.75) </t>
  </si>
  <si>
    <t>FLT8-40W x 5'-IS(E) N</t>
  </si>
  <si>
    <t xml:space="preserve">Fluorescent Linear T8 (40W x 1L x 5') 1 Efficient Instant Start Ballast (0.85 &lt; BF &lt; 0.95) </t>
  </si>
  <si>
    <t>FLT8-57W x 2L x 8'-IS N</t>
  </si>
  <si>
    <t xml:space="preserve">Fluorescent Linear T8 (57W x 2L x 8') 1 Instant start Ballast (0.85 &lt; BF &lt; 0.95) </t>
  </si>
  <si>
    <t>FLT8-57W x 8'-IS N</t>
  </si>
  <si>
    <t xml:space="preserve">Fluorescent Linear T8 (57W x 1L x 8') 1 Instant start Ballast (0.85 &lt; BF &lt; 0.95) </t>
  </si>
  <si>
    <t>FLT8-59W x 2L x 8'-IS N</t>
  </si>
  <si>
    <t xml:space="preserve">Fluorescent Linear T8 (59W x 2L x 8') 1 Instant start Ballast (0.85 &lt; BF &lt; 0.95) </t>
  </si>
  <si>
    <t>FLT8-59W x 2L x 8'-IS R</t>
  </si>
  <si>
    <t xml:space="preserve">Fluorescent Linear T8 (59W x 2L x 8') 1 Instant start Ballast (0.75 &lt; BF &lt; 0.85) </t>
  </si>
  <si>
    <t>FLT8-59W x 2L x 8'-IS VH</t>
  </si>
  <si>
    <t xml:space="preserve">Fluorescent Linear T8 (59W x 2L x 8') 1 Instant start Ballast (BF &gt; 1.10) </t>
  </si>
  <si>
    <t>FLT8-59W x 2L x 8'-IS(E) N</t>
  </si>
  <si>
    <t xml:space="preserve">Fluorescent Linear T8 (59W x 2L x 8') 1 Efficient Instant Start Ballast (0.85 &lt; BF &lt; 0.95) </t>
  </si>
  <si>
    <t>FLT8-59W x 3L x 8'-2 IS H</t>
  </si>
  <si>
    <t xml:space="preserve">Fluorescent Linear T8 (59W x 3L x 8') 2 Instant start Ballast (0.95 &lt; BF &lt; 1.10) </t>
  </si>
  <si>
    <t>FLT8-59W x 3L x 8'-2 IS VH</t>
  </si>
  <si>
    <t xml:space="preserve">Fluorescent Linear T8 (59W x 3L x 8') 2 Instant start Ballast (BF &gt; 1.10) </t>
  </si>
  <si>
    <t>FLT8-59W x 3L x 8'-IS N</t>
  </si>
  <si>
    <t xml:space="preserve">Fluorescent Linear T8 (59W x 3L x 8') 1 Instant start Ballast (0.85 &lt; BF &lt; 0.95) </t>
  </si>
  <si>
    <t>FLT8-59W x 4L x 8'-2 IS H</t>
  </si>
  <si>
    <t xml:space="preserve">Fluorescent Linear T8 (59W x 4L x 8') 2 Instant start Ballast (0.95 &lt; BF &lt; 1.10) </t>
  </si>
  <si>
    <t>FLT8-59W x 4L x 8'-2 IS VH</t>
  </si>
  <si>
    <t xml:space="preserve">Fluorescent Linear T8 (59W x 4L x 8') 2 Instant start Ballast (BF &gt; 1.10) </t>
  </si>
  <si>
    <t>FLT8-59W x 4L x 8'-2 IS(E) VH</t>
  </si>
  <si>
    <t xml:space="preserve">Fluorescent Linear T8 (59W x 4L x 8') 2 Efficient Instant Start Ballast (BF &gt; 1.10) </t>
  </si>
  <si>
    <t>FLT8-59W x 4L x 8'-IS N</t>
  </si>
  <si>
    <t xml:space="preserve">Fluorescent Linear T8 (59W x 4L x 8') 1 Instant start Ballast (0.85 &lt; BF &lt; 0.95) </t>
  </si>
  <si>
    <t>FLT8-59W x 6L x 8'-2 IS N</t>
  </si>
  <si>
    <t xml:space="preserve">Fluorescent Linear T8 (59W x 6L x 8') 2 Instant start Ballast (0.85 &lt; BF &lt; 0.95) </t>
  </si>
  <si>
    <t>FLT8-59W x 8'-IS H</t>
  </si>
  <si>
    <t xml:space="preserve">Fluorescent Linear T8 (59W x 1L x 8') 1 Instant start Ballast (0.95 &lt; BF &lt; 1.10) </t>
  </si>
  <si>
    <t>FLT8-59W x 8'-IS N</t>
  </si>
  <si>
    <t xml:space="preserve">Fluorescent Linear T8 (59W x 1L x 8') 1 Instant start Ballast (0.85 &lt; BF &lt; 0.95) </t>
  </si>
  <si>
    <t>FLT8-59W x 8'-IS N T2</t>
  </si>
  <si>
    <t>Fluorescent Linear T8 (59W x 1L x 8') 1 Instant start Ballast (0.85 &lt; BF &lt; 0.95) Tandem - 2 Fixtures/Ballast</t>
  </si>
  <si>
    <t>FLT8-59W x 8'-IS R</t>
  </si>
  <si>
    <t xml:space="preserve">Fluorescent Linear T8 (59W x 1L x 8') 1 Instant start Ballast (0.75 &lt; BF &lt; 0.85) </t>
  </si>
  <si>
    <t>FLT8-59W x 8'-IS R T2</t>
  </si>
  <si>
    <t>Fluorescent Linear T8 (59W x 1L x 8') 1 Instant start Ballast (0.75 &lt; BF &lt; 0.85) Tandem - 2 Fixtures/Ballast</t>
  </si>
  <si>
    <t>FLT8-59W x 8'-IS VH</t>
  </si>
  <si>
    <t xml:space="preserve">Fluorescent Linear T8 (59W x 1L x 8') 1 Instant start Ballast (BF &gt; 1.10) </t>
  </si>
  <si>
    <t>FLT8-59W x 8'-IS(E) N</t>
  </si>
  <si>
    <t xml:space="preserve">Fluorescent Linear T8 (59W x 1L x 8') 1 Efficient Instant Start Ballast (0.85 &lt; BF &lt; 0.95) </t>
  </si>
  <si>
    <t>FLT8-86W x 2L x 8'-IS N</t>
  </si>
  <si>
    <t xml:space="preserve">Fluorescent Linear T8 (86W x 2L x 8') 1 Instant start Ballast (0.85 &lt; BF &lt; 0.95) </t>
  </si>
  <si>
    <t>FLT8-86W x 3L x 8'-2 IS N</t>
  </si>
  <si>
    <t xml:space="preserve">Fluorescent Linear T8 (86W x 3L x 8') 2 Instant start Ballast (0.85 &lt; BF &lt; 0.95) </t>
  </si>
  <si>
    <t>FLT8-86W x 4L x 8'-2 IS N</t>
  </si>
  <si>
    <t xml:space="preserve">Fluorescent Linear T8 (86W x 4L x 8') 2 Instant start Ballast (0.85 &lt; BF &lt; 0.95) </t>
  </si>
  <si>
    <t>FLT8-86W x 8'-IS N T2</t>
  </si>
  <si>
    <t>Fluorescent Linear T8 (86W x 1L x 8') 1 Instant start Ballast (0.85 &lt; BF &lt; 0.95) Tandem - 2 Fixtures/Ballast</t>
  </si>
  <si>
    <t>FLT8CEE-25W x 2L x 4'-CEE IS H</t>
  </si>
  <si>
    <t xml:space="preserve">Fluorescent Linear T8 CEE  (25W x 2L x 4') 1 CEE Instant Start Ballast (BF &gt; 1.0) </t>
  </si>
  <si>
    <t>T8CEE</t>
  </si>
  <si>
    <t>CEE IS</t>
  </si>
  <si>
    <t xml:space="preserve">T8 CEE </t>
  </si>
  <si>
    <t>CEE Instant Start Ballast</t>
  </si>
  <si>
    <t>(BF &gt; 1.0)</t>
  </si>
  <si>
    <t>FLT8CEE-25W x 2L x 4'-CEE IS H T2</t>
  </si>
  <si>
    <t>Fluorescent Linear T8 CEE  (25W x 2L x 4') 1 CEE Instant Start Ballast (BF &gt; 1.0) Tandem - 2 Fixtures/Ballast</t>
  </si>
  <si>
    <t>FLT8CEE-25W x 2L x 4'-CEE IS L</t>
  </si>
  <si>
    <t xml:space="preserve">Fluorescent Linear T8 CEE  (25W x 2L x 4') 1 CEE Instant Start Ballast (BF &lt; 0.85) </t>
  </si>
  <si>
    <t>(BF &lt; 0.85)</t>
  </si>
  <si>
    <t>FLT8CEE-25W x 2L x 4'-CEE IS L T2</t>
  </si>
  <si>
    <t>Fluorescent Linear T8 CEE  (25W x 2L x 4') 1 CEE Instant Start Ballast (BF &lt; 0.85) Tandem - 2 Fixtures/Ballast</t>
  </si>
  <si>
    <t>FLT8CEE-25W x 2L x 4'-CEE IS N</t>
  </si>
  <si>
    <t xml:space="preserve">Fluorescent Linear T8 CEE  (25W x 2L x 4') 1 CEE Instant Start Ballast (0.85 &lt; BF &lt; 1.0) </t>
  </si>
  <si>
    <t>(0.85 &lt; BF &lt; 1.0)</t>
  </si>
  <si>
    <t>FLT8CEE-25W x 2L x 4'-CEE IS N T2</t>
  </si>
  <si>
    <t>Fluorescent Linear T8 CEE  (25W x 2L x 4') 1 CEE Instant Start Ballast (0.85 &lt; BF &lt; 1.0) Tandem - 2 Fixtures/Ballast</t>
  </si>
  <si>
    <t>FLT8CEE-25W x 3L x 4'-CEE IS H</t>
  </si>
  <si>
    <t xml:space="preserve">Fluorescent Linear T8 CEE  (25W x 3L x 4') 1 CEE Instant Start Ballast (BF &gt; 1.0) </t>
  </si>
  <si>
    <t>FLT8CEE-25W x 3L x 4'-CEE IS L</t>
  </si>
  <si>
    <t xml:space="preserve">Fluorescent Linear T8 CEE  (25W x 3L x 4') 1 CEE Instant Start Ballast (BF &lt; 0.85) </t>
  </si>
  <si>
    <t>FLT8CEE-25W x 3L x 4'-CEE IS N</t>
  </si>
  <si>
    <t xml:space="preserve">Fluorescent Linear T8 CEE  (25W x 3L x 4') 1 CEE Instant Start Ballast (0.85 &lt; BF &lt; 1.0) </t>
  </si>
  <si>
    <t>FLT8CEE-25W x 4'-CEE IS H</t>
  </si>
  <si>
    <t xml:space="preserve">Fluorescent Linear T8 CEE  (25W x 1L x 4') 1 CEE Instant Start Ballast (BF &gt; 1.0) </t>
  </si>
  <si>
    <t>FLT8CEE-25W x 4'-CEE IS L</t>
  </si>
  <si>
    <t xml:space="preserve">Fluorescent Linear T8 CEE  (25W x 1L x 4') 1 CEE Instant Start Ballast (BF &lt; 0.85) </t>
  </si>
  <si>
    <t>FLT8CEE-25W x 4'-CEE IS N</t>
  </si>
  <si>
    <t xml:space="preserve">Fluorescent Linear T8 CEE  (25W x 1L x 4') 1 CEE Instant Start Ballast (0.85 &lt; BF &lt; 1.0) </t>
  </si>
  <si>
    <t>FLT8CEE-25W x 4L x 4'-CEE IS H</t>
  </si>
  <si>
    <t xml:space="preserve">Fluorescent Linear T8 CEE  (25W x 4L x 4') 1 CEE Instant Start Ballast (BF &gt; 1.0) </t>
  </si>
  <si>
    <t>FLT8CEE-25W x 4L x 4'-CEE IS L</t>
  </si>
  <si>
    <t xml:space="preserve">Fluorescent Linear T8 CEE  (25W x 4L x 4') 1 CEE Instant Start Ballast (BF &lt; 0.85) </t>
  </si>
  <si>
    <t>FLT8CEE-25W x 4L x 4'-CEE IS N</t>
  </si>
  <si>
    <t xml:space="preserve">Fluorescent Linear T8 CEE  (25W x 4L x 4') 1 CEE Instant Start Ballast (0.85 &lt; BF &lt; 1.0) </t>
  </si>
  <si>
    <t>FLT8CEE-28W x 2L x 4'-CEE IS H</t>
  </si>
  <si>
    <t xml:space="preserve">Fluorescent Linear T8 CEE  (28W x 2L x 4') 1 CEE Instant Start Ballast (BF &gt; 1.0) </t>
  </si>
  <si>
    <t>FLT8CEE-28W x 2L x 4'-CEE IS H T2</t>
  </si>
  <si>
    <t>Fluorescent Linear T8 CEE  (28W x 2L x 4') 1 CEE Instant Start Ballast (BF &gt; 1.0) Tandem - 2 Fixtures/Ballast</t>
  </si>
  <si>
    <t>FLT8CEE-28W x 2L x 4'-CEE IS L</t>
  </si>
  <si>
    <t xml:space="preserve">Fluorescent Linear T8 CEE  (28W x 2L x 4') 1 CEE Instant Start Ballast (BF &lt; 0.85) </t>
  </si>
  <si>
    <t>FLT8CEE-28W x 2L x 4'-CEE IS L T2</t>
  </si>
  <si>
    <t>Fluorescent Linear T8 CEE  (28W x 2L x 4') 1 CEE Instant Start Ballast (BF &lt; 0.85) Tandem - 2 Fixtures/Ballast</t>
  </si>
  <si>
    <t>FLT8CEE-28W x 2L x 4'-CEE IS N</t>
  </si>
  <si>
    <t xml:space="preserve">Fluorescent Linear T8 CEE  (28W x 2L x 4') 1 CEE Instant Start Ballast (0.85 &lt; BF &lt; 1.0) </t>
  </si>
  <si>
    <t>FLT8CEE-28W x 2L x 4'-CEE IS N T2</t>
  </si>
  <si>
    <t>Fluorescent Linear T8 CEE  (28W x 2L x 4') 1 CEE Instant Start Ballast (0.85 &lt; BF &lt; 1.0) Tandem - 2 Fixtures/Ballast</t>
  </si>
  <si>
    <t>FLT8CEE-28W x 3L x 4'-CEE IS CEE H</t>
  </si>
  <si>
    <t xml:space="preserve">Fluorescent Linear T8 CEE  (28W x 3L x 4') 1 CEE Instant Start Ballast (BF &gt; 1.0) </t>
  </si>
  <si>
    <t>CEE H</t>
  </si>
  <si>
    <t>FLT8CEE-28W x 3L x 4'-CEE IS CEE L</t>
  </si>
  <si>
    <t xml:space="preserve">Fluorescent Linear T8 CEE  (28W x 3L x 4') 1 CEE Instant Start Ballast (BF &lt; 0.85) </t>
  </si>
  <si>
    <t>CEE L</t>
  </si>
  <si>
    <t>FLT8CEE-28W x 3L x 4'-CEE IS CEE N</t>
  </si>
  <si>
    <t xml:space="preserve">Fluorescent Linear T8 CEE  (28W x 3L x 4') 1 CEE Instant Start Ballast (0.85 &lt; BF &lt; 1.0) </t>
  </si>
  <si>
    <t>CEE N</t>
  </si>
  <si>
    <t>FLT8CEE-28W x 4'-CEE IS CEE H</t>
  </si>
  <si>
    <t xml:space="preserve">Fluorescent Linear T8 CEE  (28W x 1L x 4') 1 CEE Instant Start Ballast (BF &gt; 1.0) </t>
  </si>
  <si>
    <t>FLT8CEE-28W x 4'-CEE IS CEE L</t>
  </si>
  <si>
    <t xml:space="preserve">Fluorescent Linear T8 CEE  (28W x 1L x 4') 1 CEE Instant Start Ballast (BF &lt; 0.85) </t>
  </si>
  <si>
    <t>FLT8CEE-28W x 4'-CEE IS CEE N</t>
  </si>
  <si>
    <t xml:space="preserve">Fluorescent Linear T8 CEE  (28W x 1L x 4') 1 CEE Instant Start Ballast (0.85 &lt; BF &lt; 1.0) </t>
  </si>
  <si>
    <t>FLT8CEE-28W x 4L x 4'-CEE IS CEE H</t>
  </si>
  <si>
    <t xml:space="preserve">Fluorescent Linear T8 CEE  (28W x 4L x 4') 1 CEE Instant Start Ballast (BF &gt; 1.0) </t>
  </si>
  <si>
    <t>FLT8CEE-28W x 4L x 4'-CEE IS CEE L</t>
  </si>
  <si>
    <t xml:space="preserve">Fluorescent Linear T8 CEE  (28W x 4L x 4') 1 CEE Instant Start Ballast (BF &lt; 0.85) </t>
  </si>
  <si>
    <t>FLT8CEE-28W x 4L x 4'-CEE IS CEE N</t>
  </si>
  <si>
    <t xml:space="preserve">Fluorescent Linear T8 CEE  (28W x 4L x 4') 1 CEE Instant Start Ballast (0.85 &lt; BF &lt; 1.0) </t>
  </si>
  <si>
    <t>FLT8CEE-32W x 2L x 4'-CEE IS CEE H</t>
  </si>
  <si>
    <t xml:space="preserve">Fluorescent Linear T8 CEE  (32W x 2L x 4') 1 CEE Instant Start Ballast (BF &gt; 1.0) </t>
  </si>
  <si>
    <t>FLT8CEE-32W x 2L x 4'-CEE IS CEE H T2</t>
  </si>
  <si>
    <t>Fluorescent Linear T8 CEE  (32W x 2L x 4') 1 CEE Instant Start Ballast (BF &gt; 1.0) Tandem - 2 Fixtures/Ballast</t>
  </si>
  <si>
    <t>FLT8CEE-32W x 2L x 4'-CEE IS CEE L</t>
  </si>
  <si>
    <t xml:space="preserve">Fluorescent Linear T8 CEE  (32W x 2L x 4') 1 CEE Instant Start Ballast (BF &lt; 0.85) </t>
  </si>
  <si>
    <t>FLT8CEE-32W x 2L x 4'-CEE IS CEE L T2</t>
  </si>
  <si>
    <t>Fluorescent Linear T8 CEE  (32W x 2L x 4') 1 CEE Instant Start Ballast (BF &lt; 0.85) Tandem - 2 Fixtures/Ballast</t>
  </si>
  <si>
    <t>FLT8CEE-32W x 2L x 4'-CEE IS CEE N</t>
  </si>
  <si>
    <t xml:space="preserve">Fluorescent Linear T8 CEE  (32W x 2L x 4') 1 CEE Instant Start Ballast (0.85 &lt; BF &lt; 1.0) </t>
  </si>
  <si>
    <t>FLT8CEE-32W x 2L x 4'-CEE IS CEE N T2</t>
  </si>
  <si>
    <t>Fluorescent Linear T8 CEE  (32W x 2L x 4') 1 CEE Instant Start Ballast (0.85 &lt; BF &lt; 1.0) Tandem - 2 Fixtures/Ballast</t>
  </si>
  <si>
    <t>FLT8CEE-32W x 2L x 4'-CEE ISDIM CEE N</t>
  </si>
  <si>
    <t xml:space="preserve">Fluorescent Linear T8 CEE  (32W x 2L x 4') 1 CEE Dimmable Instant Start Ballast (0.85 &lt; BF &lt; 1.0) </t>
  </si>
  <si>
    <t>FLT8CEE-32W x 2L x 4'-CEE ISDIM CEE N T2</t>
  </si>
  <si>
    <t>Fluorescent Linear T8 CEE  (32W x 2L x 4') 1 CEE Dimmable Instant Start Ballast (0.85 &lt; BF &lt; 1.0) Tandem - 2 Fixtures/Ballast</t>
  </si>
  <si>
    <t>FLT8CEE-32W x 2L x 4'-CEE PS/PRS DIM CEE H</t>
  </si>
  <si>
    <t xml:space="preserve">Fluorescent Linear T8 CEE  (32W x 2L x 4') 1 CEE Dimmable PS/PRS Ballast (BF &gt; 1.0) </t>
  </si>
  <si>
    <t>FLT8CEE-32W x 2L x 4'-CEE PS/PRS DIM CEE L</t>
  </si>
  <si>
    <t xml:space="preserve">Fluorescent Linear T8 CEE  (32W x 2L x 4') 1 CEE Dimmable PS/PRS Ballast (BF &lt; 0.85) </t>
  </si>
  <si>
    <t>FLT8CEE-32W x 2L x 4'-CEE PS/PRS DIM CEE N</t>
  </si>
  <si>
    <t xml:space="preserve">Fluorescent Linear T8 CEE  (32W x 2L x 4') 1 CEE Dimmable PS/PRS Ballast (0.85 &lt; BF &lt; 1.0) </t>
  </si>
  <si>
    <t>FLT8CEE-32W x 2L x 4'-CEE RS/PRS CEE H</t>
  </si>
  <si>
    <t xml:space="preserve">Fluorescent Linear T8 CEE  (32W x 2L x 4') 1 CEE Rapid/Program Start Ballast (BF &gt; 1.0) </t>
  </si>
  <si>
    <t>CEE RS/PRS</t>
  </si>
  <si>
    <t>CEE Rapid/Program Start Ballast</t>
  </si>
  <si>
    <t>FLT8CEE-32W x 2L x 4'-CEE RS/PRS CEE H T2</t>
  </si>
  <si>
    <t>Fluorescent Linear T8 CEE  (32W x 2L x 4') 1 CEE Rapid/Program Start Ballast (BF &gt; 1.0) Tandem - 2 Fixtures/Ballast</t>
  </si>
  <si>
    <t>FLT8CEE-32W x 2L x 4'-CEE RS/PRS CEE L</t>
  </si>
  <si>
    <t xml:space="preserve">Fluorescent Linear T8 CEE  (32W x 2L x 4') 1 CEE Rapid/Program Start Ballast (BF &lt; 0.85) </t>
  </si>
  <si>
    <t>FLT8CEE-32W x 2L x 4'-CEE RS/PRS CEE L T2</t>
  </si>
  <si>
    <t>Fluorescent Linear T8 CEE  (32W x 2L x 4') 1 CEE Rapid/Program Start Ballast (BF &lt; 0.85) Tandem - 2 Fixtures/Ballast</t>
  </si>
  <si>
    <t>FLT8CEE-32W x 2L x 4'-CEE RS/PRS CEE N</t>
  </si>
  <si>
    <t xml:space="preserve">Fluorescent Linear T8 CEE  (32W x 2L x 4') 1 CEE Rapid/Program Start Ballast (0.85 &lt; BF &lt; 1.0) </t>
  </si>
  <si>
    <t>FLT8CEE-32W x 2L x 4'-CEE RS/PRS CEE N T2</t>
  </si>
  <si>
    <t>Fluorescent Linear T8 CEE  (32W x 2L x 4') 1 CEE Rapid/Program Start Ballast (0.85 &lt; BF &lt; 1.0) Tandem - 2 Fixtures/Ballast</t>
  </si>
  <si>
    <t>FLT8CEE-32W x 3L x 4'-CEE IS CEE H</t>
  </si>
  <si>
    <t xml:space="preserve">Fluorescent Linear T8 CEE  (32W x 3L x 4') 1 CEE Instant Start Ballast (BF &gt; 1.0) </t>
  </si>
  <si>
    <t>FLT8CEE-32W x 3L x 4'-CEE IS CEE L</t>
  </si>
  <si>
    <t xml:space="preserve">Fluorescent Linear T8 CEE  (32W x 3L x 4') 1 CEE Instant Start Ballast (BF &lt; 0.85) </t>
  </si>
  <si>
    <t>FLT8CEE-32W x 3L x 4'-CEE IS CEE N</t>
  </si>
  <si>
    <t xml:space="preserve">Fluorescent Linear T8 CEE  (32W x 3L x 4') 1 CEE Instant Start Ballast (0.85 &lt; BF &lt; 1.0) </t>
  </si>
  <si>
    <t>FLT8CEE-32W x 3L x 4'-CEE ISDIM CEE N</t>
  </si>
  <si>
    <t xml:space="preserve">Fluorescent Linear T8 CEE  (32W x 3L x 4') 1 CEE Dimmable Instant Start Ballast (0.85 &lt; BF &lt; 1.0) </t>
  </si>
  <si>
    <t>FLT8CEE-32W x 3L x 4'-CEE PS/PRS DIM CEE H</t>
  </si>
  <si>
    <t xml:space="preserve">Fluorescent Linear T8 CEE  (32W x 3L x 4') 1 CEE Dimmable PS/PRS Ballast (BF &gt; 1.0) </t>
  </si>
  <si>
    <t>FLT8CEE-32W x 3L x 4'-CEE PS/PRS DIM CEE L</t>
  </si>
  <si>
    <t xml:space="preserve">Fluorescent Linear T8 CEE  (32W x 3L x 4') 1 CEE Dimmable PS/PRS Ballast (BF &lt; 0.85) </t>
  </si>
  <si>
    <t>FLT8CEE-32W x 3L x 4'-CEE PS/PRS DIM CEE N</t>
  </si>
  <si>
    <t xml:space="preserve">Fluorescent Linear T8 CEE  (32W x 3L x 4') 1 CEE Dimmable PS/PRS Ballast (0.85 &lt; BF &lt; 1.0) </t>
  </si>
  <si>
    <t>FLT8CEE-32W x 3L x 4'-CEE RS/PRS CEE H</t>
  </si>
  <si>
    <t xml:space="preserve">Fluorescent Linear T8 CEE  (32W x 3L x 4') 1 CEE Rapid/Program Start Ballast (BF &gt; 1.0) </t>
  </si>
  <si>
    <t>FLT8CEE-32W x 3L x 4'-CEE RS/PRS CEE L</t>
  </si>
  <si>
    <t xml:space="preserve">Fluorescent Linear T8 CEE  (32W x 3L x 4') 1 CEE Rapid/Program Start Ballast (BF &lt; 0.85) </t>
  </si>
  <si>
    <t>FLT8CEE-32W x 3L x 4'-CEE RS/PRS CEE N</t>
  </si>
  <si>
    <t xml:space="preserve">Fluorescent Linear T8 CEE  (32W x 3L x 4') 1 CEE Rapid/Program Start Ballast (0.85 &lt; BF &lt; 1.0) </t>
  </si>
  <si>
    <t>FLT8CEE-32W x 4'-CEE IS CEE H</t>
  </si>
  <si>
    <t xml:space="preserve">Fluorescent Linear T8 CEE  (32W x 1L x 4') 1 CEE Instant Start Ballast (BF &gt; 1.0) </t>
  </si>
  <si>
    <t>FLT8CEE-32W x 4'-CEE IS CEE L</t>
  </si>
  <si>
    <t xml:space="preserve">Fluorescent Linear T8 CEE  (32W x 1L x 4') 1 CEE Instant Start Ballast (BF &lt; 0.85) </t>
  </si>
  <si>
    <t>FLT8CEE-32W x 4'-CEE IS CEE N</t>
  </si>
  <si>
    <t xml:space="preserve">Fluorescent Linear T8 CEE  (32W x 1L x 4') 1 CEE Instant Start Ballast (0.85 &lt; BF &lt; 1.0) </t>
  </si>
  <si>
    <t>FLT8CEE-32W x 4'-CEE ISDIM CEE H T2</t>
  </si>
  <si>
    <t>Fluorescent Linear T8 CEE  (32W x 1L x 4') 1 CEE Dimmable Instant Start Ballast (BF &gt; 1.0) Tandem - 2 Fixtures/Ballast</t>
  </si>
  <si>
    <t>FLT8CEE-32W x 4'-CEE ISDIM CEE H T3</t>
  </si>
  <si>
    <t>Fluorescent Linear T8 CEE  (32W x 1L x 4') 1 CEE Dimmable Instant Start Ballast (BF &gt; 1.0) Tandem - 3 Fixtures/Ballast</t>
  </si>
  <si>
    <t>FLT8CEE-32W x 4'-CEE ISDIM CEE H T4</t>
  </si>
  <si>
    <t>Fluorescent Linear T8 CEE  (32W x 1L x 4') 1 CEE Dimmable Instant Start Ballast (BF &gt; 1.0) Tandem - 4 Fixtures/Ballast</t>
  </si>
  <si>
    <t>FLT8CEE-32W x 4'-CEE ISDIM CEE L T2</t>
  </si>
  <si>
    <t>Fluorescent Linear T8 CEE  (32W x 1L x 4') 1 CEE Dimmable Instant Start Ballast (BF &lt; 0.85) Tandem - 2 Fixtures/Ballast</t>
  </si>
  <si>
    <t>FLT8CEE-32W x 4'-CEE ISDIM CEE L T3</t>
  </si>
  <si>
    <t>Fluorescent Linear T8 CEE  (32W x 1L x 4') 1 CEE Dimmable Instant Start Ballast (BF &lt; 0.85) Tandem - 3 Fixtures/Ballast</t>
  </si>
  <si>
    <t>FLT8CEE-32W x 4'-CEE ISDIM CEE L T4</t>
  </si>
  <si>
    <t>Fluorescent Linear T8 CEE  (32W x 1L x 4') 1 CEE Dimmable Instant Start Ballast (BF &lt; 0.85) Tandem - 4 Fixtures/Ballast</t>
  </si>
  <si>
    <t>FLT8CEE-32W x 4'-CEE ISDIM CEE N T2</t>
  </si>
  <si>
    <t>Fluorescent Linear T8 CEE  (32W x 1L x 4') 1 CEE Dimmable Instant Start Ballast (0.85 &lt; BF &lt; 1.0) Tandem - 2 Fixtures/Ballast</t>
  </si>
  <si>
    <t>FLT8CEE-32W x 4'-CEE ISDIM CEE N T3</t>
  </si>
  <si>
    <t>Fluorescent Linear T8 CEE  (32W x 1L x 4') 1 CEE Dimmable Instant Start Ballast (0.85 &lt; BF &lt; 1.0) Tandem - 3 Fixtures/Ballast</t>
  </si>
  <si>
    <t>FLT8CEE-32W x 4'-CEE ISDIM CEE N T4</t>
  </si>
  <si>
    <t>Fluorescent Linear T8 CEE  (32W x 1L x 4') 1 CEE Dimmable Instant Start Ballast (0.85 &lt; BF &lt; 1.0) Tandem - 4 Fixtures/Ballast</t>
  </si>
  <si>
    <t>FLT8CEE-32W x 4'-CEE PS/PRS DIM CEE H</t>
  </si>
  <si>
    <t xml:space="preserve">Fluorescent Linear T8 CEE  (32W x 1L x 4') 1 CEE Dimmable PS/PRS Ballast (BF &lt; 0.85) </t>
  </si>
  <si>
    <t>FLT8CEE-32W x 4'-CEE PS/PRS DIM CEE H T2</t>
  </si>
  <si>
    <t>Fluorescent Linear T8 CEE  (32W x 1L x 4') 1 CEE Dimmable PS/PRS Ballast (BF &gt; 1.0) Tandem - 2 Fixtures/Ballast</t>
  </si>
  <si>
    <t>FLT8CEE-32W x 4'-CEE PS/PRS DIM CEE H T3</t>
  </si>
  <si>
    <t>Fluorescent Linear T8 CEE  (32W x 1L x 4') 1 CEE Dimmable PS/PRS Ballast (BF &gt; 1.0) Tandem - 3 Fixtures/Ballast</t>
  </si>
  <si>
    <t>FLT8CEE-32W x 4'-CEE PS/PRS DIM CEE H T4</t>
  </si>
  <si>
    <t>Fluorescent Linear T8 CEE  (32W x 1L x 4') 1 CEE Dimmable PS/PRS Ballast (BF &gt; 1.0) Tandem - 4 Fixtures/Ballast</t>
  </si>
  <si>
    <t>FLT8CEE-32W x 4'-CEE PS/PRS DIM CEE L</t>
  </si>
  <si>
    <t xml:space="preserve">Fluorescent Linear T8 CEE  (32W x 1L x 4') 1 CEE Dimmable PS/PRS Ballast (0.85 &lt; BF &lt; 1.0) </t>
  </si>
  <si>
    <t>FLT8CEE-32W x 4'-CEE PS/PRS DIM CEE L T2</t>
  </si>
  <si>
    <t>Fluorescent Linear T8 CEE  (32W x 1L x 4') 1 CEE Dimmable PS/PRS Ballast (BF &lt; 0.85) Tandem - 2 Fixtures/Ballast</t>
  </si>
  <si>
    <t>FLT8CEE-32W x 4'-CEE PS/PRS DIM CEE L T3</t>
  </si>
  <si>
    <t>Fluorescent Linear T8 CEE  (32W x 1L x 4') 1 CEE Dimmable PS/PRS Ballast (BF &lt; 0.85) Tandem - 3 Fixtures/Ballast</t>
  </si>
  <si>
    <t>FLT8CEE-32W x 4'-CEE PS/PRS DIM CEE L T4</t>
  </si>
  <si>
    <t>Fluorescent Linear T8 CEE  (32W x 1L x 4') 1 CEE Dimmable PS/PRS Ballast (BF &lt; 0.85) Tandem - 4 Fixtures/Ballast</t>
  </si>
  <si>
    <t>FLT8CEE-32W x 4'-CEE PS/PRS DIM CEE N</t>
  </si>
  <si>
    <t xml:space="preserve">Fluorescent Linear T8 CEE  (32W x 1L x 4') 1 CEE Dimmable PS/PRS Ballast (BF &gt; 1.0) </t>
  </si>
  <si>
    <t>FLT8CEE-32W x 4'-CEE PS/PRS DIM CEE N T2</t>
  </si>
  <si>
    <t>Fluorescent Linear T8 CEE  (32W x 1L x 4') 1 CEE Dimmable PS/PRS Ballast (0.85 &lt; BF &lt; 1.0) Tandem - 2 Fixtures/Ballast</t>
  </si>
  <si>
    <t>FLT8CEE-32W x 4'-CEE PS/PRS DIM CEE N T3</t>
  </si>
  <si>
    <t>Fluorescent Linear T8 CEE  (32W x 1L x 4') 1 CEE Dimmable PS/PRS Ballast (0.85 &lt; BF &lt; 1.0) Tandem - 3 Fixtures/Ballast</t>
  </si>
  <si>
    <t>FLT8CEE-32W x 4'-CEE RS/PRS CEE H</t>
  </si>
  <si>
    <t xml:space="preserve">Fluorescent Linear T8 CEE  (32W x 1L x 4') 1 CEE Rapid/Program Start Ballast (BF &gt; 1.0) </t>
  </si>
  <si>
    <t>FLT8CEE-32W x 4'-CEE RS/PRS CEE L</t>
  </si>
  <si>
    <t xml:space="preserve">Fluorescent Linear T8 CEE  (32W x 1L x 4') 1 CEE Rapid/Program Start Ballast (BF &lt; 0.85) </t>
  </si>
  <si>
    <t>FLT8CEE-32W x 4'-CEE RS/PRS CEE N</t>
  </si>
  <si>
    <t xml:space="preserve">Fluorescent Linear T8 CEE  (32W x 1L x 4') 1 CEE Rapid/Program Start Ballast (0.85 &lt; BF &lt; 1.0) </t>
  </si>
  <si>
    <t>FLT8CEE-32W x 4L x 4'-CEE IS CEE H</t>
  </si>
  <si>
    <t xml:space="preserve">Fluorescent Linear T8 CEE  (32W x 4L x 4') 1 CEE Instant Start Ballast (BF &gt; 1.0) </t>
  </si>
  <si>
    <t>FLT8CEE-32W x 4L x 4'-CEE IS CEE L</t>
  </si>
  <si>
    <t xml:space="preserve">Fluorescent Linear T8 CEE  (32W x 4L x 4') 1 CEE Instant Start Ballast (BF &lt; 0.85) </t>
  </si>
  <si>
    <t>FLT8CEE-32W x 4L x 4'-CEE IS CEE N</t>
  </si>
  <si>
    <t xml:space="preserve">Fluorescent Linear T8 CEE  (32W x 4L x 4') 1 CEE Instant Start Ballast (0.85 &lt; BF &lt; 1.0) </t>
  </si>
  <si>
    <t>FLT8CEE-32W x 4L x 4'-CEE PS/PRS DIM CEE H</t>
  </si>
  <si>
    <t xml:space="preserve">Fluorescent Linear T8 CEE  (32W x 4L x 4') 1 CEE Dimmable PS/PRS Ballast (BF &gt; 1.0) </t>
  </si>
  <si>
    <t>FLT8CEE-32W x 4L x 4'-CEE PS/PRS DIM CEE L</t>
  </si>
  <si>
    <t xml:space="preserve">Fluorescent Linear T8 CEE  (32W x 4L x 4') 1 CEE Dimmable PS/PRS Ballast (BF &lt; 0.85) </t>
  </si>
  <si>
    <t>FLT8CEE-32W x 4L x 4'-CEE PS/PRS DIM CEE N</t>
  </si>
  <si>
    <t xml:space="preserve">Fluorescent Linear T8 CEE  (32W x 4L x 4') 1 CEE Dimmable PS/PRS Ballast (0.85 &lt; BF &lt; 1.0) </t>
  </si>
  <si>
    <t>FLT8CEE-32W x 4L x 4'-CEE RS/PRS CEE H</t>
  </si>
  <si>
    <t xml:space="preserve">Fluorescent Linear T8 CEE  (32W x 4L x 4') 1 CEE Rapid/Program Start Ballast (BF &gt; 1.0) </t>
  </si>
  <si>
    <t>FLT8CEE-32W x 4L x 4'-CEE RS/PRS CEE L</t>
  </si>
  <si>
    <t xml:space="preserve">Fluorescent Linear T8 CEE  (32W x 4L x 4') 1 CEE Rapid/Program Start Ballast (BF &lt; 0.85) </t>
  </si>
  <si>
    <t>FLT8CEE-32W x 4L x 4'-CEE RS/PRS CEE N</t>
  </si>
  <si>
    <t xml:space="preserve">Fluorescent Linear T8 CEE  (32W x 4L x 4') 1 CEE Rapid/Program Start Ballast (0.85 &lt; BF &lt; 1.0) </t>
  </si>
  <si>
    <t>FLT8CEE-32W x 6L x 4'-CEE IS CEE H</t>
  </si>
  <si>
    <t xml:space="preserve">Fluorescent Linear T8 CEE  (32W x 6L x 4') 1 CEE Instant Start Ballast (BF &gt; 1.0) </t>
  </si>
  <si>
    <t>FLT8CEE-32W x 6L x 4'-CEE ISDIM CEE H</t>
  </si>
  <si>
    <t xml:space="preserve">Fluorescent Linear T8 CEE  (32W x 6L x 4') 1 CEE Dimmable Instant Start Ballast (BF &gt; 1.0) </t>
  </si>
  <si>
    <t>FUT12-34W x 2L x 2'-IS N</t>
  </si>
  <si>
    <t xml:space="preserve">Fluorescent U Tube T12 (34W x 2L x 2') 1 Instant start Ballast (0.85 &lt; BF &lt; 0.95) </t>
  </si>
  <si>
    <t>U</t>
  </si>
  <si>
    <t>U Tube</t>
  </si>
  <si>
    <t>FUT12-34W-MG</t>
  </si>
  <si>
    <t xml:space="preserve">Fluorescent U Tube T12 (34W x 1L) 1 Magnetic Ballast  </t>
  </si>
  <si>
    <t>FUT12-35W x 2L-MG(E)</t>
  </si>
  <si>
    <t xml:space="preserve">Fluorescent U Tube T12 (35W x 2L) 1 Efficient Magnetic Ballast  </t>
  </si>
  <si>
    <t>FUT12-35W x 3L-MG(E)</t>
  </si>
  <si>
    <t xml:space="preserve">Fluorescent U Tube T12 (35W x 3L) 1 Efficient Magnetic Ballast  </t>
  </si>
  <si>
    <t>FUT12-35W-MG</t>
  </si>
  <si>
    <t xml:space="preserve">Fluorescent U Tube T12 (35W x 1L) 1 Magnetic Ballast  </t>
  </si>
  <si>
    <t>FUT12-35W-MG(E)</t>
  </si>
  <si>
    <t xml:space="preserve">Fluorescent U Tube T12 (35W x 1L) 1 Efficient Magnetic Ballast  </t>
  </si>
  <si>
    <t>FUT12-40W x 2L x 2'-IS N</t>
  </si>
  <si>
    <t xml:space="preserve">Fluorescent U Tube T12 (40W x 2L x 2') 1 Instant start Ballast (0.85 &lt; BF &lt; 0.95) </t>
  </si>
  <si>
    <t>FUT12-40W x 2L-MG</t>
  </si>
  <si>
    <t xml:space="preserve">Fluorescent U Tube T12 (40W x 2L) 1 Magnetic Ballast  </t>
  </si>
  <si>
    <t>FUT12-40W x 2L-MG(E)</t>
  </si>
  <si>
    <t xml:space="preserve">Fluorescent U Tube T12 (40W x 2L) 1 Efficient Magnetic Ballast  </t>
  </si>
  <si>
    <t>FUT12-40W x 3L-MG(E)</t>
  </si>
  <si>
    <t xml:space="preserve">Fluorescent U Tube T12 (40W x 3L) 1 Efficient Magnetic Ballast  </t>
  </si>
  <si>
    <t>FUT12-40W-MG</t>
  </si>
  <si>
    <t xml:space="preserve">Fluorescent U Tube T12 (40W x 1L) 1 Magnetic Ballast  </t>
  </si>
  <si>
    <t>FUT12-40W-MG(E)</t>
  </si>
  <si>
    <t xml:space="preserve">Fluorescent U Tube T12 (40W x 1L) 1 Efficient Magnetic Ballast  </t>
  </si>
  <si>
    <t>FUT8-17W x 1'-IS H</t>
  </si>
  <si>
    <t xml:space="preserve">Fluorescent U Tube T8 (17W x 1L x 1') 1 Instant start Ballast (0.95 &lt; BF &lt; 1.10) </t>
  </si>
  <si>
    <t>FUT8-17W x 1'-IS N</t>
  </si>
  <si>
    <t xml:space="preserve">Fluorescent U Tube T8 (17W x 1L x 1') 1 Instant start Ballast (0.85 &lt; BF &lt; 0.95) </t>
  </si>
  <si>
    <t>FUT8-17W x 1'-IS N T2</t>
  </si>
  <si>
    <t>Fluorescent U Tube T8 (17W x 1L x 1') 1 Instant start Ballast (0.85 &lt; BF &lt; 0.95) Tandem - 2 Fixtures/Ballast</t>
  </si>
  <si>
    <t>FUT8-17W x 1'-IS R</t>
  </si>
  <si>
    <t xml:space="preserve">Fluorescent U Tube T8 (17W x 1L x 1') 1 Instant start Ballast (0.75 &lt; BF &lt; 0.85) </t>
  </si>
  <si>
    <t>FUT8-17W x 1'-IS R T2</t>
  </si>
  <si>
    <t>Fluorescent U Tube T8 (17W x 1L x 1') 1 Instant start Ballast (0.75 &lt; BF &lt; 0.85) Tandem - 2 Fixtures/Ballast</t>
  </si>
  <si>
    <t>FUT8-17W x 1'-IS VH</t>
  </si>
  <si>
    <t xml:space="preserve">Fluorescent U Tube T8 (17W x 1L x 1') 1 Instant start Ballast (BF &gt; 1.10) </t>
  </si>
  <si>
    <t>FUT8-17W x 1'-IS(E) N</t>
  </si>
  <si>
    <t xml:space="preserve">Fluorescent U Tube T8 (17W x 1L x 1') 1 Efficient Instant Start Ballast (0.85 &lt; BF &lt; 0.95) </t>
  </si>
  <si>
    <t>FUT8-17W x 1'-IS(E) R</t>
  </si>
  <si>
    <t xml:space="preserve">Fluorescent U Tube T8 (17W x 1L x 1') 1 Efficient Instant start Ballast (0.75 &lt; BF &lt; 0.85) </t>
  </si>
  <si>
    <t>FUT8-17W x 1'-RS/PRS N</t>
  </si>
  <si>
    <t xml:space="preserve">Fluorescent U Tube T8 (17W x 1L x 1') 1 Rapid/Program Start Ballast (0.85 &lt; BF &lt; 0.95) </t>
  </si>
  <si>
    <t>FUT8-17W x 1'-RS/PRS VH</t>
  </si>
  <si>
    <t xml:space="preserve">Fluorescent U Tube T8 (17W x 1L x 1') 1 Rapid/Program Start Ballast (BF &gt; 1.10) </t>
  </si>
  <si>
    <t>FUT8-17W x 1'-RS/PRS VR</t>
  </si>
  <si>
    <t xml:space="preserve">Fluorescent U Tube T8 (17W x 1L x 1') 1 Rapid/Program Start Ballast (BF &lt; 0.75) </t>
  </si>
  <si>
    <t>FUT8-17W x 1'-RS/PRS(E) N</t>
  </si>
  <si>
    <t xml:space="preserve">Fluorescent U Tube T8 (17W x 1L x 1') 1 Efficient Rapid/Program Start Ballast (0.85 &lt; BF &lt; 0.95) </t>
  </si>
  <si>
    <t>FUT8-17W x 2L x 1'-IS N</t>
  </si>
  <si>
    <t xml:space="preserve">Fluorescent U Tube T8 (17W x 2L x 1') 1 Instant start Ballast (0.85 &lt; BF &lt; 0.95) </t>
  </si>
  <si>
    <t>FUT8-17W x 2L x 1'-IS R</t>
  </si>
  <si>
    <t xml:space="preserve">Fluorescent U Tube T8 (17W x 2L x 1') 1 Instant start Ballast (0.75 &lt; BF &lt; 0.85) </t>
  </si>
  <si>
    <t>FUT8-17W x 2L x 1'-IS VH</t>
  </si>
  <si>
    <t xml:space="preserve">Fluorescent U Tube T8 (17W x 2L x 1') 1 Instant start Ballast (BF &gt; 1.10) </t>
  </si>
  <si>
    <t>FUT8-17W x 2L x 1'-IS(E) N</t>
  </si>
  <si>
    <t xml:space="preserve">Fluorescent U Tube T8 (17W x 2L x 1') 1 Efficient Instant Start Ballast (0.85 &lt; BF &lt; 0.95) </t>
  </si>
  <si>
    <t>FUT8-17W x 2L x 1'-IS(E) R</t>
  </si>
  <si>
    <t xml:space="preserve">Fluorescent U Tube T8 (17W x 2L x 1') 1 Efficient Instant start Ballast (0.75 &lt; BF &lt; 0.85) </t>
  </si>
  <si>
    <t>FUT8-17W x 2L x 1'-IS(E) VH</t>
  </si>
  <si>
    <t xml:space="preserve">Fluorescent U Tube T8 (17W x 2L x 1') 1 Efficient Instant Start Ballast (BF &gt; 1.10) </t>
  </si>
  <si>
    <t>FUT8-17W x 2L x 1'-RS/PRS N</t>
  </si>
  <si>
    <t xml:space="preserve">Fluorescent U Tube T8 (17W x 2L x 1') 1 Rapid/Program Start Ballast (0.85 &lt; BF &lt; 0.95) </t>
  </si>
  <si>
    <t>FUT8-17W x 3L x 1'-IS N</t>
  </si>
  <si>
    <t xml:space="preserve">Fluorescent U Tube T8 (17W x 3L x 1') 1 Instant start Ballast (0.85 &lt; BF &lt; 0.95) </t>
  </si>
  <si>
    <t>FUT8-17W x 3L x 1'-IS R</t>
  </si>
  <si>
    <t xml:space="preserve">Fluorescent U Tube T8 (17W x 3L x 1') 1 Instant start Ballast (0.75 &lt; BF &lt; 0.85) </t>
  </si>
  <si>
    <t>FUT8-17W x 3L x 1'-IS VH</t>
  </si>
  <si>
    <t xml:space="preserve">Fluorescent U Tube T8 (17W x 3L x 1') 1 Instant start Ballast (BF &gt; 1.10) </t>
  </si>
  <si>
    <t>FUT8-17W x 3L x 1'-IS(E) R</t>
  </si>
  <si>
    <t xml:space="preserve">Fluorescent U Tube T8 (17W x 3L x 1') 1 Efficient Instant Start Ballast (0.75 &lt; BF &lt; 0.85) </t>
  </si>
  <si>
    <t>FUT8-17W x 3L x 1'-IS(E) VH</t>
  </si>
  <si>
    <t xml:space="preserve">Fluorescent U Tube T8 (17W x 3L x 1') 1 Efficient Instant Start Ballast (BF &gt; 1.10) </t>
  </si>
  <si>
    <t>FUT8-17W x 3L x 1'-RS/PRS N</t>
  </si>
  <si>
    <t xml:space="preserve">Fluorescent U Tube T8 (17W x 3L x 1') 1 Rapid/Program Start Ballast (0.85 &lt; BF &lt; 0.95) </t>
  </si>
  <si>
    <t>FUT8-17W x 3L x 1'-RS/PRS(E) N</t>
  </si>
  <si>
    <t xml:space="preserve">Fluorescent U Tube T8 (17W x 3L x 1') 1 Efficient Rapid/Program Start Ballast (0.85 &lt; BF &lt; 0.95) </t>
  </si>
  <si>
    <t>FUT8-17W x 4L x 1'-IS N</t>
  </si>
  <si>
    <t xml:space="preserve">Fluorescent U Tube T8 (17W x 4L x 1') 1 Instant start Ballast (0.85 &lt; BF &lt; 0.95) </t>
  </si>
  <si>
    <t>FUT8-17W x 4L x 1'-IS R</t>
  </si>
  <si>
    <t xml:space="preserve">Fluorescent U Tube T8 (17W x 4L x 1') 1 Instant start Ballast (0.75 &lt; BF &lt; 0.85) </t>
  </si>
  <si>
    <t>FUT8-17W x 4L x 1'-IS VH</t>
  </si>
  <si>
    <t xml:space="preserve">Fluorescent U Tube T8 (17W x 4L x 1') 1 Instant start Ballast (BF &gt; 1.10) </t>
  </si>
  <si>
    <t>FUT8-17W x 4L x 1'-IS(E) N</t>
  </si>
  <si>
    <t xml:space="preserve">Fluorescent U Tube T8 (17W x 4L x 1') 1 Efficient Instant start Ballast (0.85 &lt; BF &lt; 0.95) </t>
  </si>
  <si>
    <t>FUT8-17W x 4L x 1'-IS(E) R</t>
  </si>
  <si>
    <t xml:space="preserve">Fluorescent U Tube T8 (17W x 4L x 1') 1 Efficient Instant Start Ballast (0.75 &lt; BF &lt; 0.85) </t>
  </si>
  <si>
    <t>FUT8-17W x 4L x 1'-IS(E) VH</t>
  </si>
  <si>
    <t xml:space="preserve">Fluorescent U Tube T8 (17W x 4L x 1') 1 Efficient Instant Start Ballast (BF &gt; 1.10) </t>
  </si>
  <si>
    <t>FUT8-17W x 4L x 1'-RS/PRS N</t>
  </si>
  <si>
    <t xml:space="preserve">Fluorescent U Tube T8 (17W x 4L x 1') 1 Rapid/Program Start Ballast (0.85 &lt; BF &lt; 0.95) </t>
  </si>
  <si>
    <t>FUT8-17W x 4L x 1'-RS/PRS VH</t>
  </si>
  <si>
    <t xml:space="preserve">Fluorescent U Tube T8 (17W x 4L x 1') 1 Rapid/Program Start Ballast (BF &gt; 1.10) </t>
  </si>
  <si>
    <t>FUT8-17W x 4L x 1'-RS/PRS(E) N</t>
  </si>
  <si>
    <t xml:space="preserve">Fluorescent U Tube T8 (17W x 4L x 1') 1 Efficient Rapid/Program Start Ballast (0.85 &lt; BF &lt; 0.95) </t>
  </si>
  <si>
    <t>FUT8-25W x 1.5'-IS H</t>
  </si>
  <si>
    <t xml:space="preserve">Fluorescent U Tube T8 (25W x 1L x 1.5') 1 Instant start Ballast (0.95 &lt; BF &lt; 1.10) </t>
  </si>
  <si>
    <t>FUT8-25W x 1.5'-IS N</t>
  </si>
  <si>
    <t xml:space="preserve">Fluorescent U Tube T8 (25W x 1L x 1.5') 1 Instant start Ballast (0.85 &lt; BF &lt; 0.95) </t>
  </si>
  <si>
    <t>FUT8-25W x 1.5'-IS R</t>
  </si>
  <si>
    <t xml:space="preserve">Fluorescent U Tube T8 (25W x 1L x 1.5') 1 Instant start Ballast (0.75 &lt; BF &lt; 0.85) </t>
  </si>
  <si>
    <t>FUT8-25W x 1.5'-IS VH</t>
  </si>
  <si>
    <t xml:space="preserve">Fluorescent U Tube T8 (25W x 1L x 1.5') 1 Instant start Ballast (BF &gt; 1.10) </t>
  </si>
  <si>
    <t>FUT8-25W x 1.5'-IS(E) N</t>
  </si>
  <si>
    <t xml:space="preserve">Fluorescent U Tube T8 (25W x 1L x 1.5') 1 Efficient Instant Start Ballast (0.85 &lt; BF &lt; 0.95) </t>
  </si>
  <si>
    <t>FUT8-25W x 1.5'-IS(E) R</t>
  </si>
  <si>
    <t xml:space="preserve">Fluorescent U Tube T8 (25W x 1L x 1.5') 1 Efficient Instant Start Ballast (0.75 &lt; BF &lt; 0.85) </t>
  </si>
  <si>
    <t>FUT8-25W x 1.5'-RS/PRS H</t>
  </si>
  <si>
    <t xml:space="preserve">Fluorescent U Tube T8 (25W x 1L x 1.5') 1 Rapid/Program Start Ballast (0.95 &lt; BF &lt; 1.10) </t>
  </si>
  <si>
    <t>FUT8-25W x 1.5'-RS/PRS N</t>
  </si>
  <si>
    <t xml:space="preserve">Fluorescent U Tube T8 (25W x 1L x 1.5') 1 Rapid/Program Start Ballast (0.85 &lt; BF &lt; 0.95) </t>
  </si>
  <si>
    <t>FUT8-25W x 1.5'-RS/PRS VH</t>
  </si>
  <si>
    <t xml:space="preserve">Fluorescent U Tube T8 (25W x 1L x 1.5') 1 Rapid/Program Start Ballast (BF &gt; 1.10) </t>
  </si>
  <si>
    <t>FUT8-25W x 1.5'-RS/PRS VR</t>
  </si>
  <si>
    <t xml:space="preserve">Fluorescent U Tube T8 (25W x 1L x 1.5') 1 Rapid/Program Start Ballast (BF &lt; 0.75) </t>
  </si>
  <si>
    <t>FUT8-25W x 1.5'-RS/PRS(E) N</t>
  </si>
  <si>
    <t xml:space="preserve">Fluorescent U Tube T8 (25W x 1L x 1.5') 1 Efficient Rapid/Program Start Ballast (0.85 &lt; BF &lt; 0.95) </t>
  </si>
  <si>
    <t>FUT8-25W x 2'-IS N</t>
  </si>
  <si>
    <t xml:space="preserve">Fluorescent U Tube T8 (25W x 1L x 2') 1 Instant start Ballast (0.85 &lt; BF &lt; 0.95) </t>
  </si>
  <si>
    <t>FUT8-25W x 2'-IS R</t>
  </si>
  <si>
    <t xml:space="preserve">Fluorescent U Tube T8 (25W x 1L x 2') 1 Instant start Ballast (0.75 &lt; BF &lt; 0.85) </t>
  </si>
  <si>
    <t>FUT8-25W x 2'-IS R T2</t>
  </si>
  <si>
    <t>Fluorescent U Tube T8 (25W x 1L x 2') 1 Instant start Ballast (0.75 &lt; BF &lt; 0.85) Tandem - 2 Fixtures/Ballast</t>
  </si>
  <si>
    <t>FUT8-25W x 2'-IS VH</t>
  </si>
  <si>
    <t xml:space="preserve">Fluorescent U Tube T8 (25W x 1L x 2') 1 Instant start Ballast (BF &gt; 1.10) </t>
  </si>
  <si>
    <t>FUT8-25W x 2'-IS(E) N</t>
  </si>
  <si>
    <t xml:space="preserve">Fluorescent U Tube T8 (25W x 1L x 2') 1 Efficient Instant start Ballast (0.85 &lt; BF &lt; 0.95) </t>
  </si>
  <si>
    <t>FUT8-25W x 2'-IS(E) R</t>
  </si>
  <si>
    <t xml:space="preserve">Fluorescent U Tube T8 (25W x 1L x 2') 1 Efficient Instant Start Ballast (0.75 &lt; BF &lt; 0.85) </t>
  </si>
  <si>
    <t>FUT8-25W x 2'-IS(E) VH</t>
  </si>
  <si>
    <t xml:space="preserve">Fluorescent U Tube T8 (25W x 1L x 2') 1 Efficient Instant start Ballast (BF &gt; 1.10) </t>
  </si>
  <si>
    <t>FUT8-25W x 2L x 1.5'-IS N</t>
  </si>
  <si>
    <t xml:space="preserve">Fluorescent U Tube T8 (25W x 2L x 1.5') 1 Instant start Ballast (0.85 &lt; BF &lt; 0.95) </t>
  </si>
  <si>
    <t>FUT8-25W x 2L x 1.5'-IS R</t>
  </si>
  <si>
    <t xml:space="preserve">Fluorescent U Tube T8 (25W x 2L x 1.5') 1 Instant start Ballast (0.75 &lt; BF &lt; 0.85) </t>
  </si>
  <si>
    <t>FUT8-25W x 2L x 1.5'-IS VH</t>
  </si>
  <si>
    <t xml:space="preserve">Fluorescent U Tube T8 (25W x 2L x 1.5') 1 Instant start Ballast (BF &gt; 1.10) </t>
  </si>
  <si>
    <t>FUT8-25W x 2L x 1.5'-IS(E) N</t>
  </si>
  <si>
    <t xml:space="preserve">Fluorescent U Tube T8 (25W x 2L x 1.5') 1 Efficient Instant Start Ballast (0.85 &lt; BF &lt; 0.95) </t>
  </si>
  <si>
    <t>FUT8-25W x 2L x 1.5'-IS(E) R</t>
  </si>
  <si>
    <t xml:space="preserve">Fluorescent U Tube T8 (25W x 2L x 1.5') 1 Efficient Instant Start Ballast (0.75 &lt; BF &lt; 0.85) </t>
  </si>
  <si>
    <t>FUT8-25W x 2L x 1.5'-IS(E) VH</t>
  </si>
  <si>
    <t xml:space="preserve">Fluorescent U Tube T8 (25W x 2L x 1.5') 1 Efficient Instant Start Ballast (BF &gt; 1.10) </t>
  </si>
  <si>
    <t>FUT8-25W x 2L x 1.5'-RS/PRS N</t>
  </si>
  <si>
    <t xml:space="preserve">Fluorescent U Tube T8 (25W x 2L x 1.5') 1 Rapid/Program Start Ballast (0.85 &lt; BF &lt; 0.95) </t>
  </si>
  <si>
    <t>FUT8-25W x 2L x 1.5'-RS/PRS VH</t>
  </si>
  <si>
    <t xml:space="preserve">Fluorescent U Tube T8 (25W x 2L x 1.5') 1 Rapid/Program Start Ballast (BF &gt; 1.10) </t>
  </si>
  <si>
    <t>FUT8-25W x 2L x 1.5'-RS/PRS VR</t>
  </si>
  <si>
    <t xml:space="preserve">Fluorescent U Tube T8 (25W x 2L x 1.5') 1 Rapid/Program Start Ballast (BF &lt; 0.75) </t>
  </si>
  <si>
    <t>FUT8-25W x 2L x 2'-IS H</t>
  </si>
  <si>
    <t xml:space="preserve">Fluorescent U Tube T8 (25W x 2L x 2') 1 Instant start Ballast (0.95 &lt; BF &lt; 1.10) </t>
  </si>
  <si>
    <t>FUT8-25W x 2L x 2'-IS N</t>
  </si>
  <si>
    <t xml:space="preserve">Fluorescent U Tube T8 (25W x 2L x 2') 1 Instant start Ballast (0.85 &lt; BF &lt; 0.95) </t>
  </si>
  <si>
    <t>FUT8-25W x 2L x 2'-IS N T2</t>
  </si>
  <si>
    <t>Fluorescent U Tube T8 (25W x 2L x 2') 1 Instant start Ballast (0.85 &lt; BF &lt; 0.95) Tandem - 2 Fixtures/Ballast</t>
  </si>
  <si>
    <t>FUT8-25W x 2L x 2'-IS R</t>
  </si>
  <si>
    <t xml:space="preserve">Fluorescent U Tube T8 (25W x 2L x 2') 1 Instant start Ballast (0.75 &lt; BF &lt; 0.85) </t>
  </si>
  <si>
    <t>FUT8-25W x 2L x 2'-IS VH</t>
  </si>
  <si>
    <t xml:space="preserve">Fluorescent U Tube T8 (25W x 2L x 2') 1 Instant start Ballast (BF &gt; 1.10) </t>
  </si>
  <si>
    <t>FUT8-25W x 2L x 2'-IS(E) N</t>
  </si>
  <si>
    <t xml:space="preserve">Fluorescent U Tube T8 (25W x 2L x 2') 1 Efficient Instant start Ballast (0.85 &lt; BF &lt; 0.95) </t>
  </si>
  <si>
    <t>FUT8-25W x 2L x 2'-IS(E) R</t>
  </si>
  <si>
    <t xml:space="preserve">Fluorescent U Tube T8 (25W x 2L x 2') 1 Efficient Instant start Ballast (0.75 &lt; BF &lt; 0.85) </t>
  </si>
  <si>
    <t>FUT8-25W x 2L x 2'-RS/PRS H</t>
  </si>
  <si>
    <t xml:space="preserve">Fluorescent U Tube T8 (25W x 2L x 2') 1 Rapid/Program Start Ballast (0.95 &lt; BF &lt; 1.10) </t>
  </si>
  <si>
    <t>FUT8-25W x 2L x 2'-RS/PRS N</t>
  </si>
  <si>
    <t xml:space="preserve">Fluorescent U Tube T8 (25W x 2L x 2') 1 Rapid/Program Start Ballast (0.85 &lt; BF &lt; 0.95) </t>
  </si>
  <si>
    <t>FUT8-25W x 2L x 2'-RS/PRS N T2</t>
  </si>
  <si>
    <t>Fluorescent U Tube T8 (25W x 2L x 2') 1 Rapid/Program Start Ballast (0.85 &lt; BF &lt; 0.95) Tandem - 2 Fixtures/Ballast</t>
  </si>
  <si>
    <t>FUT8-25W x 2L x 2'-RS/PRS N T4</t>
  </si>
  <si>
    <t>Fluorescent U Tube T8 (25W x 2L x 2') 1 Rapid/Program Start Ballast (0.85 &lt; BF &lt; 0.95) Tandem - 4 Fixtures/Ballast</t>
  </si>
  <si>
    <t>FUT8-25W x 2L x 2'-RS/PRS R T2</t>
  </si>
  <si>
    <t>Fluorescent U Tube T8 (25W x 2L x 2') 1 Rapid/Program Start Ballast (0.75 &lt; BF &lt; 0.85) Tandem - 2 Fixtures/Ballast</t>
  </si>
  <si>
    <t>FUT8-25W x 2L x 2'-RS/PRS VH</t>
  </si>
  <si>
    <t xml:space="preserve">Fluorescent U Tube T8 (25W x 2L x 2') 1 Rapid/Program Start Ballast (BF &gt; 1.10) </t>
  </si>
  <si>
    <t>FUT8-25W x 2L x 2'-RS/PRS VR</t>
  </si>
  <si>
    <t xml:space="preserve">Fluorescent U Tube T8 (25W x 2L x 2') 1 Rapid/Program Start Ballast (BF &lt; 0.75) </t>
  </si>
  <si>
    <t>FUT8-25W x 2L x 2'-RS/PRS VR T2</t>
  </si>
  <si>
    <t>Fluorescent U Tube T8 (25W x 2L x 2') 1 Rapid/Program Start Ballast (BF &lt; 0.75) Tandem - 2 Fixtures/Ballast</t>
  </si>
  <si>
    <t>FUT8-25W x 2L x 2'-RS/PRS(E) N</t>
  </si>
  <si>
    <t xml:space="preserve">Fluorescent U Tube T8 (25W x 2L x 2') 1 Efficient Rapid/Program Start Ballast (0.85 &lt; BF &lt; 0.95) </t>
  </si>
  <si>
    <t>FUT8-25W x 2'-RS/PRS H</t>
  </si>
  <si>
    <t xml:space="preserve">Fluorescent U Tube T8 (25W x 1L x 2') 1 Rapid/Program Start Ballast (0.95 &lt; BF &lt; 1.10) </t>
  </si>
  <si>
    <t>FUT8-25W x 2'-RS/PRS N</t>
  </si>
  <si>
    <t xml:space="preserve">Fluorescent U Tube T8 (25W x 1L x 2') 1 Rapid/Program Start Ballast (0.85 &lt; BF &lt; 0.95) </t>
  </si>
  <si>
    <t>FUT8-25W x 2'-RS/PRS N T2</t>
  </si>
  <si>
    <t>Fluorescent U Tube T8 (25W x 1L x 2') 1 Rapid/Program Start Ballast (0.85 &lt; BF &lt; 0.95) Tandem - 2 Fixtures/Ballast</t>
  </si>
  <si>
    <t>FUT8-25W x 2'-RS/PRS VH</t>
  </si>
  <si>
    <t xml:space="preserve">Fluorescent U Tube T8 (25W x 1L x 2') 1 Rapid/Program Start Ballast (BF &gt; 1.10) </t>
  </si>
  <si>
    <t>FUT8-25W x 2'-RS/PRS VR</t>
  </si>
  <si>
    <t xml:space="preserve">Fluorescent U Tube T8 (25W x 1L x 2') 1 Rapid/Program Start Ballast (BF &lt; 0.75) </t>
  </si>
  <si>
    <t>FUT8-25W x 2'-RS/PRS VR T2</t>
  </si>
  <si>
    <t>Fluorescent U Tube T8 (25W x 1L x 2') 1 Rapid/Program Start Ballast (BF &lt; 0.75) Tandem - 2 Fixtures/Ballast</t>
  </si>
  <si>
    <t>FUT8-25W x 2'-RS/PRS(E) N</t>
  </si>
  <si>
    <t xml:space="preserve">Fluorescent U Tube T8 (25W x 1L x 2') 1 Efficient Rapid/Program Start Ballast (0.85 &lt; BF &lt; 0.95) </t>
  </si>
  <si>
    <t>FUT8-25W x 3L x 1.5'-IS N</t>
  </si>
  <si>
    <t xml:space="preserve">Fluorescent U Tube T8 (25W x 3L x 1.5') 1 Instant start Ballast (0.85 &lt; BF &lt; 0.95) </t>
  </si>
  <si>
    <t>FUT8-25W x 3L x 1.5'-IS R</t>
  </si>
  <si>
    <t xml:space="preserve">Fluorescent U Tube T8 (25W x 3L x 1.5') 1 Instant start Ballast (0.75 &lt; BF &lt; 0.85) </t>
  </si>
  <si>
    <t>FUT8-25W x 3L x 1.5'-IS VH</t>
  </si>
  <si>
    <t xml:space="preserve">Fluorescent U Tube T8 (25W x 3L x 1.5') 1 Instant start Ballast (BF &gt; 1.10) </t>
  </si>
  <si>
    <t>FUT8-25W x 3L x 1.5'-IS(E) R</t>
  </si>
  <si>
    <t xml:space="preserve">Fluorescent U Tube T8 (25W x 3L x 1.5') 1 Efficient Instant Start Ballast (0.75 &lt; BF &lt; 0.85) </t>
  </si>
  <si>
    <t>FUT8-25W x 3L x 1.5'-IS(E) VH</t>
  </si>
  <si>
    <t xml:space="preserve">Fluorescent U Tube T8 (25W x 3L x 1.5') 1 Efficient Instant Start Ballast (BF &gt; 1.10) </t>
  </si>
  <si>
    <t>FUT8-25W x 3L x 1.5'-RS/PRS N</t>
  </si>
  <si>
    <t xml:space="preserve">Fluorescent U Tube T8 (25W x 3L x 1.5') 1 Rapid/Program Start Ballast (0.85 &lt; BF &lt; 0.95) </t>
  </si>
  <si>
    <t>FUT8-25W x 3L x 1.5'-RS/PRS VH</t>
  </si>
  <si>
    <t xml:space="preserve">Fluorescent U Tube T8 (25W x 3L x 1.5') 1 Rapid/Program Start Ballast (BF &gt; 1.10) </t>
  </si>
  <si>
    <t>FUT8-25W x 3L x 1.5'-RS/PRS VR</t>
  </si>
  <si>
    <t xml:space="preserve">Fluorescent U Tube T8 (25W x 3L x 1.5') 1 Rapid/Program Start Ballast (BF &lt; 0.75) </t>
  </si>
  <si>
    <t>FUT8-25W x 3L x 1.5'-RS/PRS(E) N</t>
  </si>
  <si>
    <t xml:space="preserve">Fluorescent U Tube T8 (25W x 3L x 1.5') 1 Efficient Rapid/Program Start Ballast (0.85 &lt; BF &lt; 0.95) </t>
  </si>
  <si>
    <t>FUT8-25W x 3L x 2'-IS N</t>
  </si>
  <si>
    <t xml:space="preserve">Fluorescent U Tube T8 (25W x 3L x 2') 1 Instant start Ballast (0.85 &lt; BF &lt; 0.95) </t>
  </si>
  <si>
    <t>FUT8-25W x 3L x 2'-IS R</t>
  </si>
  <si>
    <t xml:space="preserve">Fluorescent U Tube T8 (25W x 3L x 2') 1 Instant start Ballast (0.75 &lt; BF &lt; 0.85) </t>
  </si>
  <si>
    <t>FUT8-25W x 3L x 2'-IS VH</t>
  </si>
  <si>
    <t xml:space="preserve">Fluorescent U Tube T8 (25W x 3L x 2') 1 Instant start Ballast (BF &gt; 1.10) </t>
  </si>
  <si>
    <t>FUT8-25W x 3L x 2'-RS/PRS N</t>
  </si>
  <si>
    <t xml:space="preserve">Fluorescent U Tube T8 (25W x 3L x 2') 1 Rapid/Program Start Ballast (0.85 &lt; BF &lt; 0.95) </t>
  </si>
  <si>
    <t>FUT8-25W x 3L x 2'-RS/PRS VH</t>
  </si>
  <si>
    <t xml:space="preserve">Fluorescent U Tube T8 (25W x 3L x 2') 1 Rapid/Program Start Ballast (BF &gt; 1.10) </t>
  </si>
  <si>
    <t>FUT8-25W x 3L x 2'-RS/PRS VR</t>
  </si>
  <si>
    <t xml:space="preserve">Fluorescent U Tube T8 (25W x 3L x 2') 1 Rapid/Program Start Ballast (BF &lt; 0.75) </t>
  </si>
  <si>
    <t>FUT8-25W x 4L x 1.5'-IS N</t>
  </si>
  <si>
    <t xml:space="preserve">Fluorescent U Tube T8 (25W x 4L x 1.5') 1 Instant start Ballast (0.85 &lt; BF &lt; 0.95) </t>
  </si>
  <si>
    <t>FUT8-25W x 4L x 1.5'-IS R</t>
  </si>
  <si>
    <t xml:space="preserve">Fluorescent U Tube T8 (25W x 4L x 1.5') 1 Instant start Ballast (0.75 &lt; BF &lt; 0.85) </t>
  </si>
  <si>
    <t>FUT8-25W x 4L x 1.5'-IS VH</t>
  </si>
  <si>
    <t xml:space="preserve">Fluorescent U Tube T8 (25W x 4L x 1.5') 1 Instant start Ballast (BF &gt; 1.10) </t>
  </si>
  <si>
    <t>FUT8-25W x 4L x 1.5'-IS(E) N</t>
  </si>
  <si>
    <t xml:space="preserve">Fluorescent U Tube T8 (25W x 4L x 1.5') 1 Efficient Instant Start Ballast (0.85 &lt; BF &lt; 0.95) </t>
  </si>
  <si>
    <t>FUT8-25W x 4L x 1.5'-IS(E) R</t>
  </si>
  <si>
    <t xml:space="preserve">Fluorescent U Tube T8 (25W x 4L x 1.5') 1 Efficient Instant Start Ballast (0.75 &lt; BF &lt; 0.85) </t>
  </si>
  <si>
    <t>FUT8-25W x 4L x 1.5'-IS(E) VH</t>
  </si>
  <si>
    <t xml:space="preserve">Fluorescent U Tube T8 (25W x 4L x 1.5') 1 Efficient Instant Start Ballast (BF &gt; 1.10) </t>
  </si>
  <si>
    <t>FUT8-25W x 4L x 1.5'-RS/PRS N</t>
  </si>
  <si>
    <t xml:space="preserve">Fluorescent U Tube T8 (25W x 4L x 1.5') 1 Rapid/Program Start Ballast (0.85 &lt; BF &lt; 0.95) </t>
  </si>
  <si>
    <t>FUT8-25W x 4L x 1.5'-RS/PRS VH</t>
  </si>
  <si>
    <t xml:space="preserve">Fluorescent U Tube T8 (25W x 4L x 1.5') 1 Rapid/Program Start Ballast (BF &gt; 1.10) </t>
  </si>
  <si>
    <t>FUT8-25W x 4L x 1.5'-RS/PRS(E) N</t>
  </si>
  <si>
    <t xml:space="preserve">Fluorescent U Tube T8 (25W x 4L x 1.5') 1 Efficient Rapid/Program Start Ballast (0.85 &lt; BF &lt; 0.95) </t>
  </si>
  <si>
    <t>FUT8-25W x 4L x 2'-IS N</t>
  </si>
  <si>
    <t xml:space="preserve">Fluorescent U Tube T8 (25W x 4L x 2') 1 Instant start Ballast (0.85 &lt; BF &lt; 0.95) </t>
  </si>
  <si>
    <t>FUT8-25W x 4L x 2'-IS R</t>
  </si>
  <si>
    <t xml:space="preserve">Fluorescent U Tube T8 (25W x 4L x 2') 1 Instant start Ballast (0.75 &lt; BF &lt; 0.85) </t>
  </si>
  <si>
    <t>FUT8-25W x 4L x 2'-IS VH</t>
  </si>
  <si>
    <t xml:space="preserve">Fluorescent U Tube T8 (25W x 4L x 2') 1 Instant start Ballast (BF &gt; 1.10) </t>
  </si>
  <si>
    <t>FUT8-25W x 4L x 2'-RS/PRS N</t>
  </si>
  <si>
    <t xml:space="preserve">Fluorescent U Tube T8 (25W x 4L x 2') 1 Rapid/Program Start Ballast (0.85 &lt; BF &lt; 0.95) </t>
  </si>
  <si>
    <t>FUT8-25W x 4L x 2'-RS/PRS VH</t>
  </si>
  <si>
    <t xml:space="preserve">Fluorescent U Tube T8 (25W x 4L x 2') 1 Rapid/Program Start Ballast (BF &gt; 1.10) </t>
  </si>
  <si>
    <t>FUT8-28W x 2'-IS H</t>
  </si>
  <si>
    <t xml:space="preserve">Fluorescent U Tube T8 (28W x 1L x 2') 1 Instant start Ballast (0.95 &lt; BF &lt; 1.10) </t>
  </si>
  <si>
    <t>FUT8-28W x 2'-IS N</t>
  </si>
  <si>
    <t xml:space="preserve">Fluorescent U Tube T8 (28W x 1L x 2') 1 Instant start Ballast (0.85 &lt; BF &lt; 0.95) </t>
  </si>
  <si>
    <t>FUT8-28W x 2'-IS R</t>
  </si>
  <si>
    <t xml:space="preserve">Fluorescent U Tube T8 (28W x 1L x 2') 1 Instant start Ballast (0.75 &lt; BF &lt; 0.85) </t>
  </si>
  <si>
    <t>FUT8-28W x 2L x 2'-IS H</t>
  </si>
  <si>
    <t xml:space="preserve">Fluorescent U Tube T8 (28W x 2L x 2') 1 Instant start Ballast (0.95 &lt; BF &lt; 1.10) </t>
  </si>
  <si>
    <t>FUT8-28W x 2L x 2'-IS N</t>
  </si>
  <si>
    <t xml:space="preserve">Fluorescent U Tube T8 (28W x 2L x 2') 1 Instant start Ballast (0.85 &lt; BF &lt; 0.95) </t>
  </si>
  <si>
    <t>FUT8-28W x 2L x 2'-IS N T2</t>
  </si>
  <si>
    <t>Fluorescent U Tube T8 (28W x 2L x 2') 1 Instant start Ballast (0.85 &lt; BF &lt; 0.95) Tandem - 2 Fixtures/Ballast</t>
  </si>
  <si>
    <t>FUT8-28W x 2L x 2'-IS R</t>
  </si>
  <si>
    <t xml:space="preserve">Fluorescent U Tube T8 (28W x 2L x 2') 1 Instant start Ballast (0.75 &lt; BF &lt; 0.85) </t>
  </si>
  <si>
    <t>FUT8-28W x 2L x 2'-IS R T2</t>
  </si>
  <si>
    <t>Fluorescent U Tube T8 (28W x 2L x 2') 1 Instant start Ballast (0.75 &lt; BF &lt; 0.85) Tandem - 2 Fixtures/Ballast</t>
  </si>
  <si>
    <t>FUT8-28W x 2L x 2'-IS VR</t>
  </si>
  <si>
    <t xml:space="preserve">Fluorescent U Tube T8 (28W x 2L x 2') 1 Instant start Ballast (BF &lt; 0.75) </t>
  </si>
  <si>
    <t>FUT8-28W x 2L x 2'-RS/PRS N</t>
  </si>
  <si>
    <t xml:space="preserve">Fluorescent U Tube T8 (28W x 2L x 2') 1 Rapid/Program Start Ballast (0.85 &lt; BF &lt; 0.95) </t>
  </si>
  <si>
    <t>FUT8-28W x 2L x 2'-RS/PRS N T2</t>
  </si>
  <si>
    <t>Fluorescent U Tube T8 (28W x 2L x 2') 1 Rapid/Program Start Ballast (0.85 &lt; BF &lt; 0.95) Tandem - 2 Fixtures/Ballast</t>
  </si>
  <si>
    <t>FUT8-28W x 2L x 2'-RS/PRS VH</t>
  </si>
  <si>
    <t xml:space="preserve">Fluorescent U Tube T8 (28W x 2L x 2') 1 Rapid/Program Start Ballast (BF &gt; 1.10) </t>
  </si>
  <si>
    <t>FUT8-28W x 2L x 2'-RS/PRS VR</t>
  </si>
  <si>
    <t xml:space="preserve">Fluorescent U Tube T8 (28W x 2L x 2') 1 Rapid/Program Start Ballast (BF &lt; 0.75) </t>
  </si>
  <si>
    <t>FUT8-28W x 2L x 2'-RS/PRS VR T2</t>
  </si>
  <si>
    <t>Fluorescent U Tube T8 (28W x 2L x 2') 1 Rapid/Program Start Ballast (BF &lt; 0.75) Tandem - 2 Fixtures/Ballast</t>
  </si>
  <si>
    <t>FUT8-28W x 2'-RS/PRS N</t>
  </si>
  <si>
    <t xml:space="preserve">Fluorescent U Tube T8 (28W x 1L x 2') 1 Rapid/Program Start Ballast (0.85 &lt; BF &lt; 0.95) </t>
  </si>
  <si>
    <t>FUT8-28W x 2'-RS/PRS VH</t>
  </si>
  <si>
    <t xml:space="preserve">Fluorescent U Tube T8 (28W x 1L x 2') 1 Rapid/Program Start Ballast (BF &gt; 1.10) </t>
  </si>
  <si>
    <t>FUT8-28W x 2'-RS/PRS VR</t>
  </si>
  <si>
    <t xml:space="preserve">Fluorescent U Tube T8 (28W x 1L x 2') 1 Rapid/Program Start Ballast (BF &lt; 0.75) </t>
  </si>
  <si>
    <t>FUT8-28W x 3L x 2'-IS H</t>
  </si>
  <si>
    <t xml:space="preserve">Fluorescent U Tube T8 (28W x 3L x 2') 1 Instant start Ballast (0.95 &lt; BF &lt; 1.10) </t>
  </si>
  <si>
    <t>FUT8-28W x 3L x 2'-IS N</t>
  </si>
  <si>
    <t xml:space="preserve">Fluorescent U Tube T8 (28W x 3L x 2') 1 Instant start Ballast (0.85 &lt; BF &lt; 0.95) </t>
  </si>
  <si>
    <t>FUT8-28W x 3L x 2'-IS R</t>
  </si>
  <si>
    <t xml:space="preserve">Fluorescent U Tube T8 (28W x 3L x 2') 1 Instant start Ballast (0.75 &lt; BF &lt; 0.85) </t>
  </si>
  <si>
    <t>FUT8-28W x 3L x 2'-IS VH</t>
  </si>
  <si>
    <t xml:space="preserve">Fluorescent U Tube T8 (28W x 3L x 2') 1 Instant start Ballast (BF &gt; 1.10) </t>
  </si>
  <si>
    <t>FUT8-28W x 3L x 2'-RS/PRS N</t>
  </si>
  <si>
    <t xml:space="preserve">Fluorescent U Tube T8 (28W x 3L x 2') 1 Rapid/Program Start Ballast (0.85 &lt; BF &lt; 0.95) </t>
  </si>
  <si>
    <t>FUT8-28W x 3L x 2'-RS/PRS VH</t>
  </si>
  <si>
    <t xml:space="preserve">Fluorescent U Tube T8 (28W x 3L x 2') 1 Rapid/Program Start Ballast (BF &gt; 1.10) </t>
  </si>
  <si>
    <t>FUT8-28W x 3L x 2'-RS/PRS VR</t>
  </si>
  <si>
    <t xml:space="preserve">Fluorescent U Tube T8 (28W x 3L x 2') 1 Rapid/Program Start Ballast (BF &lt; 0.75) </t>
  </si>
  <si>
    <t>FUT8-28W x 4L x 2'-IS H</t>
  </si>
  <si>
    <t xml:space="preserve">Fluorescent U Tube T8 (28W x 4L x 2') 1 Instant start Ballast (0.95 &lt; BF &lt; 1.10) </t>
  </si>
  <si>
    <t>FUT8-28W x 4L x 2'-IS N</t>
  </si>
  <si>
    <t xml:space="preserve">Fluorescent U Tube T8 (28W x 4L x 2') 1 Instant start Ballast (0.85 &lt; BF &lt; 0.95) </t>
  </si>
  <si>
    <t>FUT8-28W x 4L x 2'-IS R</t>
  </si>
  <si>
    <t xml:space="preserve">Fluorescent U Tube T8 (28W x 4L x 2') 1 Instant start Ballast (0.75 &lt; BF &lt; 0.85) </t>
  </si>
  <si>
    <t>FUT8-28W x 4L x 2'-IS VH</t>
  </si>
  <si>
    <t xml:space="preserve">Fluorescent U Tube T8 (28W x 4L x 2') 1 Instant start Ballast (BF &gt; 1.10) </t>
  </si>
  <si>
    <t>FUT8-28W x 4L x 2'-RS/PRS N</t>
  </si>
  <si>
    <t xml:space="preserve">Fluorescent U Tube T8 (28W x 4L x 2') 1 Rapid/Program Start Ballast (0.85 &lt; BF &lt; 0.95) </t>
  </si>
  <si>
    <t>FUT8-28W x 4L x 2'-RS/PRS VH</t>
  </si>
  <si>
    <t xml:space="preserve">Fluorescent U Tube T8 (28W x 4L x 2') 1 Rapid/Program Start Ballast (BF &gt; 1.10) </t>
  </si>
  <si>
    <t>FUT8-28W x 4L x 2'-RS/PRS VR</t>
  </si>
  <si>
    <t xml:space="preserve">Fluorescent U Tube T8 (28W x 4L x 2') 1 Rapid/Program Start Ballast (BF &lt; 0.75) </t>
  </si>
  <si>
    <t>FUT8-30W x 2'-IS H</t>
  </si>
  <si>
    <t xml:space="preserve">Fluorescent U Tube T8 (30W x 1L x 2') 1 Instant start Ballast (0.95 &lt; BF &lt; 1.10) </t>
  </si>
  <si>
    <t>FUT8-30W x 2'-IS N</t>
  </si>
  <si>
    <t xml:space="preserve">Fluorescent U Tube T8 (30W x 1L x 2') 1 Instant start Ballast (0.85 &lt; BF &lt; 0.95) </t>
  </si>
  <si>
    <t>FUT8-30W x 2'-IS R</t>
  </si>
  <si>
    <t xml:space="preserve">Fluorescent U Tube T8 (30W x 1L x 2') 1 Instant start Ballast (0.75 &lt; BF &lt; 0.85) </t>
  </si>
  <si>
    <t>FUT8-30W x 2L x 2'-IS H</t>
  </si>
  <si>
    <t xml:space="preserve">Fluorescent U Tube T8 (30W x 2L x 2') 1 Instant start Ballast (0.95 &lt; BF &lt; 1.10) </t>
  </si>
  <si>
    <t>FUT8-30W x 2L x 2'-IS N</t>
  </si>
  <si>
    <t xml:space="preserve">Fluorescent U Tube T8 (30W x 2L x 2') 1 Instant start Ballast (0.85 &lt; BF &lt; 0.95) </t>
  </si>
  <si>
    <t>FUT8-30W x 2L x 2'-IS R</t>
  </si>
  <si>
    <t xml:space="preserve">Fluorescent U Tube T8 (30W x 2L x 2') 1 Instant start Ballast (0.75 &lt; BF &lt; 0.85) </t>
  </si>
  <si>
    <t>FUT8-30W x 2L x 2'-IS VH</t>
  </si>
  <si>
    <t xml:space="preserve">Fluorescent U Tube T8 (30W x 2L x 2') 1 Instant start Ballast (BF &gt; 1.10) </t>
  </si>
  <si>
    <t>FUT8-30W x 2L x 2'-RS/PRS H</t>
  </si>
  <si>
    <t xml:space="preserve">Fluorescent U Tube T8 (30W x 2L x 2') 1 Rapid/Program Start Ballast (0.95 &lt; BF &lt; 1.10) </t>
  </si>
  <si>
    <t>FUT8-30W x 2L x 2'-RS/PRS N</t>
  </si>
  <si>
    <t xml:space="preserve">Fluorescent U Tube T8 (30W x 2L x 2') 1 Rapid/Program Start Ballast (0.85 &lt; BF &lt; 0.95) </t>
  </si>
  <si>
    <t>FUT8-30W x 2'-RS/PRS H</t>
  </si>
  <si>
    <t xml:space="preserve">Fluorescent U Tube T8 (30W x 1L x 2') 1 Rapid/Program Start Ballast (0.95 &lt; BF &lt; 1.10) </t>
  </si>
  <si>
    <t>FUT8-30W x 2'-RS/PRS N</t>
  </si>
  <si>
    <t xml:space="preserve">Fluorescent U Tube T8 (30W x 1L x 2') 1 Rapid/Program Start Ballast (0.85 &lt; BF &lt; 0.95) </t>
  </si>
  <si>
    <t>FUT8-30W x 4L x 2'-IS N</t>
  </si>
  <si>
    <t xml:space="preserve">Fluorescent U Tube T8 (30W x 4L x 2') 1 Instant start Ballast (0.85 &lt; BF &lt; 0.95) </t>
  </si>
  <si>
    <t>FUT8-30W x 4L x 2'-IS R</t>
  </si>
  <si>
    <t xml:space="preserve">Fluorescent U Tube T8 (30W x 4L x 2') 1 Instant start Ballast (0.75 &lt; BF &lt; 0.85) </t>
  </si>
  <si>
    <t>FUT8-30W x 4L x 2'-IS VH</t>
  </si>
  <si>
    <t xml:space="preserve">Fluorescent U Tube T8 (30W x 4L x 2') 1 Instant start Ballast (BF &gt; 1.10) </t>
  </si>
  <si>
    <t>FUT8-30W x 4L x 2'-RS/PRS N</t>
  </si>
  <si>
    <t xml:space="preserve">Fluorescent U Tube T8 (30W x 4L x 2') 1 Rapid/Program Start Ballast (0.85 &lt; BF &lt; 0.95) </t>
  </si>
  <si>
    <t>FUT8-31W x 2'-IS R</t>
  </si>
  <si>
    <t xml:space="preserve">Fluorescent U Tube T8 (31W x 1L x 2') 1 Instant start Ballast (0.75 &lt; BF &lt; 0.85) </t>
  </si>
  <si>
    <t>FUT8-31W x 2L x 2'-IS R</t>
  </si>
  <si>
    <t xml:space="preserve">Fluorescent U Tube T8 (31W x 2L x 2') 1 Instant start Ballast (0.75 &lt; BF &lt; 0.85) </t>
  </si>
  <si>
    <t>FUT8-32W x 2'-IS H</t>
  </si>
  <si>
    <t xml:space="preserve">Fluorescent U Tube T8 (32W x 1L x 2') 1 Instant start Ballast (0.95 &lt; BF &lt; 1.10) </t>
  </si>
  <si>
    <t>FUT8-32W x 2'-IS N</t>
  </si>
  <si>
    <t xml:space="preserve">Fluorescent U Tube T8 (32W x 1L x 2') 1 Instant start Ballast (0.85 &lt; BF &lt; 0.95) </t>
  </si>
  <si>
    <t>FUT8-32W x 2'-IS R</t>
  </si>
  <si>
    <t xml:space="preserve">Fluorescent U Tube T8 (32W x 1L x 2') 1 Instant start Ballast (0.75 &lt; BF &lt; 0.85) </t>
  </si>
  <si>
    <t>FUT8-32W x 2'-IS VH</t>
  </si>
  <si>
    <t xml:space="preserve">Fluorescent U Tube T8 (32W x 1L x 2') 1 Instant start Ballast (BF &gt; 1.10) </t>
  </si>
  <si>
    <t>FUT8-32W x 2'-IS(E) H</t>
  </si>
  <si>
    <t xml:space="preserve">Fluorescent U Tube T8 (32W x 1L x 2') 1 Efficient Instant Start Ballast (0.95 &lt; BF &lt; 1.10) </t>
  </si>
  <si>
    <t>FUT8-32W x 2'-IS(E) N</t>
  </si>
  <si>
    <t xml:space="preserve">Fluorescent U Tube T8 (32W x 1L x 2') 1 Efficient Instant Start Ballast (0.85 &lt; BF &lt; 0.95) </t>
  </si>
  <si>
    <t>FUT8-32W x 2'-IS(E) R</t>
  </si>
  <si>
    <t xml:space="preserve">Fluorescent U Tube T8 (32W x 1L x 2') 1 Efficient Instant start Ballast (0.75 &lt; BF &lt; 0.85) </t>
  </si>
  <si>
    <t>FUT8-32W x 2L x 2'-IS H</t>
  </si>
  <si>
    <t xml:space="preserve">Fluorescent U Tube T8 (32W x 2L x 2') 1 Instant start Ballast (0.95 &lt; BF &lt; 1.10) </t>
  </si>
  <si>
    <t>FUT8-32W x 2L x 2'-IS N</t>
  </si>
  <si>
    <t xml:space="preserve">Fluorescent U Tube T8 (32W x 2L x 2') 1 Instant start Ballast (0.85 &lt; BF &lt; 0.95) </t>
  </si>
  <si>
    <t>FUT8-32W x 2L x 2'-IS N T2</t>
  </si>
  <si>
    <t>Fluorescent U Tube T8 (32W x 2L x 2') 1 Instant start Ballast (0.85 &lt; BF &lt; 0.95) Tandem - 2 Fixtures/Ballast</t>
  </si>
  <si>
    <t>FUT8-32W x 2L x 2'-IS N T4</t>
  </si>
  <si>
    <t>Fluorescent U Tube T8 (32W x 2L x 2') 1 Instant start Ballast (0.85 &lt; BF &lt; 0.95) Tandem - 4 Fixtures/Ballast</t>
  </si>
  <si>
    <t>FUT8-32W x 2L x 2'-IS R</t>
  </si>
  <si>
    <t xml:space="preserve">Fluorescent U Tube T8 (32W x 2L x 2') 1 Instant start Ballast (0.75 &lt; BF &lt; 0.85) </t>
  </si>
  <si>
    <t>FUT8-32W x 2L x 2'-IS R T4</t>
  </si>
  <si>
    <t>Fluorescent U Tube T8 (32W x 2L x 2') 1 Instant start Ballast (0.75 &lt; BF &lt; 0.85) Tandem - 4 Fixtures/Ballast</t>
  </si>
  <si>
    <t>FUT8-32W x 2L x 2'-IS VH</t>
  </si>
  <si>
    <t xml:space="preserve">Fluorescent U Tube T8 (32W x 2L x 2') 1 Instant start Ballast (BF &gt; 1.10) </t>
  </si>
  <si>
    <t>FUT8-32W x 2L x 2'-IS VR</t>
  </si>
  <si>
    <t xml:space="preserve">Fluorescent U Tube T8 (32W x 2L x 2') 1 Instant start Ballast (BF &lt; 0.75) </t>
  </si>
  <si>
    <t>FUT8-32W x 2L x 2'-IS(E) H</t>
  </si>
  <si>
    <t xml:space="preserve">Fluorescent U Tube T8 (32W x 2L x 2') 1 Efficient Instant Start Ballast (0.95 &lt; BF &lt; 1.10) </t>
  </si>
  <si>
    <t>FUT8-32W x 2L x 2'-IS(E) N</t>
  </si>
  <si>
    <t xml:space="preserve">Fluorescent U Tube T8 (32W x 2L x 2') 1 Efficient Instant Start Ballast (0.85 &lt; BF &lt; 0.95) </t>
  </si>
  <si>
    <t>FUT8-32W x 2L x 2'-IS(E) R</t>
  </si>
  <si>
    <t xml:space="preserve">Fluorescent U Tube T8 (32W x 2L x 2') 1 Efficient Instant Start Ballast (0.75 &lt; BF &lt; 0.85) </t>
  </si>
  <si>
    <t>FUT8-32W x 2L x 2'-RS/PRS H</t>
  </si>
  <si>
    <t xml:space="preserve">Fluorescent U Tube T8 (32W x 2L x 2') 1 Rapid/Program Start Ballast (0.95 &lt; BF &lt; 1.10) </t>
  </si>
  <si>
    <t>FUT8-32W x 2L x 2'-RS/PRS N</t>
  </si>
  <si>
    <t xml:space="preserve">Fluorescent U Tube T8 (32W x 2L x 2') 1 Rapid/Program Start Ballast (0.85 &lt; BF &lt; 0.95) </t>
  </si>
  <si>
    <t>FUT8-32W x 2L x 2'-RS/PRS VH</t>
  </si>
  <si>
    <t xml:space="preserve">Fluorescent U Tube T8 (32W x 2L x 2') 1 Rapid/Program Start Ballast (BF &gt; 1.10) </t>
  </si>
  <si>
    <t>FUT8-32W x 2L x 2'-RS/PRS VR</t>
  </si>
  <si>
    <t xml:space="preserve">Fluorescent U Tube T8 (32W x 2L x 2') 1 Rapid/Program Start Ballast (BF &lt; 0.75) </t>
  </si>
  <si>
    <t>FUT8-32W x 2L x 2'-RS/PRS(E) N</t>
  </si>
  <si>
    <t xml:space="preserve">Fluorescent U Tube T8 (32W x 2L x 2') 1 Efficient Rapid/Program Start Ballast (0.85 &lt; BF &lt; 0.95) </t>
  </si>
  <si>
    <t>FUT8-32W x 2'-RS/PRS H</t>
  </si>
  <si>
    <t xml:space="preserve">Fluorescent U Tube T8 (32W x 1L x 2') 1 Rapid/Program Start Ballast (0.95 &lt; BF &lt; 1.10) </t>
  </si>
  <si>
    <t>FUT8-32W x 2'-RS/PRS N</t>
  </si>
  <si>
    <t xml:space="preserve">Fluorescent U Tube T8 (32W x 1L x 2') 1 Rapid/Program Start Ballast (0.85 &lt; BF &lt; 0.95) </t>
  </si>
  <si>
    <t>FUT8-32W x 2'-RS/PRS VH</t>
  </si>
  <si>
    <t xml:space="preserve">Fluorescent U Tube T8 (32W x 1L x 2') 1 Rapid/Program Start Ballast (BF &gt; 1.10) </t>
  </si>
  <si>
    <t>FUT8-32W x 2'-RS/PRS VR</t>
  </si>
  <si>
    <t xml:space="preserve">Fluorescent U Tube T8 (32W x 1L x 2') 1 Rapid/Program Start Ballast (BF &lt; 0.75) </t>
  </si>
  <si>
    <t>FUT8-32W x 2'-RS/PRS(E) N</t>
  </si>
  <si>
    <t xml:space="preserve">Fluorescent U Tube T8 (32W x 1L x 2') 1 Efficient Rapid/Program Start Ballast (0.85 &lt; BF &lt; 0.95) </t>
  </si>
  <si>
    <t>FUT8-32W x 3L x 2'-IS H</t>
  </si>
  <si>
    <t xml:space="preserve">Fluorescent U Tube T8 (32W x 3L x 2') 1 Instant start Ballast (0.95 &lt; BF &lt; 1.10) </t>
  </si>
  <si>
    <t>FUT8-32W x 3L x 2'-IS N</t>
  </si>
  <si>
    <t xml:space="preserve">Fluorescent U Tube T8 (32W x 3L x 2') 1 Instant start Ballast (0.85 &lt; BF &lt; 0.95) </t>
  </si>
  <si>
    <t>FUT8-32W x 3L x 2'-IS R</t>
  </si>
  <si>
    <t xml:space="preserve">Fluorescent U Tube T8 (32W x 3L x 2') 1 Instant start Ballast (0.75 &lt; BF &lt; 0.85) </t>
  </si>
  <si>
    <t>FUT8-32W x 3L x 2'-IS VH</t>
  </si>
  <si>
    <t xml:space="preserve">Fluorescent U Tube T8 (32W x 3L x 2') 1 Instant start Ballast (BF &gt; 1.10) </t>
  </si>
  <si>
    <t>FUT8-32W x 3L x 2'-IS(E) N</t>
  </si>
  <si>
    <t xml:space="preserve">Fluorescent U Tube T8 (32W x 3L x 2') 1 Efficient Instant Start Ballast (0.85 &lt; BF &lt; 0.95) </t>
  </si>
  <si>
    <t>FUT8-32W x 3L x 2'-IS(E) R</t>
  </si>
  <si>
    <t xml:space="preserve">Fluorescent U Tube T8 (32W x 3L x 2') 1 Efficient Instant Start Ballast (0.75 &lt; BF &lt; 0.85) </t>
  </si>
  <si>
    <t>FUT8-32W x 3L x 2'-RS/PRS N</t>
  </si>
  <si>
    <t xml:space="preserve">Fluorescent U Tube T8 (32W x 3L x 2') 1 Rapid/Program Start Ballast (0.85 &lt; BF &lt; 0.95) </t>
  </si>
  <si>
    <t>FUT8-32W x 3L x 2'-RS/PRS VR</t>
  </si>
  <si>
    <t xml:space="preserve">Fluorescent U Tube T8 (32W x 3L x 2') 1 Rapid/Program Start Ballast (BF &lt; 0.75) </t>
  </si>
  <si>
    <t>FUT8-32W x 4L x 2'-IS H</t>
  </si>
  <si>
    <t xml:space="preserve">Fluorescent U Tube T8 (32W x 4L x 2') 1 Instant start Ballast (0.95 &lt; BF &lt; 1.10) </t>
  </si>
  <si>
    <t>FUT8-32W x 4L x 2'-IS N</t>
  </si>
  <si>
    <t xml:space="preserve">Fluorescent U Tube T8 (32W x 4L x 2') 1 Instant start Ballast (0.85 &lt; BF &lt; 0.95) </t>
  </si>
  <si>
    <t>FUT8-32W x 4L x 2'-IS R</t>
  </si>
  <si>
    <t xml:space="preserve">Fluorescent U Tube T8 (32W x 4L x 2') 1 Instant start Ballast (0.75 &lt; BF &lt; 0.85) </t>
  </si>
  <si>
    <t>FUT8-32W x 4L x 2'-IS VH</t>
  </si>
  <si>
    <t xml:space="preserve">Fluorescent U Tube T8 (32W x 4L x 2') 1 Instant start Ballast (BF &gt; 1.10) </t>
  </si>
  <si>
    <t>FUT8-32W x 4L x 2'-RS/PRS N</t>
  </si>
  <si>
    <t xml:space="preserve">Fluorescent U Tube T8 (32W x 4L x 2') 1 Rapid/Program Start Ballast (0.85 &lt; BF &lt; 0.95) </t>
  </si>
  <si>
    <t>FUT8-32W x 4L x 2'-RS/PRS VH</t>
  </si>
  <si>
    <t xml:space="preserve">Fluorescent U Tube T8 (32W x 4L x 2') 1 Rapid/Program Start Ballast (BF &gt; 1.10) </t>
  </si>
  <si>
    <t>FUT8-32W x 4L x 2'-RS/PRS VR</t>
  </si>
  <si>
    <t xml:space="preserve">Fluorescent U Tube T8 (32W x 4L x 2') 1 Rapid/Program Start Ballast (BF &lt; 0.75) </t>
  </si>
  <si>
    <t>HPS-1000W</t>
  </si>
  <si>
    <t xml:space="preserve">HID High Pressure Sodium Standard (1000W x 1L) </t>
  </si>
  <si>
    <t>HPS</t>
  </si>
  <si>
    <t>High Pressure Sodium</t>
  </si>
  <si>
    <t>HPS-100W</t>
  </si>
  <si>
    <t xml:space="preserve">HID High Pressure Sodium Standard (100W x 1L) </t>
  </si>
  <si>
    <t>HPS-150W</t>
  </si>
  <si>
    <t xml:space="preserve">HID High Pressure Sodium Standard (150W x 1L) </t>
  </si>
  <si>
    <t>HPS-200W</t>
  </si>
  <si>
    <t xml:space="preserve">HID High Pressure Sodium Standard (200W x 1L) </t>
  </si>
  <si>
    <t xml:space="preserve">HID High Pressure Sodium Standard (250W x 1L) </t>
  </si>
  <si>
    <t>HPS-310W</t>
  </si>
  <si>
    <t xml:space="preserve">HID High Pressure Sodium Standard (310W x 1L) </t>
  </si>
  <si>
    <t>HPS-350W</t>
  </si>
  <si>
    <t xml:space="preserve">HID High Pressure Sodium Standard (350W x 1L) </t>
  </si>
  <si>
    <t>HPS-35W</t>
  </si>
  <si>
    <t xml:space="preserve">HID High Pressure Sodium Standard (35W x 1L) </t>
  </si>
  <si>
    <t>HPS-360W</t>
  </si>
  <si>
    <t xml:space="preserve">HID High Pressure Sodium Standard (360W x 1L) </t>
  </si>
  <si>
    <t>HPS-400W</t>
  </si>
  <si>
    <t xml:space="preserve">HID High Pressure Sodium Standard (400W x 1L) </t>
  </si>
  <si>
    <t>HPS-50W</t>
  </si>
  <si>
    <t xml:space="preserve">HID High Pressure Sodium Standard (50W x 1L) </t>
  </si>
  <si>
    <t>HPS-70W</t>
  </si>
  <si>
    <t xml:space="preserve">HID High Pressure Sodium Standard (70W x 1L) </t>
  </si>
  <si>
    <t>HPS-750W</t>
  </si>
  <si>
    <t xml:space="preserve">HID High Pressure Sodium Standard (750W x 1L) </t>
  </si>
  <si>
    <t>ICH-100W</t>
  </si>
  <si>
    <t xml:space="preserve">Incandescent Halogen Standard (100W x 1L) </t>
  </si>
  <si>
    <t>IC</t>
  </si>
  <si>
    <t>Incandescent</t>
  </si>
  <si>
    <t>Halogen</t>
  </si>
  <si>
    <t>ICH-150W</t>
  </si>
  <si>
    <t xml:space="preserve">Incandescent Halogen Standard (150W x 1L) </t>
  </si>
  <si>
    <t xml:space="preserve">Incandescent Halogen Mogul (150W x 2L) </t>
  </si>
  <si>
    <t>Mogul</t>
  </si>
  <si>
    <t xml:space="preserve">Incandescent Halogen Mogul (250W x 1L) </t>
  </si>
  <si>
    <t xml:space="preserve">Incandescent Halogen Mogul (300W x 1L) </t>
  </si>
  <si>
    <t>ICH-35W</t>
  </si>
  <si>
    <t xml:space="preserve">Incandescent Halogen Standard (35W x 1L) </t>
  </si>
  <si>
    <t>ICH-42W</t>
  </si>
  <si>
    <t xml:space="preserve">Incandescent Halogen Standard (42W x 1L) </t>
  </si>
  <si>
    <t>ICH-45W</t>
  </si>
  <si>
    <t xml:space="preserve">Incandescent Halogen Standard (45W x 1L) </t>
  </si>
  <si>
    <t>ICH-45W x 2L</t>
  </si>
  <si>
    <t xml:space="preserve">Incandescent Halogen Standard (45W x 2L) </t>
  </si>
  <si>
    <t xml:space="preserve">Incandescent Halogen Mogul (500W x 1L) </t>
  </si>
  <si>
    <t>ICH-50W</t>
  </si>
  <si>
    <t xml:space="preserve">Incandescent Halogen Standard (50W x 1L) </t>
  </si>
  <si>
    <t>ICH-50W x 2L</t>
  </si>
  <si>
    <t xml:space="preserve">Incandescent Halogen Standard (50W x 2L) </t>
  </si>
  <si>
    <t>ICH-52W</t>
  </si>
  <si>
    <t xml:space="preserve">Incandescent Halogen Standard (52W x 1L) </t>
  </si>
  <si>
    <t>ICH-55W</t>
  </si>
  <si>
    <t xml:space="preserve">Incandescent Halogen Standard (55W x 1L) </t>
  </si>
  <si>
    <t>ICH-55W x 2L</t>
  </si>
  <si>
    <t xml:space="preserve">Incandescent Halogen Standard (55W x 2L) </t>
  </si>
  <si>
    <t>ICH-60W</t>
  </si>
  <si>
    <t xml:space="preserve">Incandescent Halogen Standard (60W x 1L) </t>
  </si>
  <si>
    <t>ICH-72W</t>
  </si>
  <si>
    <t xml:space="preserve">Incandescent Halogen Standard (72W x 1L) </t>
  </si>
  <si>
    <t>ICH-75W</t>
  </si>
  <si>
    <t xml:space="preserve">Incandescent Halogen Standard (75W x 1L) </t>
  </si>
  <si>
    <t>ICH-75W x 2L</t>
  </si>
  <si>
    <t xml:space="preserve">Incandescent Halogen Standard (75W x 2L) </t>
  </si>
  <si>
    <t>ICH-90W</t>
  </si>
  <si>
    <t xml:space="preserve">Incandescent Halogen Standard (90W x 1L) </t>
  </si>
  <si>
    <t>ICH-90W x 2L</t>
  </si>
  <si>
    <t xml:space="preserve">Incandescent Halogen Standard (90W x 2L) </t>
  </si>
  <si>
    <t>ICMB-100W</t>
  </si>
  <si>
    <t xml:space="preserve">Incandescent Non-Halogen Medium base (100W x 1L) </t>
  </si>
  <si>
    <t>MB</t>
  </si>
  <si>
    <t>Non-Halogen</t>
  </si>
  <si>
    <t>Medium base</t>
  </si>
  <si>
    <t>ICMB-100W x 2L</t>
  </si>
  <si>
    <t xml:space="preserve">Incandescent Non-Halogen Medium base (100W x 2L) </t>
  </si>
  <si>
    <t>ICMB-110W</t>
  </si>
  <si>
    <t xml:space="preserve">Incandescent Non-Halogen Medium base (110W x 1L) </t>
  </si>
  <si>
    <t>ICMB-116W</t>
  </si>
  <si>
    <t xml:space="preserve">Incandescent Non-Halogen Medium base (116W x 1L) </t>
  </si>
  <si>
    <t>ICMB-120W</t>
  </si>
  <si>
    <t xml:space="preserve">Incandescent Non-Halogen Medium base (120W x 1L) </t>
  </si>
  <si>
    <t>ICMB-125W</t>
  </si>
  <si>
    <t xml:space="preserve">Incandescent Non-Halogen Medium base (125W x 1L) </t>
  </si>
  <si>
    <t>ICMB-130W</t>
  </si>
  <si>
    <t xml:space="preserve">Incandescent Non-Halogen Medium base (130W x 1L) </t>
  </si>
  <si>
    <t>ICMB-135W</t>
  </si>
  <si>
    <t xml:space="preserve">Incandescent Non-Halogen Medium base (135W x 1L) </t>
  </si>
  <si>
    <t>ICMB-150W</t>
  </si>
  <si>
    <t xml:space="preserve">Incandescent Non-Halogen Medium base (150W x 1L) </t>
  </si>
  <si>
    <t>ICMB-15W</t>
  </si>
  <si>
    <t xml:space="preserve">Incandescent Non-Halogen Medium base (15W x 1L) </t>
  </si>
  <si>
    <t>ICMB-15W x 2L</t>
  </si>
  <si>
    <t xml:space="preserve">Incandescent Non-Halogen Medium base (15W x 2L) </t>
  </si>
  <si>
    <t>ICMB-160W</t>
  </si>
  <si>
    <t xml:space="preserve">Incandescent Non-Halogen Medium base (160W x 1L) </t>
  </si>
  <si>
    <t>ICMB-170W</t>
  </si>
  <si>
    <t xml:space="preserve">Incandescent Non-Halogen Medium base (170W x 1L) </t>
  </si>
  <si>
    <t>ICMB-200W</t>
  </si>
  <si>
    <t xml:space="preserve">Incandescent Non-Halogen Medium base (200W x 1L) </t>
  </si>
  <si>
    <t>ICMB-20W</t>
  </si>
  <si>
    <t xml:space="preserve">Incandescent Non-Halogen Medium base (20W x 1L) </t>
  </si>
  <si>
    <t>ICMB-20W x 2L</t>
  </si>
  <si>
    <t xml:space="preserve">Incandescent Non-Halogen Medium base (20W x 2L) </t>
  </si>
  <si>
    <t>ICMB-25W</t>
  </si>
  <si>
    <t xml:space="preserve">Incandescent Non-Halogen Medium base (25W x 1L) </t>
  </si>
  <si>
    <t>ICMB-25W x 2L</t>
  </si>
  <si>
    <t xml:space="preserve">Incandescent Non-Halogen Medium base (25W x 2L) </t>
  </si>
  <si>
    <t>ICMB-25W x 4L</t>
  </si>
  <si>
    <t xml:space="preserve">Incandescent Non-Halogen Medium base (25W x 4L) </t>
  </si>
  <si>
    <t>ICMB-25W x 6L</t>
  </si>
  <si>
    <t xml:space="preserve">Incandescent Non-Halogen Medium base (25W x 6L) </t>
  </si>
  <si>
    <t>ICMB-30W</t>
  </si>
  <si>
    <t xml:space="preserve">Incandescent Non-Halogen Medium base (30W x 1L) </t>
  </si>
  <si>
    <t>ICMB-34W</t>
  </si>
  <si>
    <t xml:space="preserve">Incandescent Non-Halogen Medium base (34W x 1L) </t>
  </si>
  <si>
    <t>ICMB-34W x 2L</t>
  </si>
  <si>
    <t xml:space="preserve">Incandescent Non-Halogen Medium base (34W x 2L) </t>
  </si>
  <si>
    <t>ICMB-36W</t>
  </si>
  <si>
    <t xml:space="preserve">Incandescent Non-Halogen Medium base (36W x 1L) </t>
  </si>
  <si>
    <t>ICMB-40W</t>
  </si>
  <si>
    <t xml:space="preserve">Incandescent Non-Halogen Medium base (40W x 1L) </t>
  </si>
  <si>
    <t>ICMB-40W x 2L</t>
  </si>
  <si>
    <t xml:space="preserve">Incandescent Non-Halogen Medium base (40W x 2L) </t>
  </si>
  <si>
    <t>ICMB-42W</t>
  </si>
  <si>
    <t xml:space="preserve">Incandescent Non-Halogen Medium base (42W x 1L) </t>
  </si>
  <si>
    <t>ICMB-45W</t>
  </si>
  <si>
    <t xml:space="preserve">Incandescent Non-Halogen Medium base (45W x 1L) </t>
  </si>
  <si>
    <t>ICMB-50W</t>
  </si>
  <si>
    <t xml:space="preserve">Incandescent Non-Halogen Medium base (50W x 1L) </t>
  </si>
  <si>
    <t>ICMB-50W x 2L</t>
  </si>
  <si>
    <t xml:space="preserve">Incandescent Non-Halogen Medium base (50W x 2L) </t>
  </si>
  <si>
    <t>ICMB-52W</t>
  </si>
  <si>
    <t xml:space="preserve">Incandescent Non-Halogen Medium base (52W x 1L) </t>
  </si>
  <si>
    <t>ICMB-52W x 2L</t>
  </si>
  <si>
    <t xml:space="preserve">Incandescent Non-Halogen Medium base (52W x 2L) </t>
  </si>
  <si>
    <t>ICMB-54W</t>
  </si>
  <si>
    <t xml:space="preserve">Incandescent Non-Halogen Medium base (54W x 1L) </t>
  </si>
  <si>
    <t>ICMB-54W x 2L</t>
  </si>
  <si>
    <t xml:space="preserve">Incandescent Non-Halogen Medium base (54W x 2L) </t>
  </si>
  <si>
    <t>ICMB-55W</t>
  </si>
  <si>
    <t xml:space="preserve">Incandescent Non-Halogen Medium base (55W x 1L) </t>
  </si>
  <si>
    <t>ICMB-55W x 2L</t>
  </si>
  <si>
    <t xml:space="preserve">Incandescent Non-Halogen Medium base (55W x 2L) </t>
  </si>
  <si>
    <t>ICMB-60W</t>
  </si>
  <si>
    <t xml:space="preserve">Incandescent Non-Halogen Medium base (60W x 1L) </t>
  </si>
  <si>
    <t>ICMB-60W x 2L</t>
  </si>
  <si>
    <t xml:space="preserve">Incandescent Non-Halogen Medium base (60W x 2L) </t>
  </si>
  <si>
    <t>ICMB-60W x 3L</t>
  </si>
  <si>
    <t xml:space="preserve">Incandescent Non-Halogen Medium base (60W x 3L) </t>
  </si>
  <si>
    <t>ICMB-65W</t>
  </si>
  <si>
    <t xml:space="preserve">Incandescent Non-Halogen Medium base (65W x 1L) </t>
  </si>
  <si>
    <t>ICMB-65W x 2L</t>
  </si>
  <si>
    <t xml:space="preserve">Incandescent Non-Halogen Medium base (65W x 2L) </t>
  </si>
  <si>
    <t>ICMB-67W</t>
  </si>
  <si>
    <t xml:space="preserve">Incandescent Non-Halogen Medium base (67W x 1L) </t>
  </si>
  <si>
    <t>ICMB-67W x 2L</t>
  </si>
  <si>
    <t xml:space="preserve">Incandescent Non-Halogen Medium base (67W x 2L) </t>
  </si>
  <si>
    <t xml:space="preserve">Incandescent Non-Halogen Medium base (69W x 1L) </t>
  </si>
  <si>
    <t>ICMB-72W</t>
  </si>
  <si>
    <t xml:space="preserve">Incandescent Non-Halogen Medium base (72W x 1L) </t>
  </si>
  <si>
    <t>ICMB-75W</t>
  </si>
  <si>
    <t xml:space="preserve">Incandescent Non-Halogen Medium base (75W x 1L) </t>
  </si>
  <si>
    <t>ICMB-75W x 2L</t>
  </si>
  <si>
    <t xml:space="preserve">Incandescent Non-Halogen Medium base (75W x 2L) </t>
  </si>
  <si>
    <t>ICMB-80W</t>
  </si>
  <si>
    <t xml:space="preserve">Incandescent Non-Halogen Medium base (80W x 1L) </t>
  </si>
  <si>
    <t>ICMB-85W</t>
  </si>
  <si>
    <t xml:space="preserve">Incandescent Non-Halogen Medium base (85W x 1L) </t>
  </si>
  <si>
    <t>ICMB-8W</t>
  </si>
  <si>
    <t xml:space="preserve">Incandescent Non-Halogen Medium base (8W x 1L) </t>
  </si>
  <si>
    <t>ICMB-8W x 2L</t>
  </si>
  <si>
    <t xml:space="preserve">Incandescent Non-Halogen Medium base (8W x 2L) </t>
  </si>
  <si>
    <t>ICMB-90W</t>
  </si>
  <si>
    <t xml:space="preserve">Incandescent Non-Halogen Medium base (90W x 1L) </t>
  </si>
  <si>
    <t>ICMB-90W x 2L</t>
  </si>
  <si>
    <t xml:space="preserve">Incandescent Non-Halogen Medium base (90W x 2L) </t>
  </si>
  <si>
    <t>ICMB-93W</t>
  </si>
  <si>
    <t xml:space="preserve">Incandescent Non-Halogen Medium base (93W x 1L) </t>
  </si>
  <si>
    <t>ICMB-95W</t>
  </si>
  <si>
    <t xml:space="preserve">Incandescent Non-Halogen Medium base (95W x 1L) </t>
  </si>
  <si>
    <t>ICMB-95W x 2L</t>
  </si>
  <si>
    <t xml:space="preserve">Incandescent Non-Halogen Medium base (95W x 2L) </t>
  </si>
  <si>
    <t>ICMG-1000W</t>
  </si>
  <si>
    <t xml:space="preserve">Incandescent Non-Halogen Mogul (1000W x 1L) </t>
  </si>
  <si>
    <t>ICMG-100W x 3L</t>
  </si>
  <si>
    <t xml:space="preserve">Incandescent Non-Halogen Mogul (100W x 3L) </t>
  </si>
  <si>
    <t>ICMG-100W x 4L</t>
  </si>
  <si>
    <t xml:space="preserve">Incandescent Non-Halogen Mogul (100W x 4L) </t>
  </si>
  <si>
    <t>ICMG-100W x 5L</t>
  </si>
  <si>
    <t xml:space="preserve">Incandescent Non-Halogen Mogul (100W x 5L) </t>
  </si>
  <si>
    <t>ICMG-120W x 2L</t>
  </si>
  <si>
    <t xml:space="preserve">Incandescent Non-Halogen Mogul (120W x 2L) </t>
  </si>
  <si>
    <t>ICMG-135W x 2L</t>
  </si>
  <si>
    <t xml:space="preserve">Incandescent Non-Halogen Mogul (135W x 2L) </t>
  </si>
  <si>
    <t>ICMG-1500W</t>
  </si>
  <si>
    <t xml:space="preserve">Incandescent Non-Halogen Mogul (1500W x 1L) </t>
  </si>
  <si>
    <t>ICMG-150W x 2L</t>
  </si>
  <si>
    <t xml:space="preserve">Incandescent Non-Halogen Mogul (150W x 2L) </t>
  </si>
  <si>
    <t>ICMG-150W x 3L</t>
  </si>
  <si>
    <t xml:space="preserve">Incandescent Non-Halogen Mogul (150W x 3L) </t>
  </si>
  <si>
    <t>ICMG-2000W</t>
  </si>
  <si>
    <t xml:space="preserve">Incandescent Non-Halogen Mogul (2000W x 1L) </t>
  </si>
  <si>
    <t>ICMG-200W x 2L</t>
  </si>
  <si>
    <t xml:space="preserve">Incandescent Non-Halogen Mogul (200W x 2L) </t>
  </si>
  <si>
    <t>ICMG-250W</t>
  </si>
  <si>
    <t xml:space="preserve">Incandescent Non-Halogen Mogul (250W x 1L) </t>
  </si>
  <si>
    <t>ICMG-300W</t>
  </si>
  <si>
    <t xml:space="preserve">Incandescent Non-Halogen Mogul (300W x 1L) </t>
  </si>
  <si>
    <t>ICMG-300W x 4L</t>
  </si>
  <si>
    <t xml:space="preserve">Incandescent Non-Halogen Mogul (300W x 4L) </t>
  </si>
  <si>
    <t>ICMG-400W</t>
  </si>
  <si>
    <t xml:space="preserve">Incandescent Non-Halogen Mogul (400W x 1L) </t>
  </si>
  <si>
    <t>ICMG-448W</t>
  </si>
  <si>
    <t xml:space="preserve">Incandescent Non-Halogen Mogul (448W x 1L) </t>
  </si>
  <si>
    <t>ICMG-500W</t>
  </si>
  <si>
    <t xml:space="preserve">Incandescent Non-Halogen Mogul (500W x 1L) </t>
  </si>
  <si>
    <t>ICMG-60W x 4L</t>
  </si>
  <si>
    <t xml:space="preserve">Incandescent Non-Halogen Mogul (60W x 4L) </t>
  </si>
  <si>
    <t>ICMG-60W x 5L</t>
  </si>
  <si>
    <t xml:space="preserve">Incandescent Non-Halogen Mogul (60W x 5L) </t>
  </si>
  <si>
    <t>ICMG-67W x 3L</t>
  </si>
  <si>
    <t xml:space="preserve">Incandescent Non-Halogen Mogul (67W x 3L) </t>
  </si>
  <si>
    <t>ICMG-750W</t>
  </si>
  <si>
    <t xml:space="preserve">Incandescent Non-Halogen Mogul (750W x 1L) </t>
  </si>
  <si>
    <t>ICMG-75W x 3L</t>
  </si>
  <si>
    <t xml:space="preserve">Incandescent Non-Halogen Mogul (75W x 3L) </t>
  </si>
  <si>
    <t>ICMG-75W x 4L</t>
  </si>
  <si>
    <t xml:space="preserve">Incandescent Non-Halogen Mogul (75W x 4L) </t>
  </si>
  <si>
    <t>ICMG-90W x 3L</t>
  </si>
  <si>
    <t xml:space="preserve">Incandescent Non-Halogen Mogul (90W x 3L) </t>
  </si>
  <si>
    <t xml:space="preserve">Incandescent Non-Halogen Exit (10W x 2L) </t>
  </si>
  <si>
    <t xml:space="preserve">Incandescent Non-Halogen Exit (15W x 1L) </t>
  </si>
  <si>
    <t xml:space="preserve">Incandescent Non-Halogen Exit (15W x 2L) </t>
  </si>
  <si>
    <t xml:space="preserve">Incandescent Non-Halogen Exit (20W x 1L) </t>
  </si>
  <si>
    <t xml:space="preserve">Incandescent Non-Halogen Exit (20W x 2L) </t>
  </si>
  <si>
    <t xml:space="preserve">Incandescent Non-Halogen Exit (25W x 1L) </t>
  </si>
  <si>
    <t xml:space="preserve">Incandescent Non-Halogen Exit (25W x 2L) </t>
  </si>
  <si>
    <t xml:space="preserve">Incandescent Non-Halogen Exit (34W x 1L) </t>
  </si>
  <si>
    <t xml:space="preserve">Incandescent Non-Halogen Exit (34W x 2L) </t>
  </si>
  <si>
    <t xml:space="preserve">Incandescent Non-Halogen Exit (40W x 1L) </t>
  </si>
  <si>
    <t xml:space="preserve">Incandescent Non-Halogen Exit (40W x 2L) </t>
  </si>
  <si>
    <t xml:space="preserve">Incandescent Non-Halogen Exit (50W x 2L) </t>
  </si>
  <si>
    <t xml:space="preserve">Incandescent Non-Halogen Exit (5W x 1L) </t>
  </si>
  <si>
    <t xml:space="preserve">Incandescent Non-Halogen Exit (5W x 2L) </t>
  </si>
  <si>
    <t xml:space="preserve">Incandescent Non-Halogen Exit (6W x 1L) </t>
  </si>
  <si>
    <t xml:space="preserve">Incandescent Non-Halogen Exit (6W x 2L) </t>
  </si>
  <si>
    <t xml:space="preserve">Incandescent Non-Halogen Exit (8W x 1L) </t>
  </si>
  <si>
    <t xml:space="preserve">Incandescent Non-Halogen Exit (8W x 2L) </t>
  </si>
  <si>
    <t>RB</t>
  </si>
  <si>
    <t>INDN</t>
  </si>
  <si>
    <t>Induction</t>
  </si>
  <si>
    <t>Remote Ballasted</t>
  </si>
  <si>
    <t>Induction (Non Integral) Ballast</t>
  </si>
  <si>
    <t>INSB-15W</t>
  </si>
  <si>
    <t>SB</t>
  </si>
  <si>
    <t>Self Ballasted</t>
  </si>
  <si>
    <t>INSB-23W</t>
  </si>
  <si>
    <t>INSB-40W</t>
  </si>
  <si>
    <t>INSB-50W</t>
  </si>
  <si>
    <t>LEDEPG-102W</t>
  </si>
  <si>
    <t xml:space="preserve">LED Exterior Parking Garage (102W x 1L) </t>
  </si>
  <si>
    <t>PG</t>
  </si>
  <si>
    <t>Exterior</t>
  </si>
  <si>
    <t>LEDEPG-103W</t>
  </si>
  <si>
    <t xml:space="preserve">LED Exterior Parking Garage (103W x 1L) </t>
  </si>
  <si>
    <t>LEDEPG-177W</t>
  </si>
  <si>
    <t xml:space="preserve">LED Exterior Parking Garage (177W x 1L) </t>
  </si>
  <si>
    <t>LEDEPG-26W</t>
  </si>
  <si>
    <t xml:space="preserve">LED Exterior Parking Garage (26W x 1L) </t>
  </si>
  <si>
    <t>LEDEPG-53W</t>
  </si>
  <si>
    <t xml:space="preserve">LED Exterior Parking Garage (53W x 1L) </t>
  </si>
  <si>
    <t>LEDEPG-54W</t>
  </si>
  <si>
    <t xml:space="preserve">LED Exterior Parking Garage (54W x 1L) </t>
  </si>
  <si>
    <t>LEDEPG-72W</t>
  </si>
  <si>
    <t xml:space="preserve">LED Exterior Parking Garage (72W x 1L) </t>
  </si>
  <si>
    <t>LEDEPG-80W</t>
  </si>
  <si>
    <t xml:space="preserve">LED Exterior Parking Garage (80W x 1L) </t>
  </si>
  <si>
    <t>LEDEPM-101W</t>
  </si>
  <si>
    <t xml:space="preserve">LED Exterior Pole Mount (101W x 1L) </t>
  </si>
  <si>
    <t>PM</t>
  </si>
  <si>
    <t>Pole Mount</t>
  </si>
  <si>
    <t>LEDEPM-102W</t>
  </si>
  <si>
    <t xml:space="preserve">LED Exterior Pole Mount (102W x 1L) </t>
  </si>
  <si>
    <t>LEDEPM-106W</t>
  </si>
  <si>
    <t xml:space="preserve">LED Exterior Pole Mount (106W x 1L) </t>
  </si>
  <si>
    <t>LEDEPM-108W</t>
  </si>
  <si>
    <t xml:space="preserve">LED Exterior Pole Mount (108W x 1L) </t>
  </si>
  <si>
    <t>LEDEPM-112W</t>
  </si>
  <si>
    <t xml:space="preserve">LED Exterior Pole Mount (112W x 1L) </t>
  </si>
  <si>
    <t xml:space="preserve">LED Exterior Pole Mount (124W x 1L) </t>
  </si>
  <si>
    <t>LEDEPM-131W</t>
  </si>
  <si>
    <t xml:space="preserve">LED Exterior Pole Mount (131W x 1L) </t>
  </si>
  <si>
    <t>LEDEPM-138W</t>
  </si>
  <si>
    <t xml:space="preserve">LED Exterior Pole Mount (138W x 1L) </t>
  </si>
  <si>
    <t>LEDEPM-139W</t>
  </si>
  <si>
    <t xml:space="preserve">LED Exterior Pole Mount (139W x 1L) </t>
  </si>
  <si>
    <t>LEDEPM-143W</t>
  </si>
  <si>
    <t xml:space="preserve">LED Exterior Pole Mount (143W x 1L) </t>
  </si>
  <si>
    <t>LEDEPM-146W</t>
  </si>
  <si>
    <t xml:space="preserve">LED Exterior Pole Mount (146W x 1L) </t>
  </si>
  <si>
    <t>LEDEPM-151W</t>
  </si>
  <si>
    <t xml:space="preserve">LED Exterior Pole Mount (151W x 1L) </t>
  </si>
  <si>
    <t>LEDEPM-15W</t>
  </si>
  <si>
    <t xml:space="preserve">LED Exterior Pole Mount (15W x 1L) </t>
  </si>
  <si>
    <t>LEDEPM-164W</t>
  </si>
  <si>
    <t xml:space="preserve">LED Exterior Pole Mount (164W x 1L) </t>
  </si>
  <si>
    <t>LEDEPM-175W</t>
  </si>
  <si>
    <t xml:space="preserve">LED Exterior Pole Mount (175W x 1L) </t>
  </si>
  <si>
    <t>LEDEPM-180W</t>
  </si>
  <si>
    <t xml:space="preserve">LED Exterior Pole Mount (180W x 1L) </t>
  </si>
  <si>
    <t>LEDEPM-186W</t>
  </si>
  <si>
    <t xml:space="preserve">LED Exterior Pole Mount (186W x 1L) </t>
  </si>
  <si>
    <t>LEDEPM-199W</t>
  </si>
  <si>
    <t xml:space="preserve">LED Exterior Pole Mount (199W x 1L) </t>
  </si>
  <si>
    <t>LEDEPM-201W</t>
  </si>
  <si>
    <t xml:space="preserve">LED Exterior Pole Mount (201W x 1L) </t>
  </si>
  <si>
    <t>LEDEPM-204W</t>
  </si>
  <si>
    <t xml:space="preserve">LED Exterior Pole Mount (204W x 1L) </t>
  </si>
  <si>
    <t>LEDEPM-205W</t>
  </si>
  <si>
    <t xml:space="preserve">LED Exterior Pole Mount (205W x 1L) </t>
  </si>
  <si>
    <t>LEDEPM-217W</t>
  </si>
  <si>
    <t xml:space="preserve">LED Exterior Pole Mount (217W x 1L) </t>
  </si>
  <si>
    <t>LEDEPM-22W</t>
  </si>
  <si>
    <t xml:space="preserve">LED Exterior Pole Mount (22W x 1L) </t>
  </si>
  <si>
    <t>LEDEPM-232W</t>
  </si>
  <si>
    <t xml:space="preserve">LED Exterior Pole Mount (232W x 1L) </t>
  </si>
  <si>
    <t>LEDEPM-24W</t>
  </si>
  <si>
    <t xml:space="preserve">LED Exterior Pole Mount (24W x 1L) </t>
  </si>
  <si>
    <t>LEDEPM-38W</t>
  </si>
  <si>
    <t xml:space="preserve">LED Exterior Pole Mount (38W x 1L) </t>
  </si>
  <si>
    <t xml:space="preserve">LED Exterior Pole Mount (50W x 1L) </t>
  </si>
  <si>
    <t>LEDEPM-54W</t>
  </si>
  <si>
    <t xml:space="preserve">LED Exterior Pole Mount (54W x 1L) </t>
  </si>
  <si>
    <t>LEDEPM-59W</t>
  </si>
  <si>
    <t xml:space="preserve">LED Exterior Pole Mount (59W x 1L) </t>
  </si>
  <si>
    <t>LEDEPM-60W</t>
  </si>
  <si>
    <t xml:space="preserve">LED Exterior Pole Mount (60W x 1L) </t>
  </si>
  <si>
    <t>LEDEPM-65W</t>
  </si>
  <si>
    <t xml:space="preserve">LED Exterior Pole Mount (65W x 1L) </t>
  </si>
  <si>
    <t>LEDEPM-70W</t>
  </si>
  <si>
    <t xml:space="preserve">LED Exterior Pole Mount (70W x 1L) </t>
  </si>
  <si>
    <t>LEDEPM-71W</t>
  </si>
  <si>
    <t xml:space="preserve">LED Exterior Pole Mount (71W x 1L) </t>
  </si>
  <si>
    <t>LEDEPM-72W</t>
  </si>
  <si>
    <t xml:space="preserve">LED Exterior Pole Mount (72W x 1L) </t>
  </si>
  <si>
    <t>LEDEPM-74W</t>
  </si>
  <si>
    <t xml:space="preserve">LED Exterior Pole Mount (74W x 1L) </t>
  </si>
  <si>
    <t>LEDEPM-85W</t>
  </si>
  <si>
    <t xml:space="preserve">LED Exterior Pole Mount (85W x 1L) </t>
  </si>
  <si>
    <t>LEDEPM-87W</t>
  </si>
  <si>
    <t xml:space="preserve">LED Exterior Pole Mount (87W x 1L) </t>
  </si>
  <si>
    <t>LEDEPM-88W</t>
  </si>
  <si>
    <t xml:space="preserve">LED Exterior Pole Mount (88W x 1L) </t>
  </si>
  <si>
    <t>LEDEPM-91W</t>
  </si>
  <si>
    <t xml:space="preserve">LED Exterior Pole Mount (91W x 1L) </t>
  </si>
  <si>
    <t>LEDESMC-156W</t>
  </si>
  <si>
    <t xml:space="preserve">LED Exterior Canopy (156W x 1L) </t>
  </si>
  <si>
    <t>SMC</t>
  </si>
  <si>
    <t>Canopy</t>
  </si>
  <si>
    <t>LEDESMC-193W</t>
  </si>
  <si>
    <t xml:space="preserve">LED Exterior Canopy (193W x 1L) </t>
  </si>
  <si>
    <t>LEDESMC-73W</t>
  </si>
  <si>
    <t xml:space="preserve">LED Exterior Canopy (73W x 1L) </t>
  </si>
  <si>
    <t>LEDIDL-107W</t>
  </si>
  <si>
    <t>I</t>
  </si>
  <si>
    <t>DL</t>
  </si>
  <si>
    <t>Interior</t>
  </si>
  <si>
    <t>LEDIDL-10W</t>
  </si>
  <si>
    <t>LEDIDL-11W</t>
  </si>
  <si>
    <t>LEDIDL-12W</t>
  </si>
  <si>
    <t>LEDIDL-13W</t>
  </si>
  <si>
    <t>LEDIDL-14W</t>
  </si>
  <si>
    <t>LEDIDL-15W</t>
  </si>
  <si>
    <t>LEDIDL-16W</t>
  </si>
  <si>
    <t>LEDIDL-17W</t>
  </si>
  <si>
    <t>LEDIDL-18W</t>
  </si>
  <si>
    <t>LEDIDL-19W</t>
  </si>
  <si>
    <t>LEDIDL-20W</t>
  </si>
  <si>
    <t>LEDIDL-21W</t>
  </si>
  <si>
    <t>LEDIDL-22W</t>
  </si>
  <si>
    <t>LEDIDL-23W</t>
  </si>
  <si>
    <t>LEDIDL-24W</t>
  </si>
  <si>
    <t>LEDIDL-25W</t>
  </si>
  <si>
    <t>LEDIDL-26W</t>
  </si>
  <si>
    <t>LEDIDL-28W</t>
  </si>
  <si>
    <t>LEDIDL-29W</t>
  </si>
  <si>
    <t>LEDIDL-30W</t>
  </si>
  <si>
    <t>LEDIDL-33W</t>
  </si>
  <si>
    <t>LEDIDL-35W</t>
  </si>
  <si>
    <t>LEDIDL-36W</t>
  </si>
  <si>
    <t>LEDIDL-40W</t>
  </si>
  <si>
    <t>LEDIDL-43W</t>
  </si>
  <si>
    <t>LEDIDL-53W</t>
  </si>
  <si>
    <t>LEDIDL-54W</t>
  </si>
  <si>
    <t>LEDIDL-6W</t>
  </si>
  <si>
    <t>LEDIDL-8W</t>
  </si>
  <si>
    <t>LEDIDL-9W</t>
  </si>
  <si>
    <t>LEDIE-2W</t>
  </si>
  <si>
    <t xml:space="preserve">LED Interior Exit (2W x 1L) </t>
  </si>
  <si>
    <t>LEDIE-3W</t>
  </si>
  <si>
    <t xml:space="preserve">LED Interior Exit (3W x 1L) </t>
  </si>
  <si>
    <t>LEDIHB-150W</t>
  </si>
  <si>
    <t>HB</t>
  </si>
  <si>
    <t>LEDIHB-160W</t>
  </si>
  <si>
    <t>LEDISI-13W</t>
  </si>
  <si>
    <t xml:space="preserve">LED Interior Integral Screw-In (13W x 1L) </t>
  </si>
  <si>
    <t>SI</t>
  </si>
  <si>
    <t>LEDISI-15W</t>
  </si>
  <si>
    <t xml:space="preserve">LED Interior Integral Screw-In (15W x 1L) </t>
  </si>
  <si>
    <t>LEDISI-18W</t>
  </si>
  <si>
    <t xml:space="preserve">LED Interior Integral Screw-In (18W x 1L) </t>
  </si>
  <si>
    <t>LEDISI-19W</t>
  </si>
  <si>
    <t xml:space="preserve">LED Interior Integral Screw-In (19W x 1L) </t>
  </si>
  <si>
    <t>LEDISI-3W</t>
  </si>
  <si>
    <t xml:space="preserve">LED Interior Integral Screw-In (3W x 1L) </t>
  </si>
  <si>
    <t>LEDISI-4W</t>
  </si>
  <si>
    <t xml:space="preserve">LED Interior Integral Screw-In (4W x 1L) </t>
  </si>
  <si>
    <t>LEDISI-6W</t>
  </si>
  <si>
    <t xml:space="preserve">LED Interior Integral Screw-In (6W x 1L) </t>
  </si>
  <si>
    <t>LEDISI-8W</t>
  </si>
  <si>
    <t xml:space="preserve">LED Interior Integral Screw-In (8W x 1L) </t>
  </si>
  <si>
    <t>LEDIWP-15W</t>
  </si>
  <si>
    <t xml:space="preserve">LED Interior Wall Pack (15W x 1L) </t>
  </si>
  <si>
    <t>WP</t>
  </si>
  <si>
    <t>Wall Pack</t>
  </si>
  <si>
    <t>LEDIWP-20W</t>
  </si>
  <si>
    <t xml:space="preserve">LED Interior Wall Pack (20W x 1L) </t>
  </si>
  <si>
    <t>LEDIWP-22W</t>
  </si>
  <si>
    <t xml:space="preserve">LED Interior Wall Pack (22W x 1L) </t>
  </si>
  <si>
    <t>LEDIWP-53W</t>
  </si>
  <si>
    <t xml:space="preserve">LED Interior Wall Pack (53W x 1L) </t>
  </si>
  <si>
    <t>LEDIWP-71W</t>
  </si>
  <si>
    <t xml:space="preserve">LED Interior Wall Pack (71W x 1L) </t>
  </si>
  <si>
    <t>LEDIWP-88W</t>
  </si>
  <si>
    <t xml:space="preserve">LED Interior Wall Pack (88W x 1L) </t>
  </si>
  <si>
    <t xml:space="preserve">HID Metal Halide Standard (1000W x 1L) 1 CWA Ballast  </t>
  </si>
  <si>
    <t>MH</t>
  </si>
  <si>
    <t>CWA</t>
  </si>
  <si>
    <t>Metal Halide</t>
  </si>
  <si>
    <t>CWA Ballast</t>
  </si>
  <si>
    <t xml:space="preserve">HID Metal Halide Standard (100W x 1L) 1 CWA Ballast  </t>
  </si>
  <si>
    <t>MH-100W-HIDLF</t>
  </si>
  <si>
    <t xml:space="preserve">HID Metal Halide Standard (100W x 1L) 1 HID Low Freq Ballast  </t>
  </si>
  <si>
    <t>MH-1500W-CWA</t>
  </si>
  <si>
    <t xml:space="preserve">HID Metal Halide Standard (1500W x 1L) 1 CWA Ballast  </t>
  </si>
  <si>
    <t>MH-150W-CWA</t>
  </si>
  <si>
    <t xml:space="preserve">HID Metal Halide Standard (150W x 1L) 1 CWA Ballast  </t>
  </si>
  <si>
    <t>MH-150W-HIDLF</t>
  </si>
  <si>
    <t xml:space="preserve">HID Metal Halide Standard (150W x 1L) 1 HID Low Freq Ballast  </t>
  </si>
  <si>
    <t>MH-1650W-CWA</t>
  </si>
  <si>
    <t xml:space="preserve">HID Metal Halide Standard (1650W x 1L) 1 CWA Ballast  </t>
  </si>
  <si>
    <t>MH-175W-CWA</t>
  </si>
  <si>
    <t xml:space="preserve">HID Metal Halide Standard (175W x 1L) 1 CWA Ballast  </t>
  </si>
  <si>
    <t>MH-2000W-CWA</t>
  </si>
  <si>
    <t xml:space="preserve">HID Metal Halide Standard (2000W x 1L) 1 CWA Ballast  </t>
  </si>
  <si>
    <t xml:space="preserve">HID Metal Halide Standard (250W x 1L) 1 CWA Ballast  </t>
  </si>
  <si>
    <t>MH-32W-CWA</t>
  </si>
  <si>
    <t xml:space="preserve">HID Metal Halide Standard (32W x 1L) 1 CWA Ballast  </t>
  </si>
  <si>
    <t>MH-360W-CWA</t>
  </si>
  <si>
    <t xml:space="preserve">HID Metal Halide Standard (360W x 1L) 1 CWA Ballast  </t>
  </si>
  <si>
    <t>MH-400W x 2L-CWA</t>
  </si>
  <si>
    <t xml:space="preserve">HID Metal Halide Standard (400W x 2L) 1 CWA Ballast  </t>
  </si>
  <si>
    <t>MH-400W-CWA</t>
  </si>
  <si>
    <t xml:space="preserve">HID Metal Halide Standard (400W x 1L) 1 CWA Ballast  </t>
  </si>
  <si>
    <t>MH-50W-CWA</t>
  </si>
  <si>
    <t xml:space="preserve">HID Metal Halide Standard (50W x 1L) 1 CWA Ballast  </t>
  </si>
  <si>
    <t>MH-50W-HIDLF</t>
  </si>
  <si>
    <t xml:space="preserve">HID Metal Halide Standard (50W x 1L) 1 HID Low Freq Ballast  </t>
  </si>
  <si>
    <t>MH-70W-CWA</t>
  </si>
  <si>
    <t xml:space="preserve">HID Metal Halide Standard (70W x 1L) 1 CWA Ballast  </t>
  </si>
  <si>
    <t>MH-70W-HIDLF</t>
  </si>
  <si>
    <t xml:space="preserve">HID Metal Halide Standard (70W x 1L) 1 HID Low Freq Ballast  </t>
  </si>
  <si>
    <t>MH-750W-CWA</t>
  </si>
  <si>
    <t xml:space="preserve">HID Metal Halide Standard (750W x 1L) 1 CWA Ballast  </t>
  </si>
  <si>
    <t>MHPS-1000W-SCWA</t>
  </si>
  <si>
    <t xml:space="preserve">HID Metal Halide Pulse-Start (1000W x 1L) 1 Super CWA Ballast  </t>
  </si>
  <si>
    <t>PS</t>
  </si>
  <si>
    <t>Pulse-Start</t>
  </si>
  <si>
    <t>MHPS-100W-HIDLF</t>
  </si>
  <si>
    <t xml:space="preserve">HID Metal Halide Pulse-Start (100W x 1L) 1 HID Low Freq Ballast  </t>
  </si>
  <si>
    <t>MHPS-100W-SCWA</t>
  </si>
  <si>
    <t xml:space="preserve">HID Metal Halide Pulse-Start (100W x 1L) 1 Super CWA Ballast  </t>
  </si>
  <si>
    <t>MHPS-150W-HIDLF H</t>
  </si>
  <si>
    <t xml:space="preserve">HID Metal Halide Pulse-Start (150W x 1L) 1 HID Low Freq Ballast (0.95 &lt; BF &lt; 1.10) </t>
  </si>
  <si>
    <t>MHPS-150W-LR</t>
  </si>
  <si>
    <t xml:space="preserve">HID Metal Halide Pulse-Start (150W x 1L) 1 Linear Reactor Ballast  </t>
  </si>
  <si>
    <t>MHPS-150W-SCWA</t>
  </si>
  <si>
    <t xml:space="preserve">HID Metal Halide Pulse-Start (150W x 1L) 1 Super CWA Ballast  </t>
  </si>
  <si>
    <t>MHPS-175W-HIDLF</t>
  </si>
  <si>
    <t xml:space="preserve">HID Metal Halide Pulse-Start (175W x 1L) 1 HID Low Freq Ballast  </t>
  </si>
  <si>
    <t>MHPS-175W-LR</t>
  </si>
  <si>
    <t xml:space="preserve">HID Metal Halide Pulse-Start (175W x 1L) 1 Linear Reactor Ballast  </t>
  </si>
  <si>
    <t>MHPS-175W-SCWA</t>
  </si>
  <si>
    <t xml:space="preserve">HID Metal Halide Pulse-Start (175W x 1L) 1 Super CWA Ballast  </t>
  </si>
  <si>
    <t>MHPS-200W-HIDLF</t>
  </si>
  <si>
    <t xml:space="preserve">HID Metal Halide Pulse-Start (200W x 1L) 1 HID Low Freq Ballast  </t>
  </si>
  <si>
    <t>MHPS-200W-LR</t>
  </si>
  <si>
    <t xml:space="preserve">HID Metal Halide Pulse-Start (200W x 1L) 1 Linear Reactor Ballast  </t>
  </si>
  <si>
    <t>MHPS-200W-RL</t>
  </si>
  <si>
    <t xml:space="preserve">HID Metal Halide Pulse-Start (200W x 1L) 1 Regulated Lag Ballast  </t>
  </si>
  <si>
    <t>RL</t>
  </si>
  <si>
    <t>Regulated Lag Ballast</t>
  </si>
  <si>
    <t>MHPS-200W-SCWA</t>
  </si>
  <si>
    <t xml:space="preserve">HID Metal Halide Pulse-Start (200W x 1L) 1 Super CWA Ballast  </t>
  </si>
  <si>
    <t>MHPS-20W-HIDLF</t>
  </si>
  <si>
    <t xml:space="preserve">HID Metal Halide Pulse-Start (20W x 1L) 1 HID Low Freq Ballast  </t>
  </si>
  <si>
    <t>MHPS-20W-HIDLF H</t>
  </si>
  <si>
    <t xml:space="preserve">HID Metal Halide Pulse-Start (20W x 1L) 1 HID Low Freq Ballast (0.95 &lt; BF &lt; 1.10) </t>
  </si>
  <si>
    <t>MHPS-250W-LR</t>
  </si>
  <si>
    <t xml:space="preserve">HID Metal Halide Pulse-Start (250W x 1L) 1 Linear Reactor Ballast  </t>
  </si>
  <si>
    <t>MHPS-250W-RL</t>
  </si>
  <si>
    <t xml:space="preserve">HID Metal Halide Pulse-Start (250W x 1L) 1 Regulated Lag Ballast  </t>
  </si>
  <si>
    <t>MHPS-250W-SCWA</t>
  </si>
  <si>
    <t xml:space="preserve">HID Metal Halide Pulse-Start (250W x 1L) 1 Super CWA Ballast  </t>
  </si>
  <si>
    <t>MHPS-300W-LR</t>
  </si>
  <si>
    <t xml:space="preserve">HID Metal Halide Pulse-Start (300W x 1L) 1 Linear Reactor Ballast  </t>
  </si>
  <si>
    <t>MHPS-300W-SCWA</t>
  </si>
  <si>
    <t xml:space="preserve">HID Metal Halide Pulse-Start (300W x 1L) 1 Super CWA Ballast  </t>
  </si>
  <si>
    <t>MHPS-320W-HIDLF</t>
  </si>
  <si>
    <t xml:space="preserve">HID Metal Halide Pulse-Start (320W x 1L) 1 HID Low Freq Ballast  </t>
  </si>
  <si>
    <t>MHPS-320W-HIDLF H</t>
  </si>
  <si>
    <t xml:space="preserve">HID Metal Halide Pulse-Start (320W x 1L) 1 HID Low Freq Ballast (0.95 &lt; BF &lt; 1.10) </t>
  </si>
  <si>
    <t>MHPS-320W-LR</t>
  </si>
  <si>
    <t xml:space="preserve">HID Metal Halide Pulse-Start (320W x 1L) 1 Linear Reactor Ballast  </t>
  </si>
  <si>
    <t>MHPS-320W-SCWA</t>
  </si>
  <si>
    <t xml:space="preserve">HID Metal Halide Pulse-Start (320W x 1L) 1 Super CWA Ballast  </t>
  </si>
  <si>
    <t>MHPS-350W-HIDLF</t>
  </si>
  <si>
    <t xml:space="preserve">HID Metal Halide Pulse-Start (350W x 1L) 1 HID Low Freq Ballast  </t>
  </si>
  <si>
    <t>MHPS-350W-LR</t>
  </si>
  <si>
    <t xml:space="preserve">HID Metal Halide Pulse-Start (350W x 1L) 1 Linear Reactor Ballast  </t>
  </si>
  <si>
    <t>MHPS-350W-SCWA</t>
  </si>
  <si>
    <t xml:space="preserve">HID Metal Halide Pulse-Start (350W x 1L) 1 Super CWA Ballast  </t>
  </si>
  <si>
    <t>MHPS-39W-HIDLF H</t>
  </si>
  <si>
    <t xml:space="preserve">HID Metal Halide Pulse-Start (39W x 1L) 1 HID Low Freq Ballast (0.95 &lt; BF &lt; 1.10) </t>
  </si>
  <si>
    <t>MHPS-400W-HIDLF</t>
  </si>
  <si>
    <t xml:space="preserve">HID Metal Halide Pulse-Start (400W x 1L) 1 HID Low Freq Ballast  </t>
  </si>
  <si>
    <t>MHPS-400W-HIDLF H</t>
  </si>
  <si>
    <t xml:space="preserve">HID Metal Halide Pulse-Start (400W x 1L) 1 HID Low Freq Ballast (0.95 &lt; BF &lt; 1.10) </t>
  </si>
  <si>
    <t>MHPS-400W-LR</t>
  </si>
  <si>
    <t xml:space="preserve">HID Metal Halide Pulse-Start (400W x 1L) 1 Linear Reactor Ballast  </t>
  </si>
  <si>
    <t>MHPS-400W-RL</t>
  </si>
  <si>
    <t xml:space="preserve">HID Metal Halide Pulse-Start (400W x 1L) 1 Regulated Lag Ballast  </t>
  </si>
  <si>
    <t>MHPS-400W-SCWA</t>
  </si>
  <si>
    <t xml:space="preserve">HID Metal Halide Pulse-Start (400W x 1L) 1 Super CWA Ballast  </t>
  </si>
  <si>
    <t>MHPS-450W-LR</t>
  </si>
  <si>
    <t xml:space="preserve">HID Metal Halide Pulse-Start (450W x 1L) 1 Linear Reactor Ballast  </t>
  </si>
  <si>
    <t>MHPS-450W-RL</t>
  </si>
  <si>
    <t xml:space="preserve">HID Metal Halide Pulse-Start (450W x 1L) 1 Regulated Lag Ballast  </t>
  </si>
  <si>
    <t>MHPS-450W-SCWA</t>
  </si>
  <si>
    <t xml:space="preserve">HID Metal Halide Pulse-Start (450W x 1L) 1 Super CWA Ballast  </t>
  </si>
  <si>
    <t>MHPS-50W-SCWA</t>
  </si>
  <si>
    <t xml:space="preserve">HID Metal Halide Pulse-Start (50W x 1L) 1 Super CWA Ballast  </t>
  </si>
  <si>
    <t>MHPS-70W-HIDLF H</t>
  </si>
  <si>
    <t xml:space="preserve">HID Metal Halide Pulse-Start (70W x 1L) 1 HID Low Freq Ballast (0.95 &lt; BF &lt; 1.10) </t>
  </si>
  <si>
    <t>MHPS-70W-SCWA</t>
  </si>
  <si>
    <t xml:space="preserve">HID Metal Halide Pulse-Start (70W x 1L) 1 Super CWA Ballast  </t>
  </si>
  <si>
    <t>MHPS-750W-SCWA</t>
  </si>
  <si>
    <t xml:space="preserve">HID Metal Halide Pulse-Start (750W x 1L) 1 Super CWA Ballast  </t>
  </si>
  <si>
    <t>MHPS-875W-SCWA</t>
  </si>
  <si>
    <t xml:space="preserve">HID Metal Halide Pulse-Start (875W x 1L) 1 Super CWA Ballast  </t>
  </si>
  <si>
    <t>MV-1000W-CWA</t>
  </si>
  <si>
    <t xml:space="preserve">HID Mercury Vapor Standard (1000W x 1L) 1 CWA Ballast  </t>
  </si>
  <si>
    <t>MV</t>
  </si>
  <si>
    <t>Mercury Vapor</t>
  </si>
  <si>
    <t>MV-100W-CWA</t>
  </si>
  <si>
    <t xml:space="preserve">HID Mercury Vapor Standard (100W x 1L) 1 CWA Ballast  </t>
  </si>
  <si>
    <t>MV-160W-CWA</t>
  </si>
  <si>
    <t xml:space="preserve">HID Mercury Vapor Standard (160W x 1L) 1 CWA Ballast  </t>
  </si>
  <si>
    <t>MV-175W-CWA</t>
  </si>
  <si>
    <t xml:space="preserve">HID Mercury Vapor Standard (175W x 1L) 1 CWA Ballast  </t>
  </si>
  <si>
    <t>MV-250W-CWA</t>
  </si>
  <si>
    <t xml:space="preserve">HID Mercury Vapor Standard (250W x 1L) 1 CWA Ballast  </t>
  </si>
  <si>
    <t>MV-400W x 2L-CWA</t>
  </si>
  <si>
    <t xml:space="preserve">HID Mercury Vapor Standard (400W x 2L) 1 CWA Ballast  </t>
  </si>
  <si>
    <t>MV-400W-CWA</t>
  </si>
  <si>
    <t xml:space="preserve">HID Mercury Vapor Standard (400W x 1L) 1 CWA Ballast  </t>
  </si>
  <si>
    <t>MV-40W-CWA</t>
  </si>
  <si>
    <t xml:space="preserve">HID Mercury Vapor Standard (40W x 1L) 1 CWA Ballast  </t>
  </si>
  <si>
    <t>MV-50W-CWA</t>
  </si>
  <si>
    <t xml:space="preserve">HID Mercury Vapor Standard (50W x 1L) 1 CWA Ballast  </t>
  </si>
  <si>
    <t>MV-700W-CWA</t>
  </si>
  <si>
    <t xml:space="preserve">HID Mercury Vapor Standard (700W x 1L) 1 CWA Ballast  </t>
  </si>
  <si>
    <t>MV-75W-CWA</t>
  </si>
  <si>
    <t xml:space="preserve">HID Mercury Vapor Standard (75W x 1L) 1 CWA Ballast  </t>
  </si>
  <si>
    <t>FCMG-65W-IS</t>
  </si>
  <si>
    <t xml:space="preserve">Fluorescent Compact Mogul (65W x 1L) 1 Instant start Ballast  </t>
  </si>
  <si>
    <t>FCMG-85W-IS</t>
  </si>
  <si>
    <t xml:space="preserve">Fluorescent Compact Mogul (85W x 1L) 1 Instant start Ballast  </t>
  </si>
  <si>
    <t>FCMG-105W-IS</t>
  </si>
  <si>
    <t xml:space="preserve">Fluorescent Compact Mogul (105W x 1L) 1 Instant start Ballast  </t>
  </si>
  <si>
    <t>FCMG-150W-IS</t>
  </si>
  <si>
    <t xml:space="preserve">Fluorescent Compact Mogul (150W x 1L) 1 Instant start Ballast  </t>
  </si>
  <si>
    <t>FCMG-40W-MG</t>
  </si>
  <si>
    <t xml:space="preserve">Fluorescent Compact Mogul (40W x 1L) 1 Magnetic Ballast  </t>
  </si>
  <si>
    <t>FCMG-60W-MG</t>
  </si>
  <si>
    <t xml:space="preserve">Fluorescent Compact Mogul (60W x 1L) 1 Magnetic Ballast  </t>
  </si>
  <si>
    <t>FCMG-80W-MG</t>
  </si>
  <si>
    <t xml:space="preserve">Fluorescent Compact Mogul (80W x 1L) 1 Magnetic Ballast  </t>
  </si>
  <si>
    <t>FCMG-100W-MG</t>
  </si>
  <si>
    <t xml:space="preserve">Fluorescent Compact Mogul (100W x 1L) 1 Magnetic Ballast  </t>
  </si>
  <si>
    <t>FCMG-150W-MG</t>
  </si>
  <si>
    <t xml:space="preserve">Fluorescent Compact Mogul (150W x 1L) 1 Magnetic Ballast  </t>
  </si>
  <si>
    <t>FCMG-200W-MG</t>
  </si>
  <si>
    <t xml:space="preserve">Fluorescent Compact Mogul (200W x 1L) 1 Magnetic Ballast  </t>
  </si>
  <si>
    <t>FCM-52W-MG</t>
  </si>
  <si>
    <t xml:space="preserve">Fluorescent Compact Medium Base (52W x 1L) 1 Magnetic Ballast  </t>
  </si>
  <si>
    <t>FCM-65W-MG</t>
  </si>
  <si>
    <t xml:space="preserve">Fluorescent Compact Medium Base (65W x 1L) 1 Magnetic Ballast  </t>
  </si>
  <si>
    <t>FCM-80W-MG</t>
  </si>
  <si>
    <t xml:space="preserve">Fluorescent Compact Medium Base (80W x 1L) 1 Magnetic Ballast  </t>
  </si>
  <si>
    <t>FCM-85W-MG</t>
  </si>
  <si>
    <t xml:space="preserve">Fluorescent Compact Medium Base (85W x 1L) 1 Magnetic Ballast  </t>
  </si>
  <si>
    <t>FCM-100W-MG</t>
  </si>
  <si>
    <t xml:space="preserve">Fluorescent Compact Medium Base (100W x 1L) 1 Magnetic Ballast  </t>
  </si>
  <si>
    <t>FCM-125W-MG</t>
  </si>
  <si>
    <t xml:space="preserve">Fluorescent Compact Medium Base (125W x 1L) 1 Magnetic Ballast  </t>
  </si>
  <si>
    <t>FCM-150W-MG</t>
  </si>
  <si>
    <t xml:space="preserve">Fluorescent Compact Medium Base (150W x 1L) 1 Magnetic Ballast  </t>
  </si>
  <si>
    <t>FCM-200W-MG</t>
  </si>
  <si>
    <t xml:space="preserve">Fluorescent Compact Medium Base (200W x 1L) 1 Magnetic Ballast  </t>
  </si>
  <si>
    <t>FCP-57W-IS</t>
  </si>
  <si>
    <t>FCP-60W-IS</t>
  </si>
  <si>
    <t>FCP-70W-IS</t>
  </si>
  <si>
    <t>FCP-120W-IS</t>
  </si>
  <si>
    <t>kW sum</t>
  </si>
  <si>
    <t>%kW</t>
  </si>
  <si>
    <t>Incentives</t>
  </si>
  <si>
    <t>Fixture Description</t>
  </si>
  <si>
    <t>CMH-20W-ELEC</t>
  </si>
  <si>
    <t xml:space="preserve">HID Ceramic Metal Halide Standard (20W x 1L) 1 Electronic  </t>
  </si>
  <si>
    <t>ELEC</t>
  </si>
  <si>
    <t>Electronic</t>
  </si>
  <si>
    <t>MHPS-20W-ELEC</t>
  </si>
  <si>
    <t xml:space="preserve">HID Metal Halide Pulse-Start (20W x 1L) 1 Electronic  </t>
  </si>
  <si>
    <t>CMH-39W-ELEC</t>
  </si>
  <si>
    <t xml:space="preserve">HID Ceramic Metal Halide Standard (39W x 1L) 1 Electronic  </t>
  </si>
  <si>
    <t>MH-50W-ELEC</t>
  </si>
  <si>
    <t xml:space="preserve">HID Metal Halide Standard (50W x 1L) 1 Electronic  </t>
  </si>
  <si>
    <t>CMH-70W-ELEC</t>
  </si>
  <si>
    <t xml:space="preserve">HID Ceramic Metal Halide Standard (70W x 1L) 1 Electronic  </t>
  </si>
  <si>
    <t>MH-70W-ELEC</t>
  </si>
  <si>
    <t xml:space="preserve">HID Metal Halide Standard (70W x 1L) 1 Electronic  </t>
  </si>
  <si>
    <t>CMH-100W-ELEC</t>
  </si>
  <si>
    <t xml:space="preserve">HID Ceramic Metal Halide Standard (100W x 1L) 1 Electronic  </t>
  </si>
  <si>
    <t>MH-100W-ELEC</t>
  </si>
  <si>
    <t xml:space="preserve">HID Metal Halide Standard (100W x 1L) 1 Electronic  </t>
  </si>
  <si>
    <t>FCM-16W-IS N</t>
  </si>
  <si>
    <t xml:space="preserve">Fluorescent Compact Medium Base (16W x 1L) 1 Instant start Ballast (0.85 &lt; BF &lt; 0.95) </t>
  </si>
  <si>
    <t xml:space="preserve">Fluorescent Compact Pin-Base (10W x 1L) 1 Magnetic Ballast  </t>
  </si>
  <si>
    <t>Pin-Base</t>
  </si>
  <si>
    <t xml:space="preserve">Fluorescent Compact Pin-Base (12W x 1L) 1 Magnetic Ballast  </t>
  </si>
  <si>
    <t xml:space="preserve">Fluorescent Compact Pin-Base (13W x 2L) 1 Instant start Ballast (0.95 &lt; BF &lt; 1.10) </t>
  </si>
  <si>
    <t xml:space="preserve">Fluorescent Compact Pin-Base (13W x 2L) 1 Instant start Ballast (0.85 &lt; BF &lt; 0.95) </t>
  </si>
  <si>
    <t xml:space="preserve">Fluorescent Compact Pin-Base (13W x 2L) 1 Magnetic Ballast  </t>
  </si>
  <si>
    <t xml:space="preserve">Fluorescent Compact Pin-Base (13W x 3L) 1 Magnetic Ballast  </t>
  </si>
  <si>
    <t xml:space="preserve">Fluorescent Compact Pin-Base (13W x 1L) 1 Instant start Ballast (0.95 &lt; BF &lt; 1.10) </t>
  </si>
  <si>
    <t xml:space="preserve">Fluorescent Compact Pin-Base (13W x 1L) 1 Instant start Ballast (0.85 &lt; BF &lt; 0.95) </t>
  </si>
  <si>
    <t xml:space="preserve">Fluorescent Compact Pin-Base (13W x 1L) 1 Magnetic Ballast  </t>
  </si>
  <si>
    <t xml:space="preserve">Fluorescent Compact Pin-Base (14W x 1L) 1 Magnetic Ballast  </t>
  </si>
  <si>
    <t xml:space="preserve">Fluorescent Compact Pin-Base (15W x 1L) 1 Magnetic Ballast  </t>
  </si>
  <si>
    <t xml:space="preserve">Fluorescent Compact Pin-Base (16W x 1L) 1 Magnetic Ballast  </t>
  </si>
  <si>
    <t xml:space="preserve">Fluorescent Compact Pin-Base (17W x 2L) 1 Magnetic Ballast  </t>
  </si>
  <si>
    <t xml:space="preserve">Fluorescent Compact Pin-Base (17W x 1L) 1 Magnetic Ballast  </t>
  </si>
  <si>
    <t xml:space="preserve">Fluorescent Compact Pin-Base (18W x 2L) 1 Instant start Ballast (0.95 &lt; BF &lt; 1.10) </t>
  </si>
  <si>
    <t xml:space="preserve">Fluorescent Compact Pin-Base (18W x 2L) 1 Instant start Ballast (0.85 &lt; BF &lt; 0.95) </t>
  </si>
  <si>
    <t xml:space="preserve">Fluorescent Compact Pin-Base (18W x 2L) 1 Magnetic Ballast  </t>
  </si>
  <si>
    <t xml:space="preserve">Fluorescent Compact Pin-Base (18W x 4L) 1 Magnetic Ballast  </t>
  </si>
  <si>
    <t xml:space="preserve">Fluorescent Compact Pin-Base (18W x 1L) 1 Instant start Ballast (0.95 &lt; BF &lt; 1.10) </t>
  </si>
  <si>
    <t xml:space="preserve">Fluorescent Compact Pin-Base (18W x 1L) 1 Instant start Ballast (0.85 &lt; BF &lt; 0.95) </t>
  </si>
  <si>
    <t xml:space="preserve">Fluorescent Compact Pin-Base (18W x 1L) 1 Magnetic Ballast  </t>
  </si>
  <si>
    <t xml:space="preserve">Fluorescent Compact Pin-Base (19W x 1L) 1 Magnetic Ballast  </t>
  </si>
  <si>
    <t xml:space="preserve">Fluorescent Compact Pin-Base (20W x 2L) 1 Magnetic Ballast  </t>
  </si>
  <si>
    <t xml:space="preserve">Fluorescent Compact Pin-Base (20W x 1L) 1 Magnetic Ballast  </t>
  </si>
  <si>
    <t xml:space="preserve">Fluorescent Compact Pin-Base (21W x 1L) 1 Magnetic Ballast  </t>
  </si>
  <si>
    <t xml:space="preserve">Fluorescent Compact Pin-Base (22W x 2L) 1 Magnetic Ballast  </t>
  </si>
  <si>
    <t xml:space="preserve">Fluorescent Compact Pin-Base (22W x 3L) 1 Magnetic Ballast  </t>
  </si>
  <si>
    <t xml:space="preserve">Fluorescent Compact Pin-Base (22W x 4L) 1 Magnetic Ballast  </t>
  </si>
  <si>
    <t xml:space="preserve">Fluorescent Compact Pin-Base (22W x 1L) 1 Magnetic Ballast  </t>
  </si>
  <si>
    <t xml:space="preserve">Fluorescent Compact Pin-Base (23W x 1L) 1 Magnetic Ballast  </t>
  </si>
  <si>
    <t xml:space="preserve">Fluorescent Compact Pin-Base (24W x 1L) 1 Magnetic Ballast  </t>
  </si>
  <si>
    <t xml:space="preserve">Fluorescent Compact Pin-Base (25W x 2L) 1 Magnetic Ballast  </t>
  </si>
  <si>
    <t xml:space="preserve">Fluorescent Compact Pin-Base (25W x 1L) 1 Magnetic Ballast  </t>
  </si>
  <si>
    <t xml:space="preserve">Fluorescent Compact Pin-Base (26W x 2L) 1 Instant start Ballast (0.95 &lt; BF &lt; 1.10) </t>
  </si>
  <si>
    <t xml:space="preserve">Fluorescent Compact Pin-Base (26W x 2L) 1 Instant start Ballast (0.85 &lt; BF &lt; 0.95) </t>
  </si>
  <si>
    <t xml:space="preserve">Fluorescent Compact Pin-Base (26W x 2L) 1 Magnetic Ballast  </t>
  </si>
  <si>
    <t xml:space="preserve">Fluorescent Compact Pin-Base (26W x 3L) 1 Magnetic Ballast  </t>
  </si>
  <si>
    <t xml:space="preserve">Fluorescent Compact Pin-Base (26W x 6L) 1 Instant start Ballast (0.95 &lt; BF &lt; 1.10) </t>
  </si>
  <si>
    <t xml:space="preserve">Fluorescent Compact Pin-Base (26W x 1L) 1 Instant start Ballast (0.95 &lt; BF &lt; 1.10) </t>
  </si>
  <si>
    <t xml:space="preserve">Fluorescent Compact Pin-Base (26W x 1L) 1 Instant start Ballast (0.85 &lt; BF &lt; 0.95) </t>
  </si>
  <si>
    <t xml:space="preserve">Fluorescent Compact Pin-Base (26W x 1L) 1 Magnetic Ballast  </t>
  </si>
  <si>
    <t xml:space="preserve">Fluorescent Compact Pin-Base (27W x 1L) 1 Magnetic Ballast  </t>
  </si>
  <si>
    <t xml:space="preserve">Fluorescent Compact Pin-Base (28W x 2L) 1 Instant start Ballast (0.85 &lt; BF &lt; 0.95) </t>
  </si>
  <si>
    <t xml:space="preserve">Fluorescent Compact Pin-Base (28W x 2L) 1 Magnetic Ballast  </t>
  </si>
  <si>
    <t xml:space="preserve">Fluorescent Compact Pin-Base (28W x 1L) 1 Instant start Ballast (0.85 &lt; BF &lt; 0.95) </t>
  </si>
  <si>
    <t xml:space="preserve">Fluorescent Compact Pin-Base (28W x 1L) 1 Magnetic Ballast  </t>
  </si>
  <si>
    <t xml:space="preserve">Fluorescent Compact Pin-Base (2W x 1L) 1 Magnetic Ballast  </t>
  </si>
  <si>
    <t xml:space="preserve">Fluorescent Compact Pin-Base (30W x 1L) 1 Magnetic Ballast  </t>
  </si>
  <si>
    <t xml:space="preserve">Fluorescent Compact Pin-Base (32W x 2L) 1 Instant start Ballast (0.85 &lt; BF &lt; 0.95) </t>
  </si>
  <si>
    <t xml:space="preserve">Fluorescent Compact Pin-Base (32W x 6L) 1 Instant start Ballast (0.85 &lt; BF &lt; 0.95) </t>
  </si>
  <si>
    <t xml:space="preserve">Fluorescent Compact Pin-Base (32W x 1L) 1 Instant start Ballast (0.85 &lt; BF &lt; 0.95) </t>
  </si>
  <si>
    <t xml:space="preserve">Fluorescent Compact Pin-Base (36W x 1L) 1 Magnetic Ballast  </t>
  </si>
  <si>
    <t xml:space="preserve">Fluorescent Compact Pin-Base (38W x 1L) 1 Magnetic Ballast  </t>
  </si>
  <si>
    <t xml:space="preserve">Fluorescent Compact Pin-Base (40W x 2L) 1 Instant start Ballast (0.85 &lt; BF &lt; 0.95) </t>
  </si>
  <si>
    <t xml:space="preserve">Fluorescent Compact Pin-Base (40W x 2L) 1 Magnetic Ballast  </t>
  </si>
  <si>
    <t xml:space="preserve">Fluorescent Compact Pin-Base (40W x 3L) 1 Instant start Ballast (0.85 &lt; BF &lt; 0.95) </t>
  </si>
  <si>
    <t xml:space="preserve">Fluorescent Compact Pin-Base (40W x 3L) 1 Magnetic Ballast  </t>
  </si>
  <si>
    <t xml:space="preserve">Fluorescent Compact Pin-Base (40W x 1L) 1 Instant start Ballast (0.85 &lt; BF &lt; 0.95) </t>
  </si>
  <si>
    <t xml:space="preserve">Fluorescent Compact Pin-Base (40W x 1L) 1 Magnetic Ballast  </t>
  </si>
  <si>
    <t xml:space="preserve">Fluorescent Compact Pin-Base (42W x 2L) 1 Instant start Ballast (0.85 &lt; BF &lt; 0.95) </t>
  </si>
  <si>
    <t xml:space="preserve">Fluorescent Compact Pin-Base (42W x 8L) 1 Instant start Ballast (0.85 &lt; BF &lt; 0.95) </t>
  </si>
  <si>
    <t xml:space="preserve">Fluorescent Compact Pin-Base (42W x 1L) 1 Instant start Ballast (0.85 &lt; BF &lt; 0.95) </t>
  </si>
  <si>
    <t xml:space="preserve">Fluorescent Compact Pin-Base (42W x 1L) 1 Magnetic Ballast  </t>
  </si>
  <si>
    <t xml:space="preserve">Fluorescent Compact Pin-Base (55W x 2L) 1 Instant start Ballast (0.85 &lt; BF &lt; 0.95) </t>
  </si>
  <si>
    <t xml:space="preserve">Fluorescent Compact Pin-Base (55W x 3L) 1 Instant start Ballast (0.85 &lt; BF &lt; 0.95) </t>
  </si>
  <si>
    <t xml:space="preserve">Fluorescent Compact Pin-Base (55W x 4L) 1 Instant start Ballast (0.85 &lt; BF &lt; 0.95) </t>
  </si>
  <si>
    <t xml:space="preserve">Fluorescent Compact Pin-Base (55W x 1L) 1 Instant start Ballast (0.85 &lt; BF &lt; 0.95) </t>
  </si>
  <si>
    <t xml:space="preserve">Fluorescent Compact Pin-Base (5W x 2L) 1 Magnetic Ballast  </t>
  </si>
  <si>
    <t xml:space="preserve">Fluorescent Compact Pin-Base (5W x 1L) 1 Magnetic Ballast  </t>
  </si>
  <si>
    <t xml:space="preserve">Fluorescent Compact Pin-Base (7W x 2L) 1 Magnetic Ballast  </t>
  </si>
  <si>
    <t xml:space="preserve">Fluorescent Compact Pin-Base (7W x 1L) 1 Magnetic Ballast  </t>
  </si>
  <si>
    <t xml:space="preserve">Fluorescent Compact Pin-Base (9W x 2L) 1 Magnetic Ballast  </t>
  </si>
  <si>
    <t xml:space="preserve">Fluorescent Compact Pin-Base (9W x 3L) 1 Magnetic Ballast  </t>
  </si>
  <si>
    <t xml:space="preserve">Fluorescent Compact Pin-Base (9W x 1L) 1 Magnetic Ballast  </t>
  </si>
  <si>
    <t>FLT12-25W x 2L x 4'-IS L</t>
  </si>
  <si>
    <t>FLT8-17W x 2'-IS L</t>
  </si>
  <si>
    <t>FLT8-17W x 2'-IS(E) L</t>
  </si>
  <si>
    <t>FLT8-17W x 2L x 2'-IS L</t>
  </si>
  <si>
    <t>FLT8-17W x 2L x 2'-IS(E) L</t>
  </si>
  <si>
    <t>FLT8-17W x 2L x 2'-RS/PRS L</t>
  </si>
  <si>
    <t>FLT8-17W x 2'-RS/PRS L</t>
  </si>
  <si>
    <t>FLT8-17W x 3L x 2'-IS L</t>
  </si>
  <si>
    <t>FLT8-17W x 3L x 2'-IS(E) L</t>
  </si>
  <si>
    <t>FLT8-17W x 3L x 2'-RS/PRS L</t>
  </si>
  <si>
    <t>FLT5HO-49W x 5L x 4'-2 RS/PRS H</t>
  </si>
  <si>
    <t xml:space="preserve">Fluorescent Linear T5 HO (49W x 5L x 4') 2 Rapid/Program Start Ballast (0.95 &lt; BF &lt; 1.10) </t>
  </si>
  <si>
    <t>FLT8-17W x 4L x 2'-IS L</t>
  </si>
  <si>
    <t>FLT8-17W x 4L x 2'-IS(E) L</t>
  </si>
  <si>
    <t>FLT8-17W x 4L x 2'-RS/PRS L</t>
  </si>
  <si>
    <t>FLT8-25W x 2L x 3'-2 IS L</t>
  </si>
  <si>
    <t>FLT8-25W x 2L x 3'-IS L</t>
  </si>
  <si>
    <t>FLT5HO-51W x 5L x 4'-2 RS/PRS H</t>
  </si>
  <si>
    <t xml:space="preserve">Fluorescent Linear T5 HO (51W x 5L x 4') 2 Rapid/Program Start Ballast (0.95 &lt; BF &lt; 1.10) </t>
  </si>
  <si>
    <t>FLT5HO-51W x 10L x 4'-2 RS/PRS H</t>
  </si>
  <si>
    <t xml:space="preserve">Fluorescent Linear T5 HO (51W x 10L x 4') 2 Rapid/Program Start Ballast (0.95 &lt; BF &lt; 1.10) </t>
  </si>
  <si>
    <t>FLT5HO-54W x 10L x 4'-3 RS/PRS H</t>
  </si>
  <si>
    <t xml:space="preserve">Fluorescent Linear T5 HO (54W x 10L x 4') 3 Rapid/Program Start Ballast (0.95 &lt; BF &lt; 1.10) </t>
  </si>
  <si>
    <t>FLT5HO-54W x 8L x 4'-2 RS/PRS H</t>
  </si>
  <si>
    <t xml:space="preserve">Fluorescent Linear T5 HO (54W x 8L x 4') 2 Rapid/Program Start Ballast (0.95 &lt; BF &lt; 1.10) </t>
  </si>
  <si>
    <t>FLT5HO-54W x 6L x 4'-2 RS/PRS H</t>
  </si>
  <si>
    <t xml:space="preserve">Fluorescent Linear T5 HO (54W x 6L x 4') 2 Rapid/Program Start Ballast (0.95 &lt; BF &lt; 1.10) </t>
  </si>
  <si>
    <t>FLT8-25W x 2L x 3'-IS(E) L</t>
  </si>
  <si>
    <t>FLT8-25W x 2L x 3'-RS/PRS L</t>
  </si>
  <si>
    <t>FLT8-25W x 2L x 4'-IS L</t>
  </si>
  <si>
    <t>FLT8-25W x 3'-IS L</t>
  </si>
  <si>
    <t>FLT8-25W x 3'-IS(E) L</t>
  </si>
  <si>
    <t>FLT8-25W x 3L x 3'-IS L</t>
  </si>
  <si>
    <t>FLT8-25W x 3L x 3'-IS(E) L</t>
  </si>
  <si>
    <t>FLT8-25W x 3L x 3'-RS/PRS L</t>
  </si>
  <si>
    <t>FLT8-25W x 3L x 4'-IS L</t>
  </si>
  <si>
    <t>FLT8-25W x 3L x 4'-IS(E) L</t>
  </si>
  <si>
    <t>FLT8-25W x 3'-RS/PRS L</t>
  </si>
  <si>
    <t>FLT8-25W x 4'-IS L</t>
  </si>
  <si>
    <t>FLT8-25W x 4L x 3'-2 IS L</t>
  </si>
  <si>
    <t>FLT8-25W x 4L x 3'-IS L</t>
  </si>
  <si>
    <t>FLT8-25W x 4L x 3'-IS(E) L</t>
  </si>
  <si>
    <t>FLT8-25W x 4L x 3'-RS/PRS L</t>
  </si>
  <si>
    <t>FLT8-25W x 4L x 4'-IS L</t>
  </si>
  <si>
    <t>FLT8-25W x 4L x 4'-IS(E) L</t>
  </si>
  <si>
    <t>FLT8-25W x 6L x 3'-2 IS L</t>
  </si>
  <si>
    <t>FLT8-28W x 2L x 4'-IS L</t>
  </si>
  <si>
    <t>FLT8-28W x 3L x 4'-IS L</t>
  </si>
  <si>
    <t>FLT8-28W x 4'-IS L</t>
  </si>
  <si>
    <t>FLT8-28W x 4L x 4'-IS L</t>
  </si>
  <si>
    <t>FLT8-28W x 4L x 4'-IS(E) L</t>
  </si>
  <si>
    <t>FLT8-30W x 2L x 4'-IS L</t>
  </si>
  <si>
    <t>FLT8-30W x 2L x 4'-IS(E) L</t>
  </si>
  <si>
    <t>FLT8-30W x 3L x 4'-2 IS L</t>
  </si>
  <si>
    <t>FLT8-30W x 3L x 4'-IS L</t>
  </si>
  <si>
    <t>FLT8-30W x 3L x 4'-IS(E) L</t>
  </si>
  <si>
    <t>FLT8-30W x 3L x 4'-RS/PRS L</t>
  </si>
  <si>
    <t>FLT8-30W x 4'-IS L</t>
  </si>
  <si>
    <t>FLT8-30W x 4L x 4'-2 IS L</t>
  </si>
  <si>
    <t>FLT8-30W x 4L x 4'-IS L</t>
  </si>
  <si>
    <t>FLT8-30W x 4L x 4'-IS(E) L</t>
  </si>
  <si>
    <t>FLT8-30W x 6L x 4'-2 IS L</t>
  </si>
  <si>
    <t>FLT8-32W x 2L x 4'-2 IS L</t>
  </si>
  <si>
    <t>FLT8-32W x 2L x 4'-CEE PS/PRS DIM L</t>
  </si>
  <si>
    <t>FLT8-32W x 2L x 4'-IS L</t>
  </si>
  <si>
    <t>FLT8-32W x 2L x 4'-IS(E) L</t>
  </si>
  <si>
    <t>FLT8-32W x 2L x 4'-RS/PRS L</t>
  </si>
  <si>
    <t>FLT8-32W x 2L x 4'-RS/PRS(E) L</t>
  </si>
  <si>
    <t>FLT8-32W x 3L x 4'-2 IS L</t>
  </si>
  <si>
    <t>FLT8-32W x 3L x 4'-CEE PS/PRS DIM L</t>
  </si>
  <si>
    <t>FLT8-32W x 3L x 4'-IS L</t>
  </si>
  <si>
    <t>FLT8-32W x 3L x 4'-IS(E) L</t>
  </si>
  <si>
    <t>FLT8-32W x 3L x 4'-RS/PRS L</t>
  </si>
  <si>
    <t>FLT8-32W x 3L x 4'-RS/PRS(E) L</t>
  </si>
  <si>
    <t>FLT8-32W x 4'-IS L</t>
  </si>
  <si>
    <t>FLT8-32W x 4'-IS(E) L</t>
  </si>
  <si>
    <t>FLT8-32W x 4L x 4'-2 IS L</t>
  </si>
  <si>
    <t>FLT8-32W x 4L x 4'-IS L</t>
  </si>
  <si>
    <t>FLT8-32W x 4L x 4'-IS(E) L</t>
  </si>
  <si>
    <t>FLT8-32W x 4L x 4'-RS/PRS L</t>
  </si>
  <si>
    <t>FLT8-32W x 4'-RS/PRS L</t>
  </si>
  <si>
    <t>FLT8-32W x 6L x 4'-2 IS L</t>
  </si>
  <si>
    <t>FLT8-32W x 6L x 4'-2 IS(E) L</t>
  </si>
  <si>
    <t>FLT8-32W x 6L x 4'-IS L</t>
  </si>
  <si>
    <t>FLT8-32W x 8L x 4'-2 IS L</t>
  </si>
  <si>
    <t>FLT8-40W x 2L x 5'-IS L</t>
  </si>
  <si>
    <t>FLT8-40W x 2L x 5'-IS(E) L</t>
  </si>
  <si>
    <t>FLT8-40W x 3L x 5'-IS L</t>
  </si>
  <si>
    <t>FLT8-40W x 5'-IS L</t>
  </si>
  <si>
    <t>FLT8-59W x 2L x 8'-IS L</t>
  </si>
  <si>
    <t>FLT8-59W x 8'-IS L</t>
  </si>
  <si>
    <t>FUT8-17W x 1'-IS L</t>
  </si>
  <si>
    <t>FUT8-17W x 1'-IS(E) L</t>
  </si>
  <si>
    <t>FUT8-17W x 2L x 1'-IS L</t>
  </si>
  <si>
    <t>FUT8-17W x 2L x 1'-IS(E) L</t>
  </si>
  <si>
    <t>FUT8-17W x 3L x 1'-IS L</t>
  </si>
  <si>
    <t>FUT8-17W x 3L x 1'-IS(E) L</t>
  </si>
  <si>
    <t>FUT8-17W x 4L x 1'-IS L</t>
  </si>
  <si>
    <t>FUT8-17W x 4L x 1'-IS(E) L</t>
  </si>
  <si>
    <t>FUT8-25W x 1.5'-IS L</t>
  </si>
  <si>
    <t>FUT8-25W x 1.5'-IS(E) L</t>
  </si>
  <si>
    <t>FUT8-25W x 2'-IS L</t>
  </si>
  <si>
    <t>FUT8-25W x 2'-IS(E) L</t>
  </si>
  <si>
    <t>FUT8-25W x 2L x 1.5'-IS L</t>
  </si>
  <si>
    <t>FUT8-25W x 2L x 1.5'-IS(E) L</t>
  </si>
  <si>
    <t>FUT8-25W x 2L x 2'-IS L</t>
  </si>
  <si>
    <t>FUT8-25W x 2L x 2'-IS(E) L</t>
  </si>
  <si>
    <t>FUT8-25W x 3L x 1.5'-IS L</t>
  </si>
  <si>
    <t>FUT8-25W x 3L x 1.5'-IS(E) L</t>
  </si>
  <si>
    <t>FUT8-25W x 3L x 2'-IS L</t>
  </si>
  <si>
    <t>FUT8-25W x 4L x 1.5'-IS L</t>
  </si>
  <si>
    <t>FUT8-25W x 4L x 1.5'-IS(E) L</t>
  </si>
  <si>
    <t>FUT8-25W x 4L x 2'-IS L</t>
  </si>
  <si>
    <t>FUT8-28W x 2'-IS L</t>
  </si>
  <si>
    <t>FUT8-28W x 2L x 2'-IS L</t>
  </si>
  <si>
    <t>FUT8-28W x 3L x 2'-IS L</t>
  </si>
  <si>
    <t>FUT8-28W x 4L x 2'-IS L</t>
  </si>
  <si>
    <t>FUT8-30W x 2'-IS L</t>
  </si>
  <si>
    <t>FUT8-30W x 2L x 2'-IS L</t>
  </si>
  <si>
    <t>FUT8-30W x 4L x 2'-IS L</t>
  </si>
  <si>
    <t>FUT8-31W x 2'-IS L</t>
  </si>
  <si>
    <t>FUT8-31W x 2L x 2'-IS L</t>
  </si>
  <si>
    <t>FUT8-32W x 2'-IS L</t>
  </si>
  <si>
    <t>FUT8-32W x 2'-IS(E) L</t>
  </si>
  <si>
    <t>FUT8-32W x 2L x 2'-IS L</t>
  </si>
  <si>
    <t>FUT8-32W x 2L x 2'-IS(E) L</t>
  </si>
  <si>
    <t>FUT8-32W x 3L x 2'-IS L</t>
  </si>
  <si>
    <t>FUT8-32W x 3L x 2'-IS(E) L</t>
  </si>
  <si>
    <t>FUT8-32W x 4L x 2'-IS L</t>
  </si>
  <si>
    <t>FLT5HO-24W x 8L x 2'-2 RS/PRS VH</t>
  </si>
  <si>
    <t xml:space="preserve">Fluorescent Linear T5 HO (24W x 8L x 2') 2 Rapid/Program Start Ballast (0.95 &lt; BF &lt; 1.10) </t>
  </si>
  <si>
    <t>FLT5HO-24W x 6L x 2'-2 RS/PRS VH</t>
  </si>
  <si>
    <t xml:space="preserve">Fluorescent Linear T5 HO (24W x 6L x 2') 2 Rapid/Program Start Ballast (0.95 &lt; BF &lt; 1.10) </t>
  </si>
  <si>
    <t>FLT5HO-24W x 4L x 2'-RS/PRS VH</t>
  </si>
  <si>
    <t xml:space="preserve">Fluorescent Linear T5 HO (24W x 4L x 2') 1 Rapid/Program Start Ballast (0.95 &lt; BF &lt; 1.10) </t>
  </si>
  <si>
    <t>ICH-150W x 2L</t>
  </si>
  <si>
    <t>ICH-250W</t>
  </si>
  <si>
    <t>ICH-300W</t>
  </si>
  <si>
    <t>ICH-500W</t>
  </si>
  <si>
    <t>ICRe-69W</t>
  </si>
  <si>
    <t>Re</t>
  </si>
  <si>
    <t>ICE-10W x 2L</t>
  </si>
  <si>
    <t>ICE-15W</t>
  </si>
  <si>
    <t>ICE-15W x 2L</t>
  </si>
  <si>
    <t>ICE-20W</t>
  </si>
  <si>
    <t>ICE-20W x 2L</t>
  </si>
  <si>
    <t>ICE-25W</t>
  </si>
  <si>
    <t>ICE-25W x 2L</t>
  </si>
  <si>
    <t>ICE-34W</t>
  </si>
  <si>
    <t>ICE-34W x 2L</t>
  </si>
  <si>
    <t>ICE-40W</t>
  </si>
  <si>
    <t>ICE-40W x 2L</t>
  </si>
  <si>
    <t>ICE-50W x 2L</t>
  </si>
  <si>
    <t>ICE-5W</t>
  </si>
  <si>
    <t>ICE-5W x 2L</t>
  </si>
  <si>
    <t>ICE-6W</t>
  </si>
  <si>
    <t>ICE-6W x 2L</t>
  </si>
  <si>
    <t>ICE-8W</t>
  </si>
  <si>
    <t>ICE-8W x 2L</t>
  </si>
  <si>
    <t>INRB-100W</t>
  </si>
  <si>
    <t xml:space="preserve">Induction Remote Ballasted (100W x 1L) </t>
  </si>
  <si>
    <t>INRB-120W</t>
  </si>
  <si>
    <t xml:space="preserve">Induction Remote Ballasted (120W x 1L) </t>
  </si>
  <si>
    <t>INRB-150W</t>
  </si>
  <si>
    <t xml:space="preserve">Induction Remote Ballasted (150W x 1L) </t>
  </si>
  <si>
    <t>INRB-165W</t>
  </si>
  <si>
    <t xml:space="preserve">Induction Remote Ballasted (165W x 1L) </t>
  </si>
  <si>
    <t>INRB-200W</t>
  </si>
  <si>
    <t xml:space="preserve">Induction Remote Ballasted (200W x 1L) </t>
  </si>
  <si>
    <t>INRB-250W</t>
  </si>
  <si>
    <t xml:space="preserve">Induction Remote Ballasted (250W x 1L) </t>
  </si>
  <si>
    <t>INRB-300W</t>
  </si>
  <si>
    <t xml:space="preserve">Induction Remote Ballasted (300W x 1L) </t>
  </si>
  <si>
    <t>INRB-400W</t>
  </si>
  <si>
    <t xml:space="preserve">Induction Remote Ballasted (400W x 1L) </t>
  </si>
  <si>
    <t>INRB-40W</t>
  </si>
  <si>
    <t xml:space="preserve">Induction Remote Ballasted (40W x 1L) </t>
  </si>
  <si>
    <t>INRB-500W</t>
  </si>
  <si>
    <t xml:space="preserve">Induction Remote Ballasted (500W x 1L) </t>
  </si>
  <si>
    <t>INRB-50W</t>
  </si>
  <si>
    <t xml:space="preserve">Induction Remote Ballasted (50W x 1L) </t>
  </si>
  <si>
    <t>INRB-55W</t>
  </si>
  <si>
    <t xml:space="preserve">Induction Remote Ballasted (55W x 1L) </t>
  </si>
  <si>
    <t>INRB-70W</t>
  </si>
  <si>
    <t xml:space="preserve">Induction Remote Ballasted (70W x 1L) </t>
  </si>
  <si>
    <t>INRB-80W</t>
  </si>
  <si>
    <t xml:space="preserve">Induction Remote Ballasted (80W x 1L) </t>
  </si>
  <si>
    <t xml:space="preserve">Induction Self Ballasted (15W x 1L) </t>
  </si>
  <si>
    <t xml:space="preserve">Induction Self Ballasted (23W x 1L) </t>
  </si>
  <si>
    <t xml:space="preserve">Induction Self Ballasted (40W x 1L) </t>
  </si>
  <si>
    <t xml:space="preserve">Induction Self Ballasted (50W x 1L) </t>
  </si>
  <si>
    <t>LEDPM-101W</t>
  </si>
  <si>
    <t xml:space="preserve">LED Pole Mount (101W x 1L) </t>
  </si>
  <si>
    <t>LEDPM-102W</t>
  </si>
  <si>
    <t xml:space="preserve">LED Pole Mount (102W x 1L) </t>
  </si>
  <si>
    <t>LEDPM-106W</t>
  </si>
  <si>
    <t xml:space="preserve">LED Pole Mount (106W x 1L) </t>
  </si>
  <si>
    <t>LEDPM-108W</t>
  </si>
  <si>
    <t xml:space="preserve">LED Pole Mount (108W x 1L) </t>
  </si>
  <si>
    <t>LEDPM-112W</t>
  </si>
  <si>
    <t xml:space="preserve">LED Pole Mount (112W x 1L) </t>
  </si>
  <si>
    <t>LEDPM-124W</t>
  </si>
  <si>
    <t xml:space="preserve">LED Pole Mount (124W x 1L) </t>
  </si>
  <si>
    <t>LEDPM-131W</t>
  </si>
  <si>
    <t xml:space="preserve">LED Pole Mount (131W x 1L) </t>
  </si>
  <si>
    <t>LEDPM-138W</t>
  </si>
  <si>
    <t xml:space="preserve">LED Pole Mount (138W x 1L) </t>
  </si>
  <si>
    <t>LEDPM-139W</t>
  </si>
  <si>
    <t xml:space="preserve">LED Pole Mount (139W x 1L) </t>
  </si>
  <si>
    <t>LEDPM-143W</t>
  </si>
  <si>
    <t xml:space="preserve">LED Pole Mount (143W x 1L) </t>
  </si>
  <si>
    <t>LEDPM-146W</t>
  </si>
  <si>
    <t xml:space="preserve">LED Pole Mount (146W x 1L) </t>
  </si>
  <si>
    <t>LEDPM-151W</t>
  </si>
  <si>
    <t xml:space="preserve">LED Pole Mount (151W x 1L) </t>
  </si>
  <si>
    <t>LEDPM-15W</t>
  </si>
  <si>
    <t xml:space="preserve">LED Pole Mount (15W x 1L) </t>
  </si>
  <si>
    <t>LEDPM-164W</t>
  </si>
  <si>
    <t xml:space="preserve">LED Pole Mount (164W x 1L) </t>
  </si>
  <si>
    <t>LEDPM-175W</t>
  </si>
  <si>
    <t xml:space="preserve">LED Pole Mount (175W x 1L) </t>
  </si>
  <si>
    <t>LEDPM-180W</t>
  </si>
  <si>
    <t xml:space="preserve">LED Pole Mount (180W x 1L) </t>
  </si>
  <si>
    <t>LEDPM-186W</t>
  </si>
  <si>
    <t xml:space="preserve">LED Pole Mount (186W x 1L) </t>
  </si>
  <si>
    <t>LEDPM-199W</t>
  </si>
  <si>
    <t xml:space="preserve">LED Pole Mount (199W x 1L) </t>
  </si>
  <si>
    <t>LEDPM-201W</t>
  </si>
  <si>
    <t xml:space="preserve">LED Pole Mount (201W x 1L) </t>
  </si>
  <si>
    <t>LEDPM-204W</t>
  </si>
  <si>
    <t xml:space="preserve">LED Pole Mount (204W x 1L) </t>
  </si>
  <si>
    <t>LEDPM-205W</t>
  </si>
  <si>
    <t xml:space="preserve">LED Pole Mount (205W x 1L) </t>
  </si>
  <si>
    <t>LEDPM-217W</t>
  </si>
  <si>
    <t xml:space="preserve">LED Pole Mount (217W x 1L) </t>
  </si>
  <si>
    <t>LEDPM-22W</t>
  </si>
  <si>
    <t xml:space="preserve">LED Pole Mount (22W x 1L) </t>
  </si>
  <si>
    <t>LEDPM-232W</t>
  </si>
  <si>
    <t xml:space="preserve">LED Pole Mount (232W x 1L) </t>
  </si>
  <si>
    <t>LEDPM-24W</t>
  </si>
  <si>
    <t xml:space="preserve">LED Pole Mount (24W x 1L) </t>
  </si>
  <si>
    <t>LEDPM-38W</t>
  </si>
  <si>
    <t xml:space="preserve">LED Pole Mount (38W x 1L) </t>
  </si>
  <si>
    <t>LEDPM-50W</t>
  </si>
  <si>
    <t xml:space="preserve">LED Pole Mount (50W x 1L) </t>
  </si>
  <si>
    <t>LEDPM-54W</t>
  </si>
  <si>
    <t xml:space="preserve">LED Pole Mount (54W x 1L) </t>
  </si>
  <si>
    <t>LEDPM-59W</t>
  </si>
  <si>
    <t xml:space="preserve">LED Pole Mount (59W x 1L) </t>
  </si>
  <si>
    <t>LEDPM-60W</t>
  </si>
  <si>
    <t xml:space="preserve">LED Pole Mount (60W x 1L) </t>
  </si>
  <si>
    <t>LEDPM-65W</t>
  </si>
  <si>
    <t xml:space="preserve">LED Pole Mount (65W x 1L) </t>
  </si>
  <si>
    <t>LEDPM-70W</t>
  </si>
  <si>
    <t xml:space="preserve">LED Pole Mount (70W x 1L) </t>
  </si>
  <si>
    <t>LEDPM-71W</t>
  </si>
  <si>
    <t xml:space="preserve">LED Pole Mount (71W x 1L) </t>
  </si>
  <si>
    <t>LEDPM-72W</t>
  </si>
  <si>
    <t xml:space="preserve">LED Pole Mount (72W x 1L) </t>
  </si>
  <si>
    <t>LEDPM-74W</t>
  </si>
  <si>
    <t xml:space="preserve">LED Pole Mount (74W x 1L) </t>
  </si>
  <si>
    <t>LEDPM-85W</t>
  </si>
  <si>
    <t xml:space="preserve">LED Pole Mount (85W x 1L) </t>
  </si>
  <si>
    <t>LEDPM-87W</t>
  </si>
  <si>
    <t xml:space="preserve">LED Pole Mount (87W x 1L) </t>
  </si>
  <si>
    <t>LEDPM-88W</t>
  </si>
  <si>
    <t xml:space="preserve">LED Pole Mount (88W x 1L) </t>
  </si>
  <si>
    <t>LEDPM-91W</t>
  </si>
  <si>
    <t xml:space="preserve">LED Pole Mount (91W x 1L) </t>
  </si>
  <si>
    <t>LEDSMC-156W</t>
  </si>
  <si>
    <t xml:space="preserve">LED Canopy (156W x 1L) </t>
  </si>
  <si>
    <t>LEDSMC-193W</t>
  </si>
  <si>
    <t xml:space="preserve">LED Canopy (193W x 1L) </t>
  </si>
  <si>
    <t>LEDSMC-73W</t>
  </si>
  <si>
    <t xml:space="preserve">LED Canopy (73W x 1L) </t>
  </si>
  <si>
    <t>LEDWP-15W</t>
  </si>
  <si>
    <t xml:space="preserve">LED Wall Pack (15W x 1L) </t>
  </si>
  <si>
    <t>LEDWP-20W</t>
  </si>
  <si>
    <t xml:space="preserve">LED Wall Pack (20W x 1L) </t>
  </si>
  <si>
    <t>LEDWP-22W</t>
  </si>
  <si>
    <t xml:space="preserve">LED Wall Pack (22W x 1L) </t>
  </si>
  <si>
    <t>LEDWP-53W</t>
  </si>
  <si>
    <t xml:space="preserve">LED Wall Pack (53W x 1L) </t>
  </si>
  <si>
    <t>LEDWP-71W</t>
  </si>
  <si>
    <t xml:space="preserve">LED Wall Pack (71W x 1L) </t>
  </si>
  <si>
    <t>LEDWP-88W</t>
  </si>
  <si>
    <t xml:space="preserve">LED Wall Pack (88W x 1L) </t>
  </si>
  <si>
    <t>LEDDL-107W</t>
  </si>
  <si>
    <t xml:space="preserve">LED Recessed Downlight (107W x 1L) </t>
  </si>
  <si>
    <t>Recessed Downlight</t>
  </si>
  <si>
    <t>LEDDL-10W</t>
  </si>
  <si>
    <t xml:space="preserve">LED Recessed Downlight (10W x 1L) </t>
  </si>
  <si>
    <t>LEDDL-11W</t>
  </si>
  <si>
    <t xml:space="preserve">LED Recessed Downlight (11W x 1L) </t>
  </si>
  <si>
    <t>LEDDL-12W</t>
  </si>
  <si>
    <t xml:space="preserve">LED Recessed Downlight (12W x 1L) </t>
  </si>
  <si>
    <t>LEDDL-13W</t>
  </si>
  <si>
    <t xml:space="preserve">LED Recessed Downlight (13W x 1L) </t>
  </si>
  <si>
    <t>LEDDL-14W</t>
  </si>
  <si>
    <t xml:space="preserve">LED Recessed Downlight (14W x 1L) </t>
  </si>
  <si>
    <t>LEDDL-15W</t>
  </si>
  <si>
    <t xml:space="preserve">LED Recessed Downlight (15W x 1L) </t>
  </si>
  <si>
    <t>LEDDL-16W</t>
  </si>
  <si>
    <t xml:space="preserve">LED Recessed Downlight (16W x 1L) </t>
  </si>
  <si>
    <t>LEDDL-17W</t>
  </si>
  <si>
    <t xml:space="preserve">LED Recessed Downlight (17W x 1L) </t>
  </si>
  <si>
    <t>LEDDL-18W</t>
  </si>
  <si>
    <t xml:space="preserve">LED Recessed Downlight (18W x 1L) </t>
  </si>
  <si>
    <t>LEDDL-19W</t>
  </si>
  <si>
    <t xml:space="preserve">LED Recessed Downlight (19W x 1L) </t>
  </si>
  <si>
    <t>LEDDL-20W</t>
  </si>
  <si>
    <t xml:space="preserve">LED Recessed Downlight (20W x 1L) </t>
  </si>
  <si>
    <t>LEDDL-21W</t>
  </si>
  <si>
    <t xml:space="preserve">LED Recessed Downlight (21W x 1L) </t>
  </si>
  <si>
    <t>LEDDL-22W</t>
  </si>
  <si>
    <t xml:space="preserve">LED Recessed Downlight (22W x 1L) </t>
  </si>
  <si>
    <t>LEDDL-23W</t>
  </si>
  <si>
    <t xml:space="preserve">LED Recessed Downlight (23W x 1L) </t>
  </si>
  <si>
    <t>LEDDL-24W</t>
  </si>
  <si>
    <t xml:space="preserve">LED Recessed Downlight (24W x 1L) </t>
  </si>
  <si>
    <t>LEDDL-25W</t>
  </si>
  <si>
    <t xml:space="preserve">LED Recessed Downlight (25W x 1L) </t>
  </si>
  <si>
    <t>LEDDL-26W</t>
  </si>
  <si>
    <t xml:space="preserve">LED Recessed Downlight (26W x 1L) </t>
  </si>
  <si>
    <t>LEDDL-28W</t>
  </si>
  <si>
    <t xml:space="preserve">LED Recessed Downlight (28W x 1L) </t>
  </si>
  <si>
    <t>LEDDL-29W</t>
  </si>
  <si>
    <t xml:space="preserve">LED Recessed Downlight (29W x 1L) </t>
  </si>
  <si>
    <t>LEDDL-30W</t>
  </si>
  <si>
    <t xml:space="preserve">LED Recessed Downlight (30W x 1L) </t>
  </si>
  <si>
    <t>LEDDL-33W</t>
  </si>
  <si>
    <t xml:space="preserve">LED Recessed Downlight (33W x 1L) </t>
  </si>
  <si>
    <t>LEDDL-35W</t>
  </si>
  <si>
    <t xml:space="preserve">LED Recessed Downlight (35W x 1L) </t>
  </si>
  <si>
    <t>LEDDL-36W</t>
  </si>
  <si>
    <t xml:space="preserve">LED Recessed Downlight (36W x 1L) </t>
  </si>
  <si>
    <t>LEDDL-40W</t>
  </si>
  <si>
    <t xml:space="preserve">LED Recessed Downlight (40W x 1L) </t>
  </si>
  <si>
    <t>LEDDL-43W</t>
  </si>
  <si>
    <t xml:space="preserve">LED Recessed Downlight (43W x 1L) </t>
  </si>
  <si>
    <t>LEDDL-53W</t>
  </si>
  <si>
    <t xml:space="preserve">LED Recessed Downlight (53W x 1L) </t>
  </si>
  <si>
    <t>LEDDL-54W</t>
  </si>
  <si>
    <t xml:space="preserve">LED Recessed Downlight (54W x 1L) </t>
  </si>
  <si>
    <t>LEDDL-6W</t>
  </si>
  <si>
    <t xml:space="preserve">LED Recessed Downlight (6W x 1L) </t>
  </si>
  <si>
    <t>LEDDL-8W</t>
  </si>
  <si>
    <t xml:space="preserve">LED Recessed Downlight (8W x 1L) </t>
  </si>
  <si>
    <t>LEDDL-9W</t>
  </si>
  <si>
    <t xml:space="preserve">LED Recessed Downlight (9W x 1L) </t>
  </si>
  <si>
    <t>LEDE-2W</t>
  </si>
  <si>
    <t xml:space="preserve">LED Exit (2W x 1L) </t>
  </si>
  <si>
    <t>LEDE-3W</t>
  </si>
  <si>
    <t xml:space="preserve">LED Exit (3W x 1L) </t>
  </si>
  <si>
    <t>LEDHB-150W</t>
  </si>
  <si>
    <t xml:space="preserve">LED Highbay/Lowbay (150W x 1L) </t>
  </si>
  <si>
    <t>Highbay/Lowbay</t>
  </si>
  <si>
    <t>LEDHB-160W</t>
  </si>
  <si>
    <t xml:space="preserve">LED Highbay/Lowbay (160W x 1L) </t>
  </si>
  <si>
    <t>LEDSI-13W</t>
  </si>
  <si>
    <t xml:space="preserve">LED Integral Screw-In (13W x 1L) </t>
  </si>
  <si>
    <t>LEDSI-15W</t>
  </si>
  <si>
    <t xml:space="preserve">LED Integral Screw-In (15W x 1L) </t>
  </si>
  <si>
    <t>LEDSI-18W</t>
  </si>
  <si>
    <t xml:space="preserve">LED Integral Screw-In (18W x 1L) </t>
  </si>
  <si>
    <t>LEDSI-19W</t>
  </si>
  <si>
    <t xml:space="preserve">LED Integral Screw-In (19W x 1L) </t>
  </si>
  <si>
    <t>LEDSI-3W</t>
  </si>
  <si>
    <t xml:space="preserve">LED Integral Screw-In (3W x 1L) </t>
  </si>
  <si>
    <t>LEDSI-4W</t>
  </si>
  <si>
    <t xml:space="preserve">LED Integral Screw-In (4W x 1L) </t>
  </si>
  <si>
    <t>LEDSI-6W</t>
  </si>
  <si>
    <t xml:space="preserve">LED Integral Screw-In (6W x 1L) </t>
  </si>
  <si>
    <t>LEDSI-8W</t>
  </si>
  <si>
    <t xml:space="preserve">LED Integral Screw-In (8W x 1L) </t>
  </si>
  <si>
    <t>MHPS-100W-ELEC</t>
  </si>
  <si>
    <t xml:space="preserve">HID Metal Halide Pulse-Start (100W x 1L) 1 Electronic  </t>
  </si>
  <si>
    <t>CMH-150W-ELEC</t>
  </si>
  <si>
    <t xml:space="preserve">HID Ceramic Metal Halide Standard (150W x 1L) 1 Electronic  </t>
  </si>
  <si>
    <t>MH-150W-ELEC</t>
  </si>
  <si>
    <t xml:space="preserve">HID Metal Halide Standard (150W x 1L) 1 Electronic  </t>
  </si>
  <si>
    <t>MHPS-175W-ELEC</t>
  </si>
  <si>
    <t xml:space="preserve">HID Metal Halide Pulse-Start (175W x 1L) 1 Electronic  </t>
  </si>
  <si>
    <t>MHPS-200W-ELEC</t>
  </si>
  <si>
    <t xml:space="preserve">HID Metal Halide Pulse-Start (200W x 1L) 1 Electronic  </t>
  </si>
  <si>
    <t>MHPS-320W-ELEC</t>
  </si>
  <si>
    <t xml:space="preserve">HID Metal Halide Pulse-Start (320W x 1L) 1 Electronic  </t>
  </si>
  <si>
    <t>MHPS-350W-ELEC</t>
  </si>
  <si>
    <t xml:space="preserve">HID Metal Halide Pulse-Start (350W x 1L) 1 Electronic  </t>
  </si>
  <si>
    <t>MHPS-400W-ELEC</t>
  </si>
  <si>
    <t xml:space="preserve">HID Metal Halide Pulse-Start (400W x 1L) 1 Electronic  </t>
  </si>
  <si>
    <t>FLT8CEEHB-25W x 2L x 4'-CEE IS H</t>
  </si>
  <si>
    <t xml:space="preserve">Fluorescent Linear T8 CEE Highbay (25W x 2L x 4') 1 CEE Instant Start Ballast (BF &gt; 1.0) </t>
  </si>
  <si>
    <t>T8CEEHB</t>
  </si>
  <si>
    <t>T8 CEE Highbay</t>
  </si>
  <si>
    <t>FLT8CEEHB-25W x 3L x 4'-CEE IS H</t>
  </si>
  <si>
    <t xml:space="preserve">Fluorescent Linear T8 CEE Highbay (25W x 3L x 4') 1 CEE Instant Start Ballast (BF &gt; 1.0) </t>
  </si>
  <si>
    <t>FLT8CEEHB-25W x 4'-CEE IS H</t>
  </si>
  <si>
    <t xml:space="preserve">Fluorescent Linear T8 CEE Highbay (25W x 1L x 4') 1 CEE Instant Start Ballast (BF &gt; 1.0) </t>
  </si>
  <si>
    <t>FLT8CEEHB-25W x 4L x 4'-CEE IS H</t>
  </si>
  <si>
    <t xml:space="preserve">Fluorescent Linear T8 CEE Highbay (25W x 4L x 4') 1 CEE Instant Start Ballast (BF &gt; 1.0) </t>
  </si>
  <si>
    <t>FLT8CEEHB-25W x 6L x 4'-2 CEE IS H</t>
  </si>
  <si>
    <t xml:space="preserve">Fluorescent Linear T8 CEE Highbay (25W x 6L x 4') 2 CEE Instant Start Ballast (BF &gt; 1.0) </t>
  </si>
  <si>
    <t>FLT8CEEHB-25W x 8L x 4'-2 CEE IS H</t>
  </si>
  <si>
    <t xml:space="preserve">Fluorescent Linear T8 CEE Highbay (25W x 8L x 4') 2 CEE Instant Start Ballast (BF &gt; 1.0) </t>
  </si>
  <si>
    <t>FLT8CEEHB-25W x 10L x 4'-3 CEE IS H</t>
  </si>
  <si>
    <t xml:space="preserve">Fluorescent Linear T8 CEE Highbay (25W x 10L x 4') 3 CEE Instant Start Ballast (BF &gt; 1.0) </t>
  </si>
  <si>
    <t>FLT8CEEHB-28W x 2L x 4'-CEE IS H</t>
  </si>
  <si>
    <t xml:space="preserve">Fluorescent Linear T8 CEE Highbay (28W x 2L x 4') 1 CEE Instant Start Ballast (BF &gt; 1.0) </t>
  </si>
  <si>
    <t>FLT8CEEHB-28W x 3L x 4'-CEE IS CEE H</t>
  </si>
  <si>
    <t xml:space="preserve">Fluorescent Linear T8 CEE Highbay (28W x 3L x 4') 1 CEE Instant Start Ballast (BF &gt; 1.0) </t>
  </si>
  <si>
    <t>FLT8CEEHB-28W x 4'-CEE IS CEE H</t>
  </si>
  <si>
    <t xml:space="preserve">Fluorescent Linear T8 CEE Highbay (28W x 1L x 4') 1 CEE Instant Start Ballast (BF &gt; 1.0) </t>
  </si>
  <si>
    <t>FLT8CEEHB-28W x 4L x 4'-CEE IS CEE H</t>
  </si>
  <si>
    <t xml:space="preserve">Fluorescent Linear T8 CEE Highbay (28W x 4L x 4') 1 CEE Instant Start Ballast (BF &gt; 1.0) </t>
  </si>
  <si>
    <t>FLT8CEEHB-28W x 6L x 4'-2 CEE IS CEE H</t>
  </si>
  <si>
    <t xml:space="preserve">Fluorescent Linear T8 CEE Highbay (28W x 6L x 4') 2 CEE Instant Start Ballast (BF &gt; 1.0) </t>
  </si>
  <si>
    <t>FLT8CEEHB-28W x 8L x 4'-2 CEE IS CEE H</t>
  </si>
  <si>
    <t xml:space="preserve">Fluorescent Linear T8 CEE Highbay (28W x 8L x 4') 2 CEE Instant Start Ballast (BF &gt; 1.0) </t>
  </si>
  <si>
    <t>FLT8CEEHB-28W x 10L x 4'-3 CEE IS CEE H</t>
  </si>
  <si>
    <t xml:space="preserve">Fluorescent Linear T8 CEE Highbay (28W x 10L x 4') 3 CEE Instant Start Ballast (BF &gt; 1.0) </t>
  </si>
  <si>
    <t>FLT8CEEHB-32W x 2L x 4'-CEE IS CEE H</t>
  </si>
  <si>
    <t xml:space="preserve">Fluorescent Linear T8 CEE Highbay (32W x 2L x 4') 1 CEE Instant Start Ballast (BF &gt; 1.0) </t>
  </si>
  <si>
    <t>FLT8CEEHB-32W x 2L x 4'-CEE PS/PRS DIM CEE H</t>
  </si>
  <si>
    <t xml:space="preserve">Fluorescent Linear T8 CEE Highbay (32W x 2L x 4') 1 CEE Dimmable PS/PRS Ballast (BF &gt; 1.0) </t>
  </si>
  <si>
    <t>FLT8CEEHB-32W x 2L x 4'-CEE RS/PRS CEE H</t>
  </si>
  <si>
    <t xml:space="preserve">Fluorescent Linear T8 CEE Highbay (32W x 2L x 4') 1 CEE Rapid/Program Start Ballast (BF &gt; 1.0) </t>
  </si>
  <si>
    <t>FLT8CEEHB-32W x 3L x 4'-CEE IS CEE H</t>
  </si>
  <si>
    <t xml:space="preserve">Fluorescent Linear T8 CEE Highbay (32W x 3L x 4') 1 CEE Instant Start Ballast (BF &gt; 1.0) </t>
  </si>
  <si>
    <t>FLT8CEEHB-32W x 3L x 4'-CEE PS/PRS DIM CEE H</t>
  </si>
  <si>
    <t xml:space="preserve">Fluorescent Linear T8 CEE Highbay (32W x 3L x 4') 1 CEE Dimmable PS/PRS Ballast (BF &gt; 1.0) </t>
  </si>
  <si>
    <t>FLT8CEEHB-32W x 3L x 4'-CEE RS/PRS CEE H</t>
  </si>
  <si>
    <t xml:space="preserve">Fluorescent Linear T8 CEE Highbay (32W x 3L x 4') 1 CEE Rapid/Program Start Ballast (BF &gt; 1.0) </t>
  </si>
  <si>
    <t>FLT8CEEHB-32W x 4'-CEE IS CEE H</t>
  </si>
  <si>
    <t xml:space="preserve">Fluorescent Linear T8 CEE Highbay (32W x 1L x 4') 1 CEE Instant Start Ballast (BF &gt; 1.0) </t>
  </si>
  <si>
    <t>FLT8CEEHB-32W x 4'-CEE PS/PRS DIM CEE N</t>
  </si>
  <si>
    <t xml:space="preserve">Fluorescent Linear T8 CEE Highbay (32W x 1L x 4') 1 CEE Dimmable PS/PRS Ballast (BF &gt; 1.0) </t>
  </si>
  <si>
    <t>FLT8CEEHB-32W x 4'-CEE RS/PRS CEE H</t>
  </si>
  <si>
    <t xml:space="preserve">Fluorescent Linear T8 CEE Highbay (32W x 1L x 4') 1 CEE Rapid/Program Start Ballast (BF &gt; 1.0) </t>
  </si>
  <si>
    <t>FLT8CEEHB-32W x 4L x 4'-CEE IS CEE H</t>
  </si>
  <si>
    <t xml:space="preserve">Fluorescent Linear T8 CEE Highbay (32W x 4L x 4') 1 CEE Instant Start Ballast (BF &gt; 1.0) </t>
  </si>
  <si>
    <t>FLT8CEEHB-32W x 4L x 4'-CEE PS/PRS DIM CEE H</t>
  </si>
  <si>
    <t xml:space="preserve">Fluorescent Linear T8 CEE Highbay (32W x 4L x 4') 1 CEE Dimmable PS/PRS Ballast (BF &gt; 1.0) </t>
  </si>
  <si>
    <t>FLT8CEEHB-32W x 4L x 4'-CEE RS/PRS CEE H</t>
  </si>
  <si>
    <t xml:space="preserve">Fluorescent Linear T8 CEE Highbay (32W x 4L x 4') 1 CEE Rapid/Program Start Ballast (BF &gt; 1.0) </t>
  </si>
  <si>
    <t>FLT8CEEHB-32W x 6L x 4'-CEE IS CEE H</t>
  </si>
  <si>
    <t xml:space="preserve">Fluorescent Linear T8 CEE Highbay (32W x 6L x 4') 1 CEE Instant Start Ballast (BF &gt; 1.0) </t>
  </si>
  <si>
    <t>FLT8CEEHB-32W x 8L x 4'-2 CEE IS CEE H</t>
  </si>
  <si>
    <t xml:space="preserve">Fluorescent Linear T8 CEE Highbay (32W x 8L x 4') 2 CEE Instant Start Ballast (BF &gt; 1.0) </t>
  </si>
  <si>
    <t>FLT8CEEHB-32W x 10L x 4'-3 CEE IS CEE H</t>
  </si>
  <si>
    <t xml:space="preserve">Fluorescent Linear T8 CEE Highbay (32W x 10L x 4') 3 CEE Instant Start Ballast (BF &gt; 1.0) </t>
  </si>
  <si>
    <t>FLT8CEEHB-32W x 6L x 4'-CEE ISDIM CEE H</t>
  </si>
  <si>
    <t xml:space="preserve">Fluorescent Linear T8 CEE Highbay (32W x 6L x 4') 1 CEE Dimmable Instant Start Ballast (BF &gt; 1.0) </t>
  </si>
  <si>
    <t>PE-0W</t>
  </si>
  <si>
    <t xml:space="preserve">Photoluminescence Exit (0W x 1L) </t>
  </si>
  <si>
    <t>Photoluminescence</t>
  </si>
  <si>
    <t xml:space="preserve">Fluorescent Compact Pin-Base (57W x 1L) 1 Instant start Ballast  </t>
  </si>
  <si>
    <t xml:space="preserve">Fluorescent Compact Pin-Base (60W x 1L) 1 Instant start Ballast  </t>
  </si>
  <si>
    <t xml:space="preserve">Fluorescent Compact Pin-Base (70W x 1L) 1 Instant start Ballast  </t>
  </si>
  <si>
    <t xml:space="preserve">Fluorescent Compact Pin-Base (120W x 1L) 1 Instant start Ballast  </t>
  </si>
  <si>
    <t>FLT5-28W x 4'-RS/PRS N</t>
  </si>
  <si>
    <t xml:space="preserve">Fluorescent Linear T5 (28W x 1L x 4') 1 Rapid/Program Start Ballast (0.85 &lt; BF &lt; 1.0) </t>
  </si>
  <si>
    <t>FLT5-28W x 2L x 4'-RS/PRS N</t>
  </si>
  <si>
    <t xml:space="preserve">Fluorescent Linear T5 (28W x 2L x 4') 1 Rapid/Program Start Ballast (0.85 &lt; BF &lt; 1.0) </t>
  </si>
  <si>
    <t>FLT5-28W x 3L x 4'-2 RS/PRS N</t>
  </si>
  <si>
    <t xml:space="preserve">Fluorescent Linear T5 (28W x 3L x 4') 2 Rapid/Program Start Ballast (0.85 &lt; BF &lt; 1.0) </t>
  </si>
  <si>
    <t>FLT5-28W x 4L x 4'-2 RS/PRS N</t>
  </si>
  <si>
    <t xml:space="preserve">Fluorescent Linear T5 (28W x 4L x 4') 2 Rapid/Program Start Ballast (0.85 &lt; BF &lt; 1.0) </t>
  </si>
  <si>
    <t>FLT5-28W x 4'-RS/PRS L</t>
  </si>
  <si>
    <t xml:space="preserve">Fluorescent Linear T5 (28W x 1L x 4') 1 Rapid/Program Start Ballast (BF &lt; 0.85) </t>
  </si>
  <si>
    <t>FLT5-28W x 2L x 4'-RS/PRS L</t>
  </si>
  <si>
    <t xml:space="preserve">Fluorescent Linear T5 (28W x 2L x 4') 1 Rapid/Program Start Ballast (BF &lt; 0.85) </t>
  </si>
  <si>
    <t>FLT5-28W x 3L x 4'-2 RS/PRS L</t>
  </si>
  <si>
    <t xml:space="preserve">Fluorescent Linear T5 (28W x 3L x 4') 2 Rapid/Program Start Ballast (BF &lt; 0.85) </t>
  </si>
  <si>
    <t>FLT5-28W x 4L x 4'-2 RS/PRS L</t>
  </si>
  <si>
    <t xml:space="preserve">Fluorescent Linear T5 (28W x 4L x 4') 2 Rapid/Program Start Ballast (BF &lt; 0.85) </t>
  </si>
  <si>
    <t>FLT5HOHB-54W x 6L x 4'-3 RS/PRS H</t>
  </si>
  <si>
    <t xml:space="preserve">Fluorescent Linear T5 HO Highbay (54W x 6L x 4') 3 Rapid/Program Start Ballast (0.95 &lt; BF &lt; 1.10) </t>
  </si>
  <si>
    <t>T5HOHB</t>
  </si>
  <si>
    <t>T5 HO Highbay</t>
  </si>
  <si>
    <t>FLT5HOHB-54W x 8L x 4'-3 RS/PRS H</t>
  </si>
  <si>
    <t xml:space="preserve">Fluorescent Linear T5 HO Highbay (54W x 8L x 4') 3 Rapid/Program Start Ballast (0.95 &lt; BF &lt; 1.10) </t>
  </si>
  <si>
    <t>FLT5HOHB-54W x 10L x 4'-3 RS/PRS H</t>
  </si>
  <si>
    <t xml:space="preserve">Fluorescent Linear T5 HO Highbay (54W x 10L x 4') 3 Rapid/Program Start Ballast (0.95 &lt; BF &lt; 1.10) </t>
  </si>
  <si>
    <t>FLT5HOHB-39W x 4L x 3'-RS/PRS VH</t>
  </si>
  <si>
    <t xml:space="preserve">Fluorescent Linear T5 HO Highbay (39W x 4L x 3') 1 Rapid/Program Start Ballast (BF &gt; 1.10) </t>
  </si>
  <si>
    <t>FLT5HOHB-49W x 10L x 4'-RS/PRS VH</t>
  </si>
  <si>
    <t xml:space="preserve">Fluorescent Linear T5 HO Highbay (49W x 10L x 4') 1 Rapid/Program Start Ballast (BF &gt; 1.10) </t>
  </si>
  <si>
    <t>FLT5HOHB-49W x 12L x 4'-RS/PRS VH</t>
  </si>
  <si>
    <t xml:space="preserve">Fluorescent Linear T5 HO Highbay (49W x 12L x 4') 1 Rapid/Program Start Ballast (BF &gt; 1.10) </t>
  </si>
  <si>
    <t>FLT5HOHB-49W x 4L x 4'-RS/PRS VH</t>
  </si>
  <si>
    <t xml:space="preserve">Fluorescent Linear T5 HO Highbay (49W x 4L x 4') 1 Rapid/Program Start Ballast (BF &gt; 1.10) </t>
  </si>
  <si>
    <t>FLT5HOHB-49W x 6L x 4'-RS/PRS VH</t>
  </si>
  <si>
    <t xml:space="preserve">Fluorescent Linear T5 HO Highbay (49W x 6L x 4') 1 Rapid/Program Start Ballast (BF &gt; 1.10) </t>
  </si>
  <si>
    <t>FLT5HOHB-49W x 8L x 4'-RS/PRS VH</t>
  </si>
  <si>
    <t xml:space="preserve">Fluorescent Linear T5 HO Highbay (49W x 8L x 4') 1 Rapid/Program Start Ballast (BF &gt; 1.10) </t>
  </si>
  <si>
    <t>MHPS-575W-ELEC</t>
  </si>
  <si>
    <t xml:space="preserve">HID Metal Halide Pulse-Start (575W x 1L) 1 Electronic  </t>
  </si>
  <si>
    <t>FCCFL-15W</t>
  </si>
  <si>
    <t xml:space="preserve">Fluorescent Cold Cathode Integral Screw-In (15W x 1L) </t>
  </si>
  <si>
    <t xml:space="preserve">Fluorescent Linear T8 (32W x 6L x 4') </t>
  </si>
  <si>
    <t>FLT8CEE-25W x 4'-CEE RS/PRS CEE H</t>
  </si>
  <si>
    <t xml:space="preserve">Fluorescent Linear T8 CEE  (25W x 1L x 4') 1 CEE Rapid/Program Start Ballast (BF &gt; 1.0) </t>
  </si>
  <si>
    <t>FLT8CEE-25W x 4'-CEE RS/PRS CEE L</t>
  </si>
  <si>
    <t xml:space="preserve">Fluorescent Linear T8 CEE  (25W x 1L x 4') 1 CEE Rapid/Program Start Ballast (BF &lt; 0.85) </t>
  </si>
  <si>
    <t>FLT8CEE-25W x 4'-CEE RS/PRS CEE N</t>
  </si>
  <si>
    <t xml:space="preserve">Fluorescent Linear T8 CEE  (25W x 1L x 4') 1 CEE Rapid/Program Start Ballast (0.85 &lt; BF &lt; 1.0) </t>
  </si>
  <si>
    <t>FLT8CEE-25W x 2L x 4'-CEE IS CEE H</t>
  </si>
  <si>
    <t>FLT8CEE-25W x 2L x 4'-CEE IS CEE L</t>
  </si>
  <si>
    <t>FLT8CEE-25W x 2L x 4'-CEE IS CEE N</t>
  </si>
  <si>
    <t>FLT8CEE-25W x 3L x 4'-CEE RS/PRS CEE H</t>
  </si>
  <si>
    <t xml:space="preserve">Fluorescent Linear T8 CEE  (25W x 3L x 4') 1 CEE Rapid/Program Start Ballast (BF &gt; 1.0) </t>
  </si>
  <si>
    <t>FLT8CEE-25W x 3L x 4'-CEE RS/PRS CEE L</t>
  </si>
  <si>
    <t xml:space="preserve">Fluorescent Linear T8 CEE  (25W x 3L x 4') 1 CEE Rapid/Program Start Ballast (BF &lt; 0.85) </t>
  </si>
  <si>
    <t>FLT8CEE-25W x 3L x 4'-CEE RS/PRS CEE N</t>
  </si>
  <si>
    <t xml:space="preserve">Fluorescent Linear T8 CEE  (25W x 3L x 4') 1 CEE Rapid/Program Start Ballast (0.85 &lt; BF &lt; 1.0) </t>
  </si>
  <si>
    <t>FLT8CEE-25W x 4L x 4'-CEE RS/PRS CEE H</t>
  </si>
  <si>
    <t xml:space="preserve">Fluorescent Linear T8 CEE  (25W x 4L x 4') 1 CEE Rapid/Program Start Ballast (BF &gt; 1.0) </t>
  </si>
  <si>
    <t>FLT8CEE-25W x 4L x 4'-CEE RS/PRS CEE L</t>
  </si>
  <si>
    <t xml:space="preserve">Fluorescent Linear T8 CEE  (25W x 4L x 4') 1 CEE Rapid/Program Start Ballast (BF &lt; 0.85) </t>
  </si>
  <si>
    <t>FLT8CEE-25W x 4L x 4'-CEE RS/PRS CEE N</t>
  </si>
  <si>
    <t xml:space="preserve">Fluorescent Linear T8 CEE  (25W x 4L x 4') 1 CEE Rapid/Program Start Ballast (0.85 &lt; BF &lt; 1.0) </t>
  </si>
  <si>
    <t>FLT8CEE-28W x 4'-CEE RS/PRS CEE H</t>
  </si>
  <si>
    <t xml:space="preserve">Fluorescent Linear T8 CEE  (28W x 1L x 4') 1 CEE Rapid/Program Start Ballast (BF &gt; 1.0) </t>
  </si>
  <si>
    <t>FLT8CEE-28W x 4'-CEE RS/PRS CEE L</t>
  </si>
  <si>
    <t xml:space="preserve">Fluorescent Linear T8 CEE  (28W x 1L x 4') 1 CEE Rapid/Program Start Ballast (BF &lt; 0.85) </t>
  </si>
  <si>
    <t>FLT8CEE-28W x 4'-CEE RS/PRS CEE N</t>
  </si>
  <si>
    <t xml:space="preserve">Fluorescent Linear T8 CEE  (28W x 1L x 4') 1 CEE Rapid/Program Start Ballast (0.85 &lt; BF &lt; 1.0) </t>
  </si>
  <si>
    <t>FLT8CEE-28W x 2L x 4'-CEE RS/PRS CEE H</t>
  </si>
  <si>
    <t xml:space="preserve">Fluorescent Linear T8 CEE  (28W x 2L x 4') 1 CEE Rapid/Program Start Ballast (BF &gt; 1.0) </t>
  </si>
  <si>
    <t>FLT8CEE-28W x 2L x 4'-CEE RS/PRS CEE L</t>
  </si>
  <si>
    <t xml:space="preserve">Fluorescent Linear T8 CEE  (28W x 2L x 4') 1 CEE Rapid/Program Start Ballast (BF &lt; 0.85) </t>
  </si>
  <si>
    <t>FLT8CEE-28W x 2L x 4'-CEE RS/PRS CEE N</t>
  </si>
  <si>
    <t xml:space="preserve">Fluorescent Linear T8 CEE  (28W x 2L x 4') 1 CEE Rapid/Program Start Ballast (0.85 &lt; BF &lt; 1.0) </t>
  </si>
  <si>
    <t>FLT8CEE-28W x 3L x 4'-CEE RS/PRS CEE H</t>
  </si>
  <si>
    <t xml:space="preserve">Fluorescent Linear T8 CEE  (28W x 3L x 4') 1 CEE Rapid/Program Start Ballast (BF &gt; 1.0) </t>
  </si>
  <si>
    <t>FLT8CEE-28W x 3L x 4'-CEE RS/PRS CEE L</t>
  </si>
  <si>
    <t xml:space="preserve">Fluorescent Linear T8 CEE  (28W x 3L x 4') 1 CEE Rapid/Program Start Ballast (BF &lt; 0.85) </t>
  </si>
  <si>
    <t>FLT8CEE-28W x 3L x 4'-CEE RS/PRS CEE N</t>
  </si>
  <si>
    <t xml:space="preserve">Fluorescent Linear T8 CEE  (28W x 3L x 4') 1 CEE Rapid/Program Start Ballast (0.85 &lt; BF &lt; 1.0) </t>
  </si>
  <si>
    <t>FLT8CEE-28W x 4L x 4'-CEE RS/PRS CEE H</t>
  </si>
  <si>
    <t xml:space="preserve">Fluorescent Linear T8 CEE  (28W x 4L x 4') 1 CEE Rapid/Program Start Ballast (BF &gt; 1.0) </t>
  </si>
  <si>
    <t>FLT8CEE-28W x 4L x 4'-CEE RS/PRS CEE L</t>
  </si>
  <si>
    <t xml:space="preserve">Fluorescent Linear T8 CEE  (28W x 4L x 4') 1 CEE Rapid/Program Start Ballast (BF &lt; 0.85) </t>
  </si>
  <si>
    <t>FLT8CEE-28W x 4L x 4'-CEE RS/PRS CEE N</t>
  </si>
  <si>
    <t xml:space="preserve">Fluorescent Linear T8 CEE  (28W x 4L x 4') 1 CEE Rapid/Program Start Ballast (0.85 &lt; BF &lt; 1.0) </t>
  </si>
  <si>
    <t>FUT8CEE-25W x 2L x 2'-CEE RS/PRS N</t>
  </si>
  <si>
    <t xml:space="preserve">Fluorescent U Tube T8 CEE  (25W x 2L x 2') </t>
  </si>
  <si>
    <t>FUT8CEE-25W x 3L x 2'-CEE RS/PRS N</t>
  </si>
  <si>
    <t xml:space="preserve">Fluorescent U Tube T8 CEE  (25W x 3L x 2') </t>
  </si>
  <si>
    <t>FUT8CEE-28W x 2L x 2'-CEE RS/PRS N</t>
  </si>
  <si>
    <t xml:space="preserve">Fluorescent U Tube T8 CEE  (28W x 2L x 2') </t>
  </si>
  <si>
    <t>FUT8CEE-28W x 3L x 2'-CEE RS/PRS N</t>
  </si>
  <si>
    <t xml:space="preserve">Fluorescent U Tube T8 CEE  (28W x 3L x 2') </t>
  </si>
  <si>
    <t>FUT8CEE-32W x 2L x 2'-CEE RS/PRS N</t>
  </si>
  <si>
    <t xml:space="preserve">Fluorescent U Tube T8 CEE  (32W x 2L x 2') </t>
  </si>
  <si>
    <t>FUT8CEE-32W x 3L x 2'-CEE RS/PRS N</t>
  </si>
  <si>
    <t xml:space="preserve">Fluorescent U Tube T8 CEE  (32W x 3L x 2') </t>
  </si>
  <si>
    <t>LEDPM-154W</t>
  </si>
  <si>
    <t xml:space="preserve">LED Pole Mount (154W x 1L) </t>
  </si>
  <si>
    <t>LEDPM-256W</t>
  </si>
  <si>
    <t xml:space="preserve">LED Pole Mount (256W x 1L) </t>
  </si>
  <si>
    <t>LEDPM-279W</t>
  </si>
  <si>
    <t xml:space="preserve">LED Pole Mount (279W x 1L) </t>
  </si>
  <si>
    <t xml:space="preserve">LED Pole Mount (285W x 1L) </t>
  </si>
  <si>
    <t>LEDPM-303W</t>
  </si>
  <si>
    <t xml:space="preserve">LED Pole Mount (303W x 1L) </t>
  </si>
  <si>
    <t>LEDPM-27W</t>
  </si>
  <si>
    <t xml:space="preserve">LED Pole Mount (27W x 1L) </t>
  </si>
  <si>
    <t>LEDPM-95W</t>
  </si>
  <si>
    <t xml:space="preserve">LED Pole Mount (95W x 1L) </t>
  </si>
  <si>
    <t>LEDSMC-101W</t>
  </si>
  <si>
    <t xml:space="preserve">LED Canopy (101W x 1L) </t>
  </si>
  <si>
    <t>LEDSMC-95W</t>
  </si>
  <si>
    <t xml:space="preserve">LED Canopy (95W x 1L) </t>
  </si>
  <si>
    <t>LEDSMC-80W</t>
  </si>
  <si>
    <t xml:space="preserve">LED Canopy (80W x 1L) </t>
  </si>
  <si>
    <t>LEDSMC-77W</t>
  </si>
  <si>
    <t xml:space="preserve">LED Canopy (77W x 1L) </t>
  </si>
  <si>
    <t>LEDSMC-64W</t>
  </si>
  <si>
    <t xml:space="preserve">LED Canopy (64W x 1L) </t>
  </si>
  <si>
    <t>LEDSMC-55W</t>
  </si>
  <si>
    <t xml:space="preserve">LED Canopy (55W x 1L) </t>
  </si>
  <si>
    <t>LEDSMC-51W</t>
  </si>
  <si>
    <t xml:space="preserve">LED Canopy (51W x 1L) </t>
  </si>
  <si>
    <t>LEDSMC-40W</t>
  </si>
  <si>
    <t xml:space="preserve">LED Canopy (40W x 1L) </t>
  </si>
  <si>
    <t>LEDSMC-33W</t>
  </si>
  <si>
    <t xml:space="preserve">LED Canopy (33W x 1L) </t>
  </si>
  <si>
    <t>LEDSMC-27W</t>
  </si>
  <si>
    <t xml:space="preserve">LED Canopy (27W x 1L) </t>
  </si>
  <si>
    <t>LEDWP-26W</t>
  </si>
  <si>
    <t xml:space="preserve">LED Wall Pack (26W x 1L) </t>
  </si>
  <si>
    <t>LEDWP-35W</t>
  </si>
  <si>
    <t xml:space="preserve">LED Wall Pack (35W x 1L) </t>
  </si>
  <si>
    <t>LEDWP-40W</t>
  </si>
  <si>
    <t xml:space="preserve">LED Wall Pack (40W x 1L) </t>
  </si>
  <si>
    <t>LEDWP-45W</t>
  </si>
  <si>
    <t xml:space="preserve">LED Wall Pack (45W x 1L) </t>
  </si>
  <si>
    <t>LEDWP-56W</t>
  </si>
  <si>
    <t xml:space="preserve">LED Wall Pack (56W x 1L) </t>
  </si>
  <si>
    <t>LEDWP-59W</t>
  </si>
  <si>
    <t xml:space="preserve">LED Wall Pack (59W x 1L) </t>
  </si>
  <si>
    <t>LEDWP-74W</t>
  </si>
  <si>
    <t xml:space="preserve">LED Wall Pack (74W x 1L) </t>
  </si>
  <si>
    <t>LEDWP-108W</t>
  </si>
  <si>
    <t xml:space="preserve">LED Wall Pack (108W x 1L) </t>
  </si>
  <si>
    <t>LEDE-1W</t>
  </si>
  <si>
    <t xml:space="preserve">LED Exit (1W x 1L) </t>
  </si>
  <si>
    <t>LEDE-4W</t>
  </si>
  <si>
    <t xml:space="preserve">LED Exit (4W x 1L) </t>
  </si>
  <si>
    <t>LEDE-5W</t>
  </si>
  <si>
    <t xml:space="preserve">LED Exit (5W x 1L) </t>
  </si>
  <si>
    <t>LEDHB-102W</t>
  </si>
  <si>
    <t xml:space="preserve">LED Highbay/Lowbay (102W x 1L) </t>
  </si>
  <si>
    <t>LEDHB-118W</t>
  </si>
  <si>
    <t xml:space="preserve">LED Highbay/Lowbay (118W x 1L) </t>
  </si>
  <si>
    <t>LEDHB-135W</t>
  </si>
  <si>
    <t xml:space="preserve">LED Highbay/Lowbay (135W x 1L) </t>
  </si>
  <si>
    <t>LEDHB-142W</t>
  </si>
  <si>
    <t xml:space="preserve">LED Highbay/Lowbay (142W x 1L) </t>
  </si>
  <si>
    <t>LEDHB-199W</t>
  </si>
  <si>
    <t xml:space="preserve">LED Highbay/Lowbay (199W x 1L) </t>
  </si>
  <si>
    <t>LEDHB-213W</t>
  </si>
  <si>
    <t xml:space="preserve">LED Highbay/Lowbay (213W x 1L) </t>
  </si>
  <si>
    <t>LEDHB-220W</t>
  </si>
  <si>
    <t xml:space="preserve">LED Highbay/Lowbay (220W x 1L) </t>
  </si>
  <si>
    <t>LEDHB-239W</t>
  </si>
  <si>
    <t xml:space="preserve">LED Highbay/Lowbay (239W x 1L) </t>
  </si>
  <si>
    <t>LEDHB-266W</t>
  </si>
  <si>
    <t xml:space="preserve">LED Highbay/Lowbay (266W x 1L) </t>
  </si>
  <si>
    <t>LEDHB-300W</t>
  </si>
  <si>
    <t xml:space="preserve">LED Highbay/Lowbay (300W x 1L) </t>
  </si>
  <si>
    <t>LEDHB-360W</t>
  </si>
  <si>
    <t xml:space="preserve">LED Highbay/Lowbay (360W x 1L) </t>
  </si>
  <si>
    <t>LEDSI-10W</t>
  </si>
  <si>
    <t xml:space="preserve">LED Integral Screw-In (10W x 1L) </t>
  </si>
  <si>
    <t>FCPWP-26W</t>
  </si>
  <si>
    <t xml:space="preserve">Fluorescent Compact Pin-Base Wall Pack  (26W x 1L) </t>
  </si>
  <si>
    <t>PWP</t>
  </si>
  <si>
    <t xml:space="preserve">Pin-Base Wall Pack </t>
  </si>
  <si>
    <t>FCPWP-26W x 2L</t>
  </si>
  <si>
    <t xml:space="preserve">Fluorescent Compact Pin-Base Wall Pack  (26W x 2L) </t>
  </si>
  <si>
    <t>FCPWP-36W</t>
  </si>
  <si>
    <t xml:space="preserve">Fluorescent Compact Pin-Base Wall Pack  (36W x 1L) </t>
  </si>
  <si>
    <t>FCPWP-36W x 2L</t>
  </si>
  <si>
    <t xml:space="preserve">Fluorescent Compact Pin-Base Wall Pack  (36W x 2L) </t>
  </si>
  <si>
    <t>FCPWP-42W</t>
  </si>
  <si>
    <t xml:space="preserve">Fluorescent Compact Pin-Base Wall Pack  (42W x 1L) </t>
  </si>
  <si>
    <t>FCPWP-42W x 2L</t>
  </si>
  <si>
    <t xml:space="preserve">Fluorescent Compact Pin-Base Wall Pack  (42W x 2L) </t>
  </si>
  <si>
    <t>FCPWP-57W</t>
  </si>
  <si>
    <t xml:space="preserve">Fluorescent Compact Pin-Base Wall Pack  (57W x 1L) </t>
  </si>
  <si>
    <t>FCPWP-57W x 2L</t>
  </si>
  <si>
    <t xml:space="preserve">Fluorescent Compact Pin-Base Wall Pack  (57W x 2L) </t>
  </si>
  <si>
    <t>FCPWP-60W</t>
  </si>
  <si>
    <t xml:space="preserve">Fluorescent Compact Pin-Base Wall Pack  (60W x 1L) </t>
  </si>
  <si>
    <t>FCPWP-60W x 2L</t>
  </si>
  <si>
    <t xml:space="preserve">Fluorescent Compact Pin-Base Wall Pack  (60W x 2L) </t>
  </si>
  <si>
    <t>FCPWP-70W</t>
  </si>
  <si>
    <t xml:space="preserve">Fluorescent Compact Pin-Base Wall Pack  (70W x 1L) </t>
  </si>
  <si>
    <t>FCPWP-70W x 2L</t>
  </si>
  <si>
    <t xml:space="preserve">Fluorescent Compact Pin-Base Wall Pack  (70W x 2L) </t>
  </si>
  <si>
    <t>FCPWP-120W</t>
  </si>
  <si>
    <t xml:space="preserve">Fluorescent Compact Pin-Base Wall Pack  (120W x 1L) </t>
  </si>
  <si>
    <t>FCPWP-120W x 2L</t>
  </si>
  <si>
    <t xml:space="preserve">Fluorescent Compact Pin-Base Wall Pack  (120W x 2L) </t>
  </si>
  <si>
    <t>MHPS-20W-ELEC H</t>
  </si>
  <si>
    <t xml:space="preserve">HID Metal Halide Pulse-Start (20W x 1L) 1 Electronic (0.95 &lt; BF &lt; 1.10) </t>
  </si>
  <si>
    <t>MHPS-39W-ELEC H</t>
  </si>
  <si>
    <t xml:space="preserve">HID Metal Halide Pulse-Start (39W x 1L) 1 Electronic (0.95 &lt; BF &lt; 1.10) </t>
  </si>
  <si>
    <t>CMH-50W-ELEC H</t>
  </si>
  <si>
    <t xml:space="preserve">HID Ceramic Metal Halide Standard (50W x 1L) 1 Electronic (0.95 &lt; BF &lt; 1.10) </t>
  </si>
  <si>
    <t>CMH-60W-ELEC N</t>
  </si>
  <si>
    <t xml:space="preserve">HID Ceramic Metal Halide Standard (60W x 1L) 1 Electronic (0.85 &lt; BF &lt; 0.95) </t>
  </si>
  <si>
    <t>MHPS-70W-ELEC H</t>
  </si>
  <si>
    <t xml:space="preserve">HID Metal Halide Pulse-Start (70W x 1L) 1 Electronic (0.95 &lt; BF &lt; 1.10) </t>
  </si>
  <si>
    <t>CMH-90W-ELEC H</t>
  </si>
  <si>
    <t xml:space="preserve">HID Ceramic Metal Halide Standard (90W x 1L) 1 Electronic (0.85 &lt; BF &lt; 0.95) </t>
  </si>
  <si>
    <t>CMH-140W-ELEC N</t>
  </si>
  <si>
    <t xml:space="preserve">HID Ceramic Metal Halide Standard (140W x 1L) 1 Electronic (0.85 &lt; BF &lt; 0.95) </t>
  </si>
  <si>
    <t>MHPS-150W-ELEC H</t>
  </si>
  <si>
    <t xml:space="preserve">HID Metal Halide Pulse-Start (150W x 1L) 1 Electronic (0.95 &lt; BF &lt; 1.10) </t>
  </si>
  <si>
    <t>CMH-200W-ELEC H</t>
  </si>
  <si>
    <t xml:space="preserve">HID Ceramic Metal Halide Standard (200W x 1L) 1 Electronic (0.95 &lt; BF &lt; 1.10) </t>
  </si>
  <si>
    <t>CMH-250W-ELEC H</t>
  </si>
  <si>
    <t xml:space="preserve">HID Ceramic Metal Halide Standard (250W x 1L) 1 Electronic (0.95 &lt; BF &lt; 1.10) </t>
  </si>
  <si>
    <t>CMH-320W-ELEC H</t>
  </si>
  <si>
    <t xml:space="preserve">HID Ceramic Metal Halide Standard (320W x 1L) 1 Electronic (0.95 &lt; BF &lt; 1.10) </t>
  </si>
  <si>
    <t>MHPS-320W-ELEC H</t>
  </si>
  <si>
    <t xml:space="preserve">HID Metal Halide Pulse-Start (320W x 1L) 1 Electronic (0.95 &lt; BF &lt; 1.10) </t>
  </si>
  <si>
    <t>CMH-350W-ELEC H</t>
  </si>
  <si>
    <t xml:space="preserve">HID Ceramic Metal Halide Standard (350W x 1L) 1 Electronic (0.95 &lt; BF &lt; 1.10) </t>
  </si>
  <si>
    <t>CMH-400W-ELEC H</t>
  </si>
  <si>
    <t xml:space="preserve">HID Ceramic Metal Halide Standard (400W x 1L) 1 Electronic (0.95 &lt; BF &lt; 1.10) </t>
  </si>
  <si>
    <t>MHPS-400W-ELEC H</t>
  </si>
  <si>
    <t xml:space="preserve">HID Metal Halide Pulse-Start (400W x 1L) 1 Electronic (0.95 &lt; BF &lt; 1.10) </t>
  </si>
  <si>
    <t>FLT8-28W x 6L x 4'-2 IS VH</t>
  </si>
  <si>
    <t xml:space="preserve">Fluorescent Linear T8 (28W x 6L x 4') 2 Instant start Ballast (BF &gt; 1.10) </t>
  </si>
  <si>
    <t>LEDIPG-102W</t>
  </si>
  <si>
    <t xml:space="preserve">LED Interior Parking Garage (102W x 1L) </t>
  </si>
  <si>
    <t>LEDIPG-103W</t>
  </si>
  <si>
    <t xml:space="preserve">LED Interior Parking Garage (103W x 1L) </t>
  </si>
  <si>
    <t>LEDIPG-177W</t>
  </si>
  <si>
    <t xml:space="preserve">LED Interior Parking Garage (177W x 1L) </t>
  </si>
  <si>
    <t>LEDIPG-26W</t>
  </si>
  <si>
    <t xml:space="preserve">LED Interior Parking Garage (26W x 1L) </t>
  </si>
  <si>
    <t>LEDIPG-53W</t>
  </si>
  <si>
    <t xml:space="preserve">LED Interior Parking Garage (53W x 1L) </t>
  </si>
  <si>
    <t>LEDIPG-54W</t>
  </si>
  <si>
    <t xml:space="preserve">LED Interior Parking Garage (54W x 1L) </t>
  </si>
  <si>
    <t>LEDIPG-72W</t>
  </si>
  <si>
    <t xml:space="preserve">LED Interior Parking Garage (72W x 1L) </t>
  </si>
  <si>
    <t>LEDIPG-80W</t>
  </si>
  <si>
    <t xml:space="preserve">LED Interior Parking Garage (80W x 1L) </t>
  </si>
  <si>
    <t>FLT8CEEHB-25W x 2L x 4'-CEE IS H T2</t>
  </si>
  <si>
    <t>FLT8CEEHB-28W x 2L x 4'-CEE IS H T2</t>
  </si>
  <si>
    <t>FLT8CEEHB-32W x 2L x 4'-CEE IS CEE H T2</t>
  </si>
  <si>
    <t>FLT8CEEHB-32W x 2L x 4'-CEE RS/PRS CEE H T2</t>
  </si>
  <si>
    <t>FLT8CEEHB-32W x 4'-CEE ISDIM CEE H T2</t>
  </si>
  <si>
    <t xml:space="preserve">Fluorescent Linear T8 CEE Highbay (32W x 1L x 4') 1 CEE Dimmable Instant Start Ballast (BF &gt; 1.0) </t>
  </si>
  <si>
    <t>FLT8CEEHB-32W x 4'-CEE ISDIM CEE H T3</t>
  </si>
  <si>
    <t>FLT8CEEHB-32W x 4'-CEE ISDIM CEE H T4</t>
  </si>
  <si>
    <t>FLT8CEEHB-32W x 4'-CEE PS/PRS DIM CEE H T2</t>
  </si>
  <si>
    <t>FLT8CEEHB-32W x 4'-CEE PS/PRS DIM CEE H T3</t>
  </si>
  <si>
    <t>FLT8CEEHB-32W x 4'-CEE PS/PRS DIM CEE H T4</t>
  </si>
  <si>
    <t>INERB-100W-INDN H</t>
  </si>
  <si>
    <t xml:space="preserve">Induction Exterior Remote Ballasted (100W x 1L) 1 Induction (Non Integral) Ballast (0.95 &lt; BF &lt; 1.10) </t>
  </si>
  <si>
    <t>INERB-120W-INDN H</t>
  </si>
  <si>
    <t xml:space="preserve">Induction Exterior Remote Ballasted (120W x 1L) 1 Induction (Non Integral) Ballast (0.95 &lt; BF &lt; 1.10) </t>
  </si>
  <si>
    <t>INERB-150W-INDN H</t>
  </si>
  <si>
    <t xml:space="preserve">Induction Exterior Remote Ballasted (150W x 1L) 1 Induction (Non Integral) Ballast (0.95 &lt; BF &lt; 1.10) </t>
  </si>
  <si>
    <t>INERB-165W-INDN H</t>
  </si>
  <si>
    <t xml:space="preserve">Induction Exterior Remote Ballasted (165W x 1L) 1 Induction (Non Integral) Ballast (0.95 &lt; BF &lt; 1.10) </t>
  </si>
  <si>
    <t>INERB-200W-INDN H</t>
  </si>
  <si>
    <t xml:space="preserve">Induction Exterior Remote Ballasted (200W x 1L) 1 Induction (Non Integral) Ballast (0.95 &lt; BF &lt; 1.10) </t>
  </si>
  <si>
    <t>INERB-250W-INDN H</t>
  </si>
  <si>
    <t xml:space="preserve">Induction Exterior Remote Ballasted (250W x 1L) 1 Induction (Non Integral) Ballast (0.95 &lt; BF &lt; 1.10) </t>
  </si>
  <si>
    <t>INERB-300W-INDN H</t>
  </si>
  <si>
    <t xml:space="preserve">Induction Exterior Remote Ballasted (300W x 1L) 1 Induction (Non Integral) Ballast (0.95 &lt; BF &lt; 1.10) </t>
  </si>
  <si>
    <t>INERB-400W-INDN H</t>
  </si>
  <si>
    <t xml:space="preserve">Induction Exterior Remote Ballasted (400W x 1L) 1 Induction (Non Integral) Ballast (0.95 &lt; BF &lt; 1.10) </t>
  </si>
  <si>
    <t>INERB-40W-INDN H</t>
  </si>
  <si>
    <t xml:space="preserve">Induction Exterior Remote Ballasted (40W x 1L) 1 Induction (Non Integral) Ballast (0.95 &lt; BF &lt; 1.10) </t>
  </si>
  <si>
    <t>INERB-500W-INDN H</t>
  </si>
  <si>
    <t xml:space="preserve">Induction Exterior Remote Ballasted (500W x 1L) 1 Induction (Non Integral) Ballast (0.95 &lt; BF &lt; 1.10) </t>
  </si>
  <si>
    <t>INERB-50W-INDN H</t>
  </si>
  <si>
    <t xml:space="preserve">Induction Exterior Remote Ballasted (50W x 1L) 1 Induction (Non Integral) Ballast (0.95 &lt; BF &lt; 1.10) </t>
  </si>
  <si>
    <t>INERB-55W-INDN H</t>
  </si>
  <si>
    <t xml:space="preserve">Induction Exterior Remote Ballasted (55W x 1L) 1 Induction (Non Integral) Ballast (0.95 &lt; BF &lt; 1.10) </t>
  </si>
  <si>
    <t>INERB-70W-INDN H</t>
  </si>
  <si>
    <t xml:space="preserve">Induction Exterior Remote Ballasted (70W x 1L) 1 Induction (Non Integral) Ballast (0.95 &lt; BF &lt; 1.10) </t>
  </si>
  <si>
    <t>INERB-80W-INDN H</t>
  </si>
  <si>
    <t xml:space="preserve">Induction Exterior Remote Ballasted (80W x 1L) 1 Induction (Non Integral) Ballast (0.95 &lt; BF &lt; 1.10) </t>
  </si>
  <si>
    <t>INESB-15W</t>
  </si>
  <si>
    <t xml:space="preserve">Induction Exterior Self Ballasted (15W x 1L) </t>
  </si>
  <si>
    <t>INESB-23W</t>
  </si>
  <si>
    <t xml:space="preserve">Induction Exterior Self Ballasted (23W x 1L) </t>
  </si>
  <si>
    <t>INESB-40W</t>
  </si>
  <si>
    <t xml:space="preserve">Induction Exterior Self Ballasted (40W x 1L) </t>
  </si>
  <si>
    <t>INESB-50W</t>
  </si>
  <si>
    <t xml:space="preserve">Induction Exterior Self Ballasted (50W x 1L) </t>
  </si>
  <si>
    <t>LEDEWP-15W</t>
  </si>
  <si>
    <t xml:space="preserve">LED Exterior Wall Pack (15W x 1L) </t>
  </si>
  <si>
    <t>LEDEWP-20W</t>
  </si>
  <si>
    <t xml:space="preserve">LED Exterior Wall Pack (20W x 1L) </t>
  </si>
  <si>
    <t>LEDEWP-22W</t>
  </si>
  <si>
    <t xml:space="preserve">LED Exterior Wall Pack (22W x 1L) </t>
  </si>
  <si>
    <t>LEDEWP-53W</t>
  </si>
  <si>
    <t xml:space="preserve">LED Exterior Wall Pack (53W x 1L) </t>
  </si>
  <si>
    <t>LEDEWP-71W</t>
  </si>
  <si>
    <t xml:space="preserve">LED Exterior Wall Pack (71W x 1L) </t>
  </si>
  <si>
    <t>LEDEWP-88W</t>
  </si>
  <si>
    <t xml:space="preserve">LED Exterior Wall Pack (88W x 1L) </t>
  </si>
  <si>
    <t xml:space="preserve">LED Interior Recessed Downlight (107W x 1L) </t>
  </si>
  <si>
    <t xml:space="preserve">LED Interior Recessed Downlight (10W x 1L) </t>
  </si>
  <si>
    <t xml:space="preserve">LED Interior Recessed Downlight (11W x 1L) </t>
  </si>
  <si>
    <t xml:space="preserve">LED Interior Recessed Downlight (12W x 1L) </t>
  </si>
  <si>
    <t xml:space="preserve">LED Interior Recessed Downlight (13W x 1L) </t>
  </si>
  <si>
    <t xml:space="preserve">LED Interior Recessed Downlight (14W x 1L) </t>
  </si>
  <si>
    <t xml:space="preserve">LED Interior Recessed Downlight (15W x 1L) </t>
  </si>
  <si>
    <t xml:space="preserve">LED Interior Recessed Downlight (16W x 1L) </t>
  </si>
  <si>
    <t xml:space="preserve">LED Interior Recessed Downlight (17W x 1L) </t>
  </si>
  <si>
    <t xml:space="preserve">LED Interior Recessed Downlight (18W x 1L) </t>
  </si>
  <si>
    <t xml:space="preserve">LED Interior Recessed Downlight (19W x 1L) </t>
  </si>
  <si>
    <t xml:space="preserve">LED Interior Recessed Downlight (20W x 1L) </t>
  </si>
  <si>
    <t xml:space="preserve">LED Interior Recessed Downlight (21W x 1L) </t>
  </si>
  <si>
    <t xml:space="preserve">LED Interior Recessed Downlight (22W x 1L) </t>
  </si>
  <si>
    <t xml:space="preserve">LED Interior Recessed Downlight (23W x 1L) </t>
  </si>
  <si>
    <t xml:space="preserve">LED Interior Recessed Downlight (24W x 1L) </t>
  </si>
  <si>
    <t xml:space="preserve">LED Interior Recessed Downlight (25W x 1L) </t>
  </si>
  <si>
    <t xml:space="preserve">LED Interior Recessed Downlight (26W x 1L) </t>
  </si>
  <si>
    <t xml:space="preserve">LED Interior Recessed Downlight (28W x 1L) </t>
  </si>
  <si>
    <t xml:space="preserve">LED Interior Recessed Downlight (29W x 1L) </t>
  </si>
  <si>
    <t xml:space="preserve">LED Interior Recessed Downlight (30W x 1L) </t>
  </si>
  <si>
    <t xml:space="preserve">LED Interior Recessed Downlight (33W x 1L) </t>
  </si>
  <si>
    <t xml:space="preserve">LED Interior Recessed Downlight (35W x 1L) </t>
  </si>
  <si>
    <t xml:space="preserve">LED Interior Recessed Downlight (36W x 1L) </t>
  </si>
  <si>
    <t xml:space="preserve">LED Interior Recessed Downlight (40W x 1L) </t>
  </si>
  <si>
    <t xml:space="preserve">LED Interior Recessed Downlight (43W x 1L) </t>
  </si>
  <si>
    <t xml:space="preserve">LED Interior Recessed Downlight (53W x 1L) </t>
  </si>
  <si>
    <t xml:space="preserve">LED Interior Recessed Downlight (54W x 1L) </t>
  </si>
  <si>
    <t xml:space="preserve">LED Interior Recessed Downlight (6W x 1L) </t>
  </si>
  <si>
    <t xml:space="preserve">LED Interior Recessed Downlight (8W x 1L) </t>
  </si>
  <si>
    <t xml:space="preserve">LED Interior Recessed Downlight (9W x 1L) </t>
  </si>
  <si>
    <t xml:space="preserve">LED Interior Highbay/Lowbay (150W x 1L) </t>
  </si>
  <si>
    <t xml:space="preserve">LED Interior Highbay/Lowbay (160W x 1L) </t>
  </si>
  <si>
    <t>INIRB-100W</t>
  </si>
  <si>
    <t xml:space="preserve">Induction Interior Remote Ballasted (100W x 1L) </t>
  </si>
  <si>
    <t>INIRB-120W</t>
  </si>
  <si>
    <t xml:space="preserve">Induction Interior Remote Ballasted (120W x 1L) </t>
  </si>
  <si>
    <t>INIRB-150W</t>
  </si>
  <si>
    <t xml:space="preserve">Induction Interior Remote Ballasted (150W x 1L) </t>
  </si>
  <si>
    <t>INIRB-165W</t>
  </si>
  <si>
    <t xml:space="preserve">Induction Interior Remote Ballasted (165W x 1L) </t>
  </si>
  <si>
    <t>INIRB-200W</t>
  </si>
  <si>
    <t xml:space="preserve">Induction Interior Remote Ballasted (200W x 1L) </t>
  </si>
  <si>
    <t>INIRB-250W</t>
  </si>
  <si>
    <t xml:space="preserve">Induction Interior Remote Ballasted (250W x 1L) </t>
  </si>
  <si>
    <t>INIRB-300W</t>
  </si>
  <si>
    <t xml:space="preserve">Induction Interior Remote Ballasted (300W x 1L) </t>
  </si>
  <si>
    <t>INIRB-400W</t>
  </si>
  <si>
    <t xml:space="preserve">Induction Interior Remote Ballasted (400W x 1L) </t>
  </si>
  <si>
    <t>INIRB-40W</t>
  </si>
  <si>
    <t xml:space="preserve">Induction Interior Remote Ballasted (40W x 1L) </t>
  </si>
  <si>
    <t>INIRB-500W</t>
  </si>
  <si>
    <t xml:space="preserve">Induction Interior Remote Ballasted (500W x 1L) </t>
  </si>
  <si>
    <t>INIRB-50W</t>
  </si>
  <si>
    <t xml:space="preserve">Induction Interior Remote Ballasted (50W x 1L) </t>
  </si>
  <si>
    <t>INIRB-55W</t>
  </si>
  <si>
    <t xml:space="preserve">Induction Interior Remote Ballasted (55W x 1L) </t>
  </si>
  <si>
    <t>INIRB-70W</t>
  </si>
  <si>
    <t xml:space="preserve">Induction Interior Remote Ballasted (70W x 1L) </t>
  </si>
  <si>
    <t>INIRB-80W</t>
  </si>
  <si>
    <t xml:space="preserve">Induction Interior Remote Ballasted (80W x 1L) </t>
  </si>
  <si>
    <t>INISB-15W</t>
  </si>
  <si>
    <t xml:space="preserve">Induction Interior Self Ballasted (15W x 1L) </t>
  </si>
  <si>
    <t>INISB-23W</t>
  </si>
  <si>
    <t xml:space="preserve">Induction Interior Self Ballasted (23W x 1L) </t>
  </si>
  <si>
    <t>INISB-40W</t>
  </si>
  <si>
    <t xml:space="preserve">Induction Interior Self Ballasted (40W x 1L) </t>
  </si>
  <si>
    <t>INISB-50W</t>
  </si>
  <si>
    <t xml:space="preserve">Induction Interior Self Ballasted (50W x 1L) </t>
  </si>
  <si>
    <t>MHPS-575W-HIDLF</t>
  </si>
  <si>
    <t xml:space="preserve">HID Metal Halide Pulse-Start (575W x 1L) 1 HID Low Freq Ballast  </t>
  </si>
  <si>
    <t>CMH-90W-HIDLF H</t>
  </si>
  <si>
    <t>FixtureCode</t>
  </si>
  <si>
    <t>FixtureText</t>
  </si>
  <si>
    <t>Actual Wattage For Calc</t>
  </si>
  <si>
    <t>JSC Building 46</t>
  </si>
  <si>
    <t>Johnson Space Center</t>
  </si>
  <si>
    <t xml:space="preserve">Office - Office </t>
  </si>
  <si>
    <t>1008901000183000017100</t>
  </si>
  <si>
    <t xml:space="preserve">2101 NASA PKWY </t>
  </si>
  <si>
    <t>Ron</t>
  </si>
  <si>
    <t>dummy@dummy.com</t>
  </si>
  <si>
    <t>1008901001900267540108</t>
  </si>
  <si>
    <t xml:space="preserve">4424 W SAM HOUSTON PKWY N </t>
  </si>
  <si>
    <t>Wells Core REIT</t>
  </si>
  <si>
    <t xml:space="preserve">Glenn </t>
  </si>
  <si>
    <t xml:space="preserve">Kirk </t>
  </si>
  <si>
    <t>572-B3 Energy Consulting</t>
  </si>
  <si>
    <t>219-Thomas, McDonald &amp; Dunne Engineers, LLC</t>
  </si>
  <si>
    <t>1008901000145290011100</t>
  </si>
  <si>
    <t>7515 Main Street</t>
  </si>
  <si>
    <t>Luis</t>
  </si>
  <si>
    <t>Lopez</t>
  </si>
  <si>
    <t>llopez@healthcarerealty.com</t>
  </si>
  <si>
    <t>7515 Main</t>
  </si>
  <si>
    <t>1008901022900254110108</t>
  </si>
  <si>
    <t>Fort Bend</t>
  </si>
  <si>
    <t>7740 FM 1960 W</t>
  </si>
  <si>
    <t>20220 Katy Fwy E1</t>
  </si>
  <si>
    <t>6535 Highway 6</t>
  </si>
  <si>
    <t>5586 Fairmount PKWY</t>
  </si>
  <si>
    <t>237 W Greens Rd</t>
  </si>
  <si>
    <t>6427 W 43 Rd</t>
  </si>
  <si>
    <t>1231 W Bay Area Blvd</t>
  </si>
  <si>
    <t>15908 Lexington Blvd</t>
  </si>
  <si>
    <t>AVENUE STORES, LLC</t>
  </si>
  <si>
    <t>Avenue Stores, LLC Retrofit</t>
  </si>
  <si>
    <t>Specialty Lighting Group</t>
  </si>
  <si>
    <t>Laura</t>
  </si>
  <si>
    <t>Lehane</t>
  </si>
  <si>
    <t>Centerbrook</t>
  </si>
  <si>
    <t>860-767-0110</t>
  </si>
  <si>
    <t>ll@sslighting.com</t>
  </si>
  <si>
    <t>632-Specialty Lighting Group</t>
  </si>
  <si>
    <t>06409</t>
  </si>
  <si>
    <t>Beckmann</t>
  </si>
  <si>
    <t>wbeckmann@avenue.com</t>
  </si>
  <si>
    <t>228-E-Tex Energy Systems LLC</t>
  </si>
  <si>
    <t>1008901008185358655100</t>
  </si>
  <si>
    <t>Thorntree Marble and Slate</t>
  </si>
  <si>
    <t xml:space="preserve">10105 West Gulf Bank </t>
  </si>
  <si>
    <t>Rae</t>
  </si>
  <si>
    <t xml:space="preserve">Stuart  </t>
  </si>
  <si>
    <t>stuart@thorntreeslate.com</t>
  </si>
  <si>
    <t>1008901023813777120103</t>
  </si>
  <si>
    <t>STERLING MCCALL TOYOTA</t>
  </si>
  <si>
    <t xml:space="preserve">9400 SOUTHWEST FWY </t>
  </si>
  <si>
    <t>Gregg</t>
  </si>
  <si>
    <t>Wintner</t>
  </si>
  <si>
    <t>gwintner@group1auto.com</t>
  </si>
  <si>
    <t>Sterling McCall Toyota</t>
  </si>
  <si>
    <t xml:space="preserve">1008901023810560930100 </t>
  </si>
  <si>
    <t>STERLING MCCALL LEXUS_EXTERIOR</t>
  </si>
  <si>
    <t xml:space="preserve">10025 SOUTHWEST FWY </t>
  </si>
  <si>
    <t>Joey</t>
  </si>
  <si>
    <t>Dupuis</t>
  </si>
  <si>
    <t>jdupuis@lexusclearlake.com</t>
  </si>
  <si>
    <t>Sterling McCall Lexus</t>
  </si>
  <si>
    <t xml:space="preserve">1008901023805488110100 </t>
  </si>
  <si>
    <t>10422 SOUTHWEST FWY</t>
  </si>
  <si>
    <t>DAVID TAYLOR CADILLAC AND GMC</t>
  </si>
  <si>
    <t xml:space="preserve">Service (Excluding Food) - Automotive Facility </t>
  </si>
  <si>
    <t xml:space="preserve">gwintner@group1auto.com </t>
  </si>
  <si>
    <t>David Taylor Cadillac and GMC</t>
  </si>
  <si>
    <t>1008901016190848199100</t>
  </si>
  <si>
    <t>6445 Southwest Freeway</t>
  </si>
  <si>
    <t>STERLING MCCALL FORD</t>
  </si>
  <si>
    <t xml:space="preserve"> WINTNER,</t>
  </si>
  <si>
    <t xml:space="preserve">GREGG </t>
  </si>
  <si>
    <t>Sterling McCall Ford</t>
  </si>
  <si>
    <t>1008901023816774110105</t>
  </si>
  <si>
    <t>20465 SOUTHWEST FWY</t>
  </si>
  <si>
    <t>Richmond</t>
  </si>
  <si>
    <t xml:space="preserve">FT BEND TOYOTA </t>
  </si>
  <si>
    <t xml:space="preserve">Gregg  </t>
  </si>
  <si>
    <t>Fort Bend Toyota</t>
  </si>
  <si>
    <t>1008901023813294550102</t>
  </si>
  <si>
    <t>Outdoor - Outdoor Uncovered Parking Area: Zone 1</t>
  </si>
  <si>
    <t>Nadolny</t>
  </si>
  <si>
    <t>11413 Todd Street</t>
  </si>
  <si>
    <t>713-457-4418</t>
  </si>
  <si>
    <t>Panalpina Outdoor</t>
  </si>
  <si>
    <t>PANALPINA INC.</t>
  </si>
  <si>
    <t>1008901023814865280104</t>
  </si>
  <si>
    <t>507-ENVIROLITE LLC</t>
  </si>
  <si>
    <t xml:space="preserve">19409 KENSWICK DR </t>
  </si>
  <si>
    <t>HUMBLE</t>
  </si>
  <si>
    <t xml:space="preserve">ED </t>
  </si>
  <si>
    <t>OBERSTEIN</t>
  </si>
  <si>
    <t>eoberstein@gmail.com</t>
  </si>
  <si>
    <t>217-E/B/E, Inc.</t>
  </si>
  <si>
    <t>1008901000152140018100</t>
  </si>
  <si>
    <t xml:space="preserve">5858 Westheimer </t>
  </si>
  <si>
    <t>Ana</t>
  </si>
  <si>
    <t>Ramirez</t>
  </si>
  <si>
    <t>aramirez@tcprealty.com</t>
  </si>
  <si>
    <t>5858 Westheimer Chiller Replacement</t>
  </si>
  <si>
    <t>504-Energy Efficiency &amp; Sustainability</t>
  </si>
  <si>
    <t>1008901023813490190103</t>
  </si>
  <si>
    <t>8440 N. Sam Houston Pkwy W.</t>
  </si>
  <si>
    <t>Billiard Factory</t>
  </si>
  <si>
    <t>1008901023812714800102</t>
  </si>
  <si>
    <t xml:space="preserve">14190 Gulf Freeway </t>
  </si>
  <si>
    <t>1008901023805950310100</t>
  </si>
  <si>
    <t>12740 S. Kirkwood</t>
  </si>
  <si>
    <t>1008901023809868700100</t>
  </si>
  <si>
    <t>26419 I-45 North</t>
  </si>
  <si>
    <t>559-Bambu Energy</t>
  </si>
  <si>
    <t>1008901000147160014100</t>
  </si>
  <si>
    <t>12012 Wickchester Lane</t>
  </si>
  <si>
    <t>CapRidge Partners - Wood Branch</t>
  </si>
  <si>
    <t>Tamara</t>
  </si>
  <si>
    <t xml:space="preserve"> McDonald</t>
  </si>
  <si>
    <t>tmcdonald@capridgepartners.com</t>
  </si>
  <si>
    <t>Capridge Partners Wood Branch</t>
  </si>
  <si>
    <t>Marriott Greenspoint</t>
  </si>
  <si>
    <t>427-3M</t>
  </si>
  <si>
    <t>1008901000159740018100</t>
  </si>
  <si>
    <t xml:space="preserve">Panzek </t>
  </si>
  <si>
    <t xml:space="preserve">255 E NORTH BELT </t>
  </si>
  <si>
    <t xml:space="preserve">rknight@mmm.com </t>
  </si>
  <si>
    <t>Greenspoint Marriott</t>
  </si>
  <si>
    <t>245-Trio Electric</t>
  </si>
  <si>
    <t xml:space="preserve">Donna </t>
  </si>
  <si>
    <t xml:space="preserve">Lodging (Hotel/Motel/Dorm), Common Areas - Hotel </t>
  </si>
  <si>
    <t xml:space="preserve">Lodging (Hotel/Motel/Dorm), Rooms - Hotel </t>
  </si>
  <si>
    <t>Pre-inspection Date</t>
  </si>
  <si>
    <t>PA approval Date</t>
  </si>
  <si>
    <t>BURY CHPA</t>
  </si>
  <si>
    <t>nconger@buryinc.com</t>
  </si>
  <si>
    <t>35 Industrial Park Road, #10</t>
  </si>
  <si>
    <t xml:space="preserve">Warehouse (Refrigerated) - Warehouse </t>
  </si>
  <si>
    <t>Stephens</t>
  </si>
  <si>
    <t xml:space="preserve">Manco Electric </t>
  </si>
  <si>
    <t>Byron</t>
  </si>
  <si>
    <t>Manning</t>
  </si>
  <si>
    <t>18518 Cypress Rosehill Rd</t>
  </si>
  <si>
    <t>77429</t>
  </si>
  <si>
    <t>713-906-2154</t>
  </si>
  <si>
    <t>mancoelectric@att.net</t>
  </si>
  <si>
    <t>Crawford Electric Supply</t>
  </si>
  <si>
    <t>Drury</t>
  </si>
  <si>
    <t xml:space="preserve">7390 Northcourt Road </t>
  </si>
  <si>
    <t>77040</t>
  </si>
  <si>
    <t>281-501-4494</t>
  </si>
  <si>
    <t>(Revised) Installation Date</t>
  </si>
  <si>
    <t>PAF due date</t>
  </si>
  <si>
    <t>IR due date</t>
  </si>
  <si>
    <t>IR received date</t>
  </si>
  <si>
    <t>Post-inspection date</t>
  </si>
  <si>
    <t>IR approval date</t>
  </si>
  <si>
    <t>Disposal Record date</t>
  </si>
  <si>
    <t>Total Project Cost</t>
  </si>
  <si>
    <t>Lincoln</t>
  </si>
  <si>
    <t>Project Associate</t>
  </si>
  <si>
    <t>2233 E. Grauwyler, Suite 119</t>
  </si>
  <si>
    <t>469-586-5147</t>
  </si>
  <si>
    <t>469-586-5156</t>
  </si>
  <si>
    <t>slincoln@smartwattinc.com</t>
  </si>
  <si>
    <t>Samuel</t>
  </si>
  <si>
    <t>Outdoor - Outdoor Uncovered Parking Area: Zone 4</t>
  </si>
  <si>
    <t>Public Assembly</t>
  </si>
  <si>
    <t>Approved IRSR Incentive</t>
  </si>
  <si>
    <t/>
  </si>
  <si>
    <t>Hunton Trane</t>
  </si>
  <si>
    <t>Quinlan</t>
  </si>
  <si>
    <t>77042</t>
  </si>
  <si>
    <t>713-328-3779</t>
  </si>
  <si>
    <t>MQuinlan@huntongroup.com</t>
  </si>
  <si>
    <t>636-Schwan Food Company</t>
  </si>
  <si>
    <t>Schwan Food Company</t>
  </si>
  <si>
    <t>Donald</t>
  </si>
  <si>
    <t>Scruggs</t>
  </si>
  <si>
    <t>Plant Engineer</t>
  </si>
  <si>
    <t>612 Georgia Ave</t>
  </si>
  <si>
    <t>Deer Park</t>
  </si>
  <si>
    <t>713-320-0323</t>
  </si>
  <si>
    <t>donald.scruggs@schwans.com</t>
  </si>
  <si>
    <t>Jeffrey</t>
  </si>
  <si>
    <t>jdrury@crawfordelectricsupply.com</t>
  </si>
  <si>
    <t xml:space="preserve">Lodging (Hotel/Motel/Dorm), Common Areas - Motel </t>
  </si>
  <si>
    <t>BAYTOWN</t>
  </si>
  <si>
    <t>Hospital</t>
  </si>
  <si>
    <t>5550 North Braeswood Suite 067</t>
  </si>
  <si>
    <t xml:space="preserve">1008901000160270013100 </t>
  </si>
  <si>
    <t>Walmart Stores Texas LLC</t>
  </si>
  <si>
    <t xml:space="preserve">Food Sales - 24 Hour Supermarket/Retail - Retail </t>
  </si>
  <si>
    <t xml:space="preserve">donna.jordan@wal-mart.com </t>
  </si>
  <si>
    <t>1008901020900729340113</t>
  </si>
  <si>
    <t xml:space="preserve">8700 N HIGHWAY 146 </t>
  </si>
  <si>
    <t>Chambers</t>
  </si>
  <si>
    <t>Houston Chronicle Media Group</t>
  </si>
  <si>
    <t>Tommy</t>
  </si>
  <si>
    <t>801 Texas Ave.</t>
  </si>
  <si>
    <t>77002</t>
  </si>
  <si>
    <t>713-362-6439</t>
  </si>
  <si>
    <t>Tommy.Wood@chron.com</t>
  </si>
  <si>
    <t>Spark Lighting, LLC</t>
  </si>
  <si>
    <t>7714 Renwick, Suite 36</t>
  </si>
  <si>
    <t>Neighborhood Centers</t>
  </si>
  <si>
    <t>Education: College, University, Vocational, Day Care, and K-12 w/ summer session - School/University</t>
  </si>
  <si>
    <t>rey.solis@MHPowerSystems.com</t>
  </si>
  <si>
    <t>Cindy</t>
  </si>
  <si>
    <t>Gintner</t>
  </si>
  <si>
    <t>2965 Commodore Dr.</t>
  </si>
  <si>
    <t>972-389-5511</t>
  </si>
  <si>
    <t>Cynthia.gintner@rexelusa.com</t>
  </si>
  <si>
    <t>Bethany</t>
  </si>
  <si>
    <t>Kalliel</t>
  </si>
  <si>
    <t>01970</t>
  </si>
  <si>
    <t>978-306-6052</t>
  </si>
  <si>
    <t>bkalliel@groomenergy.com</t>
  </si>
  <si>
    <t>TCP Spectrum Partners, Ltd</t>
  </si>
  <si>
    <t>jack.cover@oldcastleapg.com</t>
  </si>
  <si>
    <t>Jack</t>
  </si>
  <si>
    <t xml:space="preserve"> Cover</t>
  </si>
  <si>
    <t>Ernest</t>
  </si>
  <si>
    <t>Reyes</t>
  </si>
  <si>
    <t>4500 Bissonnet, Suite 200</t>
  </si>
  <si>
    <t>ereyes@neighborhood-centers.org</t>
  </si>
  <si>
    <t>832-370-4120</t>
  </si>
  <si>
    <t xml:space="preserve">Lodging (Hotel/Motel/Dorm), Rooms - Motel </t>
  </si>
  <si>
    <t>Healthcare Realty Trust</t>
  </si>
  <si>
    <t xml:space="preserve">Health Care (In-patient) - Hospital </t>
  </si>
  <si>
    <t>Graybar</t>
  </si>
  <si>
    <t>77092</t>
  </si>
  <si>
    <t>713-423-3201</t>
  </si>
  <si>
    <t>jeff.drury@graybar.com</t>
  </si>
  <si>
    <t>Forza Energy, LLC</t>
  </si>
  <si>
    <t>Justin</t>
  </si>
  <si>
    <t>Cockrell</t>
  </si>
  <si>
    <t>1921 River Way Dr</t>
  </si>
  <si>
    <t>Birmingham</t>
  </si>
  <si>
    <t>35244</t>
  </si>
  <si>
    <t>205-337-7028</t>
  </si>
  <si>
    <t>justin@forzaenergy.com</t>
  </si>
  <si>
    <t>AL</t>
  </si>
  <si>
    <t>BKJ Holdings, LLC</t>
  </si>
  <si>
    <t>Benjamin</t>
  </si>
  <si>
    <t>3458 East Fairway Lane</t>
  </si>
  <si>
    <t>Spanish Fork</t>
  </si>
  <si>
    <t>84660</t>
  </si>
  <si>
    <t>801-636-5969</t>
  </si>
  <si>
    <t>bkj.energy@Gmail.com</t>
  </si>
  <si>
    <t>Monterey Energy, Inc</t>
  </si>
  <si>
    <t>1151 N. Del Rio Pl.</t>
  </si>
  <si>
    <t>91764</t>
  </si>
  <si>
    <t>214-533-2663</t>
  </si>
  <si>
    <t>Grant</t>
  </si>
  <si>
    <t>Treanor</t>
  </si>
  <si>
    <t>gtreanor@montereycorp.com</t>
  </si>
  <si>
    <t>EES Central</t>
  </si>
  <si>
    <t>8572 Katy Freeway #103</t>
  </si>
  <si>
    <t>77024</t>
  </si>
  <si>
    <t>832-675-1545</t>
  </si>
  <si>
    <t>Sunset Glass Tinting</t>
  </si>
  <si>
    <t>Eddy</t>
  </si>
  <si>
    <t>Russell</t>
  </si>
  <si>
    <t>3760 Greenbriar Dr</t>
  </si>
  <si>
    <t>77477</t>
  </si>
  <si>
    <t>281-494-7161</t>
  </si>
  <si>
    <t>eddy@sunsetglasstinting.com</t>
  </si>
  <si>
    <t>Will</t>
  </si>
  <si>
    <t>Monroe</t>
  </si>
  <si>
    <t>4447 N. Central Expy. Suite 110</t>
  </si>
  <si>
    <t>75205</t>
  </si>
  <si>
    <t>214-907-5789</t>
  </si>
  <si>
    <t>wmonroe@texalenergy.com</t>
  </si>
  <si>
    <t>Multi-family Housing, Common Areas - Multi-Family</t>
  </si>
  <si>
    <t>Path</t>
  </si>
  <si>
    <t>Filename</t>
  </si>
  <si>
    <t>Eligible?</t>
  </si>
  <si>
    <t>Cut Sheet</t>
  </si>
  <si>
    <t>Project Name:</t>
  </si>
  <si>
    <t>Building Type:</t>
  </si>
  <si>
    <t>Project Site Address:</t>
  </si>
  <si>
    <t>Building Size:</t>
  </si>
  <si>
    <t>Sponsor Name:</t>
  </si>
  <si>
    <t>Application Type:</t>
  </si>
  <si>
    <t>Space Description</t>
  </si>
  <si>
    <t>Equipment</t>
  </si>
  <si>
    <t>Selected?</t>
  </si>
  <si>
    <t>Minimum # of Loggers</t>
  </si>
  <si>
    <t>Room Number or Location</t>
  </si>
  <si>
    <t>Air Conditioning Type</t>
  </si>
  <si>
    <t>Fixture Code</t>
  </si>
  <si>
    <t># of Fixtures</t>
  </si>
  <si>
    <t># of  Non-op Fixtures *</t>
  </si>
  <si>
    <t>Control Device Description</t>
  </si>
  <si>
    <t>Operating Hours **   1 - 8,760)</t>
  </si>
  <si>
    <t>Pre-Retrofit Equipment</t>
  </si>
  <si>
    <t>Post-Retrofit Equipment</t>
  </si>
  <si>
    <t>Pre Control Device Description</t>
  </si>
  <si>
    <t>Pre Operating Hours **   1 - 8,760)</t>
  </si>
  <si>
    <t>Post Control Device Description</t>
  </si>
  <si>
    <t>Post Operating Hours **  (1 - 8,760)</t>
  </si>
  <si>
    <t>Attachment   2A</t>
  </si>
  <si>
    <t>Commercial &amp; Industrial Standard Offer Program Field Inspection Report</t>
  </si>
  <si>
    <t>General Project Information:</t>
  </si>
  <si>
    <t>Project:</t>
  </si>
  <si>
    <t>Sponsor:</t>
  </si>
  <si>
    <t>Project ID:</t>
  </si>
  <si>
    <t>Address:</t>
  </si>
  <si>
    <t>Pre-Inspection:</t>
  </si>
  <si>
    <t>Date:</t>
  </si>
  <si>
    <t>Inspector:</t>
  </si>
  <si>
    <t>Measures:</t>
  </si>
  <si>
    <t>Sample Selection:</t>
  </si>
  <si>
    <t>Attached Spreadsheet</t>
  </si>
  <si>
    <t>Review</t>
  </si>
  <si>
    <t>Results:</t>
  </si>
  <si>
    <t>Passed</t>
  </si>
  <si>
    <t>Failed</t>
  </si>
  <si>
    <t>Comments:</t>
  </si>
  <si>
    <t>Post-Inspection:</t>
  </si>
  <si>
    <t>Customer Acknowledgment:</t>
  </si>
  <si>
    <t>Customer Signature</t>
  </si>
  <si>
    <t>Reported Fixture Code</t>
  </si>
  <si>
    <t>Actual Fixture Code</t>
  </si>
  <si>
    <t>Reported # of Fixtures</t>
  </si>
  <si>
    <t>Actual # of Fixtures</t>
  </si>
  <si>
    <t>Reported Control device</t>
  </si>
  <si>
    <t>Actual Control Device</t>
  </si>
  <si>
    <t>Inspector Notes</t>
  </si>
  <si>
    <t>Inspector Note</t>
  </si>
  <si>
    <t>Reported # of  Non-op Fixtures*</t>
  </si>
  <si>
    <t>Actual # of  Non-op Fixtures*</t>
  </si>
  <si>
    <t>1) All switches are listed on a single worksheet.</t>
  </si>
  <si>
    <t>2) There are no blank rows between rows containing data.</t>
  </si>
  <si>
    <t>3) The row directly below the last row containing data is blank.</t>
  </si>
  <si>
    <t>Texal Energy LLC</t>
  </si>
  <si>
    <t>Rusty</t>
  </si>
  <si>
    <t>Farris</t>
  </si>
  <si>
    <t>rfarris@itseesy.com</t>
  </si>
  <si>
    <t>gm@hiwestwaypark.com</t>
  </si>
  <si>
    <t>DeBarbieris</t>
  </si>
  <si>
    <t>andrew@sparklightinginc.com</t>
  </si>
  <si>
    <t>832-971-2551</t>
  </si>
  <si>
    <t>Jarred</t>
  </si>
  <si>
    <t>Phillips</t>
  </si>
  <si>
    <t>TRITON SUPPLY INC</t>
  </si>
  <si>
    <t>Traci</t>
  </si>
  <si>
    <t>6012 Campus Circle Drive West</t>
  </si>
  <si>
    <t>75063</t>
  </si>
  <si>
    <t>214-382-4662</t>
  </si>
  <si>
    <t>traci.cockrell@tritonsupply.net</t>
  </si>
  <si>
    <t xml:space="preserve">Public Assembly - Sports Arena </t>
  </si>
  <si>
    <t>Dixie Chemical</t>
  </si>
  <si>
    <t>Global Atlas Inc</t>
  </si>
  <si>
    <t>11440 Clay Road</t>
  </si>
  <si>
    <t>77041</t>
  </si>
  <si>
    <t>281-809-6046</t>
  </si>
  <si>
    <t>shan Smith &amp; Associates, Inc.</t>
  </si>
  <si>
    <t>2825 Wilcrest Dr,  Suite 350</t>
  </si>
  <si>
    <t>Archway Logistics Corp.</t>
  </si>
  <si>
    <t>Day</t>
  </si>
  <si>
    <t>1818 Bingle Road, Suite 100</t>
  </si>
  <si>
    <t>77055</t>
  </si>
  <si>
    <t>713-722-8800</t>
  </si>
  <si>
    <t>robert@archwaylogistics.com</t>
  </si>
  <si>
    <t>MHSC Energy Management LLC</t>
  </si>
  <si>
    <t>Hickson</t>
  </si>
  <si>
    <t>PO Box 10048</t>
  </si>
  <si>
    <t>College Station</t>
  </si>
  <si>
    <t>77842</t>
  </si>
  <si>
    <t>979-587-2101</t>
  </si>
  <si>
    <t>dhickson@mhscenergy.com</t>
  </si>
  <si>
    <t>LED Cents</t>
  </si>
  <si>
    <t>1860 Sandy Plains Rd 204-220</t>
  </si>
  <si>
    <t>Marietta</t>
  </si>
  <si>
    <t>30066</t>
  </si>
  <si>
    <t>678-831-0303</t>
  </si>
  <si>
    <t xml:space="preserve">	jphillips@ledcents.com</t>
  </si>
  <si>
    <t>USAmerican Electric</t>
  </si>
  <si>
    <t>Castillo</t>
  </si>
  <si>
    <t>501 Parkwood Dr</t>
  </si>
  <si>
    <t>77503</t>
  </si>
  <si>
    <t>713-259-6084</t>
  </si>
  <si>
    <t>daniel.castillo@usamericanelectric.com</t>
  </si>
  <si>
    <t>American Wholesale Lighting</t>
  </si>
  <si>
    <t>Jensen</t>
  </si>
  <si>
    <t>40577 Albrae Street #F</t>
  </si>
  <si>
    <t>Fremont</t>
  </si>
  <si>
    <t>94538</t>
  </si>
  <si>
    <t>510-252-1088</t>
  </si>
  <si>
    <t>mjensen@awlighting.com</t>
  </si>
  <si>
    <t xml:space="preserve">Health Care (Out-patient) - Health Care-Clinic </t>
  </si>
  <si>
    <t xml:space="preserve">Public Assembly - Exercise Center </t>
  </si>
  <si>
    <t>Project Folder</t>
  </si>
  <si>
    <t>Template Location</t>
  </si>
  <si>
    <t>Original Workbook</t>
  </si>
  <si>
    <t>Converted Workbook</t>
  </si>
  <si>
    <t>Check</t>
  </si>
  <si>
    <t>W</t>
  </si>
  <si>
    <t xml:space="preserve">Retail (Enclosed Mall) - Retail </t>
  </si>
  <si>
    <t>DLC</t>
  </si>
  <si>
    <t>TMayo@realwinwin.com</t>
  </si>
  <si>
    <t xml:space="preserve">Timothy </t>
  </si>
  <si>
    <t xml:space="preserve">Mayo </t>
  </si>
  <si>
    <t>Utility Manager</t>
  </si>
  <si>
    <t>265-Walmart Stores Texas, LLC</t>
  </si>
  <si>
    <t>L:\ECM\Clients\CenterPoint\Standard Offer #00068\Program (Portfolio)\03 - Design Deliverables\2014\Resources\Lighting\Lighting TRM\CNP Master 11.05.2014 - 500.xls</t>
  </si>
  <si>
    <t>Public Assembly - Library</t>
  </si>
  <si>
    <t>Cap Reason</t>
  </si>
  <si>
    <t>Cap Amount</t>
  </si>
  <si>
    <t>N/A (Non-capped)</t>
  </si>
  <si>
    <t>Lighting Bldg types</t>
  </si>
  <si>
    <t>Education:K-12, w/o Summer Session - School/University</t>
  </si>
  <si>
    <t xml:space="preserve">Food Sales - Non-24-Hour Supermarket/Retail - Retail </t>
  </si>
  <si>
    <t xml:space="preserve">Food Service – fast food - Dining: Cafeteria/Fast Food </t>
  </si>
  <si>
    <t xml:space="preserve">Food Service – Sit-down Restaurant - Dining: Bar Lounge/Leisure </t>
  </si>
  <si>
    <t xml:space="preserve">Food Service – Sit-down Restaurant - Dining: Family 1.6 </t>
  </si>
  <si>
    <t>Lodging (Hotel/Motel/Dorm), Rooms - Dormitory</t>
  </si>
  <si>
    <t xml:space="preserve">Nursing and Resident Care - Hospital </t>
  </si>
  <si>
    <t>Outdoor - Outdoor Uncovered Parking Area: Zone 2</t>
  </si>
  <si>
    <t xml:space="preserve">Office - Town Hall </t>
  </si>
  <si>
    <t xml:space="preserve">Public Assembly - Convention Center </t>
  </si>
  <si>
    <t>Public Assembly - Gymnasium</t>
  </si>
  <si>
    <t xml:space="preserve">Public Assembly - Hospital </t>
  </si>
  <si>
    <t xml:space="preserve">Public Assembly - Motion Picture Theater </t>
  </si>
  <si>
    <t>Public Assembly - Museum</t>
  </si>
  <si>
    <t xml:space="preserve">Public Assembly - Performing Arts Theater </t>
  </si>
  <si>
    <t xml:space="preserve">Public Assembly - Post Office </t>
  </si>
  <si>
    <t xml:space="preserve">Public Assembly - Transportation </t>
  </si>
  <si>
    <t xml:space="preserve">Public Order and Safety - Court House </t>
  </si>
  <si>
    <t xml:space="preserve">Public Order and Safety - Penitentiary </t>
  </si>
  <si>
    <t xml:space="preserve">Public Order and Safety - Police/Fire Station </t>
  </si>
  <si>
    <t xml:space="preserve">Religious - Religious Building </t>
  </si>
  <si>
    <t>ACE Bldg Types</t>
  </si>
  <si>
    <t>Apartment (Midrise)</t>
  </si>
  <si>
    <t>Hotel (Large)</t>
  </si>
  <si>
    <t>Hotel (Small)</t>
  </si>
  <si>
    <t>Medical (Clinic)</t>
  </si>
  <si>
    <t>Medical (Hospital)</t>
  </si>
  <si>
    <t>Nursing Home</t>
  </si>
  <si>
    <t>Office (Large)</t>
  </si>
  <si>
    <t>Office (Medium)</t>
  </si>
  <si>
    <t>Office (Small)</t>
  </si>
  <si>
    <t>Religious Worship</t>
  </si>
  <si>
    <t>Restaurant (Full Service)</t>
  </si>
  <si>
    <t>Restaurant (Quick Service)</t>
  </si>
  <si>
    <t>Retail (Convenience)</t>
  </si>
  <si>
    <t>Retail (Stand Alone)</t>
  </si>
  <si>
    <t>Retail (Strip Mall)</t>
  </si>
  <si>
    <t>Retail (Supermarket)</t>
  </si>
  <si>
    <t>School (Primary)</t>
  </si>
  <si>
    <t>School (Secondary)</t>
  </si>
  <si>
    <t>School (University/College)</t>
  </si>
  <si>
    <t>Service</t>
  </si>
  <si>
    <t>Custom - Type 1</t>
  </si>
  <si>
    <t>Custom - Type 2</t>
  </si>
  <si>
    <t>Custom - Type 3</t>
  </si>
  <si>
    <t>Custom - Type 4</t>
  </si>
  <si>
    <t>Custom - Type 5</t>
  </si>
  <si>
    <t>CNP report Bldg types</t>
  </si>
  <si>
    <t>2015 C&amp;I Standard Offer Program : Pre-Inspection Form</t>
  </si>
  <si>
    <t>2015 C&amp;I Standard Offer Program : Post-Inspection Form</t>
  </si>
  <si>
    <t>2015 C&amp;I Standard Offer Program : New Construction Inspection Form</t>
  </si>
  <si>
    <t>2015 C&amp;I Standard Offer Program : Pre-Logging Form</t>
  </si>
  <si>
    <t>2015 C&amp;I Standard Offer Program : Post-Logging Form</t>
  </si>
  <si>
    <t>Initial PA</t>
  </si>
  <si>
    <t>2014 template</t>
  </si>
  <si>
    <t>2005 template (199 lines)</t>
  </si>
  <si>
    <t>L:\ECM\Clients\CenterPoint\Standard Offer #00068\Program (Portfolio)\03 - Design Deliverables\2015\Resources\Lighting\CNP 2015 Master 12.12.14.xls</t>
  </si>
  <si>
    <t>Total Line items</t>
  </si>
  <si>
    <t>L:\ECM\Clients\CenterPoint\Standard Offer #00068\Program (Portfolio)\03 - Design Deliverables\2015\Resources\Lighting\Lighting TRM\CNP 2015 Master 12.12.14-500.xls</t>
  </si>
  <si>
    <t>2005 template (499 lines)</t>
  </si>
  <si>
    <t>2005 template (999 lines)</t>
  </si>
  <si>
    <t>L:\ECM\Clients\CenterPoint\Standard Offer #00068\Program (Portfolio)\03 - Design Deliverables\2015\Resources\Lighting\Lighting TRM\CNP 2015 Master 12.12.14-1000.xls</t>
  </si>
  <si>
    <t>C-CSOP-7</t>
  </si>
  <si>
    <t>C-CSOP-8</t>
  </si>
  <si>
    <t xml:space="preserve">Walmart Test </t>
  </si>
  <si>
    <t>C-CSOP-8-1</t>
  </si>
  <si>
    <t>C-CSOP-7-1</t>
  </si>
  <si>
    <t>Walmart Test 1</t>
  </si>
  <si>
    <t>Project Stauts</t>
  </si>
  <si>
    <t>C-CSOP-1</t>
  </si>
  <si>
    <t>C-CSOP-2</t>
  </si>
  <si>
    <t>C-CSOP-3</t>
  </si>
  <si>
    <t>C-CSOP-4</t>
  </si>
  <si>
    <t>C-CSOP-5</t>
  </si>
  <si>
    <t>C-CSOP-6-1</t>
  </si>
  <si>
    <t>C-CSOP-1-1</t>
  </si>
  <si>
    <t>C-CSOP-6</t>
  </si>
  <si>
    <t>C-CSOP-6-2</t>
  </si>
  <si>
    <t>C-CSOP-21</t>
  </si>
  <si>
    <t>C-CSOP-2-1</t>
  </si>
  <si>
    <t>C-CSOP-9</t>
  </si>
  <si>
    <t>C-CSOP-10</t>
  </si>
  <si>
    <t>C-CSOP-11</t>
  </si>
  <si>
    <t>C-CSOP-12</t>
  </si>
  <si>
    <t>C-CSOP-13</t>
  </si>
  <si>
    <t>C-CSOP-14</t>
  </si>
  <si>
    <t>C-CSOP-15</t>
  </si>
  <si>
    <t>C-CSOP-15-1</t>
  </si>
  <si>
    <t>C-CSOP-15-2</t>
  </si>
  <si>
    <t>C-CSOP-15-3</t>
  </si>
  <si>
    <t>C-CSOP-16</t>
  </si>
  <si>
    <t>C-CSOP-17</t>
  </si>
  <si>
    <t>C-CSOP-18</t>
  </si>
  <si>
    <t>C-CSOP-18-1</t>
  </si>
  <si>
    <t>C-CSOP-19</t>
  </si>
  <si>
    <t>C-CSOP-8-2</t>
  </si>
  <si>
    <t>1008901012630499820100</t>
  </si>
  <si>
    <t>1008901023803430050100</t>
  </si>
  <si>
    <t>1008901023811242550100</t>
  </si>
  <si>
    <t>1008901023810348190100</t>
  </si>
  <si>
    <t>1008901023811689070100</t>
  </si>
  <si>
    <t>1008901001184340461100</t>
  </si>
  <si>
    <t>1008901023804114200100</t>
  </si>
  <si>
    <t>PA Submitted</t>
  </si>
  <si>
    <t>Wait List</t>
  </si>
  <si>
    <t>PA Approved</t>
  </si>
  <si>
    <t>IR Submitted</t>
  </si>
  <si>
    <t>IRSR Approved</t>
  </si>
  <si>
    <t>Voided</t>
  </si>
  <si>
    <t>Cancelled</t>
  </si>
  <si>
    <t>Rejected</t>
  </si>
  <si>
    <t>IR Approved</t>
  </si>
  <si>
    <t>Project Status</t>
  </si>
  <si>
    <t>C-CSOP-400</t>
  </si>
  <si>
    <t>2015 test</t>
  </si>
  <si>
    <t>100888</t>
  </si>
  <si>
    <t>100 main</t>
  </si>
  <si>
    <t>1001 Buinz</t>
  </si>
  <si>
    <t xml:space="preserve">Pre-Inspection </t>
  </si>
  <si>
    <t>PA Approval</t>
  </si>
  <si>
    <t>Laura Lehane</t>
  </si>
  <si>
    <t>Contact Full Name</t>
  </si>
  <si>
    <t>Beau Pollock</t>
  </si>
  <si>
    <t>Natalee Bruno</t>
  </si>
  <si>
    <t xml:space="preserve">Timothy  Mayo </t>
  </si>
  <si>
    <t>Joshua  Pitts</t>
  </si>
  <si>
    <t>Keith Bass</t>
  </si>
  <si>
    <t>Brian Dunne</t>
  </si>
  <si>
    <t>Tricia Dunlap</t>
  </si>
  <si>
    <t>Douglas Barkley</t>
  </si>
  <si>
    <t>Rick  Knight</t>
  </si>
  <si>
    <t>Donna Jordan</t>
  </si>
  <si>
    <t>Mike Donovan</t>
  </si>
  <si>
    <t>John Maneri</t>
  </si>
  <si>
    <t>Ed Oberstein</t>
  </si>
  <si>
    <t>Craig Koehn</t>
  </si>
  <si>
    <t>Adam Horton</t>
  </si>
  <si>
    <t>C-CSOP-23</t>
  </si>
  <si>
    <t>Test 2015</t>
  </si>
  <si>
    <t>444-500 McKinney Avenue</t>
  </si>
  <si>
    <t>1234567890101000</t>
  </si>
  <si>
    <t>100 Main</t>
  </si>
  <si>
    <t>Humberto Bautista</t>
  </si>
  <si>
    <t>C-CSOP-24</t>
  </si>
  <si>
    <t>C-CSOP-25</t>
  </si>
  <si>
    <t>L:\ECM\Clients\CenterPoint\Standard Offer #00068\Program (Portfolio)\01 - Projects (or Customers)\2014\Completed\CSOP-30-12000 Aerospace Blvd\IRSR\Approved Spreadsheets</t>
  </si>
  <si>
    <t>C-CSOP-26</t>
  </si>
  <si>
    <t>Tes11111111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</si>
</sst>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5" formatCode="&quot;$&quot;#,##0.00"/>
    <numFmt numFmtId="166" formatCode="\2\1\3\-\5\5\5\-\7\7\7\7"/>
    <numFmt numFmtId="167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color rgb="FF363636"/>
      <name val="Calibri"/>
      <family val="2"/>
    </font>
    <font>
      <sz val="1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16"/>
      <color indexed="9"/>
      <name val="Arial Black"/>
      <family val="2"/>
    </font>
    <font>
      <b/>
      <sz val="14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sz val="11"/>
      <color indexed="8"/>
      <name val="Tahoma"/>
      <family val="2"/>
    </font>
    <font>
      <b/>
      <sz val="14"/>
      <color indexed="8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7"/>
      <name val="Small Fonts"/>
      <family val="2"/>
    </font>
    <font>
      <sz val="10"/>
      <name val="Copperplate Gothic Bold"/>
      <family val="2"/>
    </font>
    <font>
      <sz val="2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4"/>
      <color indexed="18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trike/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indexed="5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18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NumberFormat="0" applyFont="0" applyFill="0" applyBorder="0" applyAlignment="0" applyProtection="0"/>
    <xf numFmtId="0" fontId="4" fillId="0" borderId="0"/>
    <xf numFmtId="37" fontId="21" fillId="0" borderId="0"/>
    <xf numFmtId="0" fontId="1" fillId="0" borderId="0"/>
  </cellStyleXfs>
  <cellXfs count="260">
    <xf numFmtId="0" fontId="0" fillId="0" borderId="0" xfId="0"/>
    <xf numFmtId="0" fontId="1" fillId="0" borderId="0" xfId="1"/>
    <xf numFmtId="0" fontId="3" fillId="0" borderId="0" xfId="2"/>
    <xf numFmtId="0" fontId="2" fillId="0" borderId="0" xfId="1" applyFont="1"/>
    <xf numFmtId="0" fontId="2" fillId="0" borderId="0" xfId="0" applyFont="1"/>
    <xf numFmtId="0" fontId="0" fillId="0" borderId="1" xfId="0" applyBorder="1"/>
    <xf numFmtId="0" fontId="1" fillId="0" borderId="0" xfId="1" applyFill="1"/>
    <xf numFmtId="0" fontId="0" fillId="0" borderId="0" xfId="0" applyFill="1" applyBorder="1"/>
    <xf numFmtId="0" fontId="0" fillId="0" borderId="5" xfId="0" applyBorder="1"/>
    <xf numFmtId="0" fontId="0" fillId="0" borderId="2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2" borderId="4" xfId="0" applyFill="1" applyBorder="1" applyAlignment="1" applyProtection="1">
      <alignment horizontal="right"/>
      <protection locked="0"/>
    </xf>
    <xf numFmtId="0" fontId="0" fillId="0" borderId="11" xfId="0" applyBorder="1"/>
    <xf numFmtId="0" fontId="0" fillId="2" borderId="6" xfId="0" applyFill="1" applyBorder="1" applyAlignment="1" applyProtection="1">
      <alignment horizontal="right"/>
      <protection locked="0"/>
    </xf>
    <xf numFmtId="0" fontId="0" fillId="2" borderId="10" xfId="0" applyFill="1" applyBorder="1" applyAlignment="1" applyProtection="1">
      <alignment horizontal="right"/>
      <protection locked="0"/>
    </xf>
    <xf numFmtId="166" fontId="0" fillId="0" borderId="0" xfId="0" applyNumberFormat="1"/>
    <xf numFmtId="14" fontId="0" fillId="2" borderId="6" xfId="0" applyNumberFormat="1" applyFill="1" applyBorder="1" applyAlignment="1" applyProtection="1">
      <alignment horizontal="right"/>
      <protection locked="0"/>
    </xf>
    <xf numFmtId="0" fontId="4" fillId="0" borderId="0" xfId="0" quotePrefix="1" applyFont="1" applyBorder="1"/>
    <xf numFmtId="14" fontId="0" fillId="0" borderId="0" xfId="0" applyNumberFormat="1"/>
    <xf numFmtId="7" fontId="0" fillId="0" borderId="0" xfId="0" applyNumberFormat="1"/>
    <xf numFmtId="0" fontId="0" fillId="0" borderId="0" xfId="0" quotePrefix="1"/>
    <xf numFmtId="165" fontId="0" fillId="2" borderId="9" xfId="0" applyNumberFormat="1" applyFill="1" applyBorder="1" applyAlignment="1" applyProtection="1">
      <alignment horizontal="right"/>
      <protection locked="0"/>
    </xf>
    <xf numFmtId="165" fontId="0" fillId="0" borderId="0" xfId="0" applyNumberFormat="1"/>
    <xf numFmtId="0" fontId="0" fillId="0" borderId="4" xfId="0" applyBorder="1"/>
    <xf numFmtId="0" fontId="0" fillId="0" borderId="6" xfId="0" applyBorder="1"/>
    <xf numFmtId="0" fontId="0" fillId="0" borderId="9" xfId="0" applyBorder="1"/>
    <xf numFmtId="165" fontId="2" fillId="0" borderId="0" xfId="0" applyNumberFormat="1" applyFont="1"/>
    <xf numFmtId="0" fontId="2" fillId="0" borderId="1" xfId="0" applyFont="1" applyBorder="1"/>
    <xf numFmtId="0" fontId="0" fillId="0" borderId="16" xfId="0" applyBorder="1"/>
    <xf numFmtId="2" fontId="0" fillId="0" borderId="0" xfId="0" applyNumberFormat="1"/>
    <xf numFmtId="0" fontId="0" fillId="0" borderId="17" xfId="0" applyBorder="1"/>
    <xf numFmtId="0" fontId="0" fillId="0" borderId="10" xfId="0" applyBorder="1"/>
    <xf numFmtId="9" fontId="0" fillId="0" borderId="0" xfId="4" applyFont="1"/>
    <xf numFmtId="0" fontId="0" fillId="0" borderId="0" xfId="1" applyFont="1"/>
    <xf numFmtId="14" fontId="0" fillId="4" borderId="6" xfId="0" applyNumberFormat="1" applyFill="1" applyBorder="1" applyAlignment="1" applyProtection="1">
      <alignment horizontal="right"/>
      <protection locked="0"/>
    </xf>
    <xf numFmtId="0" fontId="3" fillId="0" borderId="0" xfId="2" applyAlignment="1">
      <alignment vertical="center"/>
    </xf>
    <xf numFmtId="0" fontId="0" fillId="0" borderId="0" xfId="0" applyFill="1"/>
    <xf numFmtId="9" fontId="0" fillId="0" borderId="0" xfId="0" applyNumberFormat="1"/>
    <xf numFmtId="0" fontId="10" fillId="6" borderId="20" xfId="8" applyFont="1" applyFill="1" applyBorder="1" applyAlignment="1" applyProtection="1">
      <alignment vertical="center"/>
    </xf>
    <xf numFmtId="0" fontId="10" fillId="6" borderId="0" xfId="8" applyFont="1" applyFill="1" applyBorder="1" applyAlignment="1" applyProtection="1">
      <alignment vertical="center"/>
    </xf>
    <xf numFmtId="0" fontId="11" fillId="0" borderId="0" xfId="8" applyNumberFormat="1" applyFont="1" applyFill="1" applyBorder="1" applyAlignment="1" applyProtection="1"/>
    <xf numFmtId="0" fontId="12" fillId="5" borderId="0" xfId="8" applyNumberFormat="1" applyFont="1" applyFill="1" applyBorder="1" applyAlignment="1" applyProtection="1"/>
    <xf numFmtId="0" fontId="13" fillId="5" borderId="0" xfId="8" applyFont="1" applyFill="1" applyAlignment="1" applyProtection="1">
      <alignment horizontal="left" vertical="center"/>
    </xf>
    <xf numFmtId="0" fontId="11" fillId="5" borderId="0" xfId="8" applyNumberFormat="1" applyFont="1" applyFill="1" applyBorder="1" applyAlignment="1" applyProtection="1">
      <protection hidden="1"/>
    </xf>
    <xf numFmtId="0" fontId="14" fillId="5" borderId="0" xfId="8" applyFont="1" applyFill="1" applyAlignment="1" applyProtection="1">
      <alignment horizontal="right" vertical="center"/>
      <protection hidden="1"/>
    </xf>
    <xf numFmtId="0" fontId="15" fillId="5" borderId="15" xfId="8" applyFont="1" applyFill="1" applyBorder="1" applyAlignment="1" applyProtection="1">
      <alignment horizontal="left" vertical="center"/>
      <protection locked="0"/>
    </xf>
    <xf numFmtId="0" fontId="15" fillId="5" borderId="21" xfId="8" applyFont="1" applyFill="1" applyBorder="1" applyAlignment="1" applyProtection="1">
      <alignment horizontal="left" vertical="center"/>
      <protection locked="0"/>
    </xf>
    <xf numFmtId="0" fontId="15" fillId="5" borderId="22" xfId="8" applyFont="1" applyFill="1" applyBorder="1" applyAlignment="1" applyProtection="1">
      <alignment horizontal="left" vertical="center"/>
      <protection locked="0"/>
    </xf>
    <xf numFmtId="0" fontId="11" fillId="5" borderId="22" xfId="8" applyNumberFormat="1" applyFont="1" applyFill="1" applyBorder="1" applyAlignment="1" applyProtection="1">
      <alignment horizontal="left" vertical="center"/>
    </xf>
    <xf numFmtId="0" fontId="11" fillId="0" borderId="21" xfId="8" applyNumberFormat="1" applyFont="1" applyFill="1" applyBorder="1" applyAlignment="1" applyProtection="1">
      <alignment horizontal="left" vertical="center"/>
    </xf>
    <xf numFmtId="0" fontId="10" fillId="5" borderId="0" xfId="8" applyFont="1" applyFill="1" applyAlignment="1" applyProtection="1">
      <alignment horizontal="right" vertical="center"/>
      <protection hidden="1"/>
    </xf>
    <xf numFmtId="0" fontId="15" fillId="5" borderId="15" xfId="8" applyNumberFormat="1" applyFont="1" applyFill="1" applyBorder="1" applyAlignment="1" applyProtection="1">
      <alignment horizontal="left" vertical="center"/>
      <protection locked="0"/>
    </xf>
    <xf numFmtId="0" fontId="15" fillId="5" borderId="23" xfId="8" applyFont="1" applyFill="1" applyBorder="1" applyAlignment="1" applyProtection="1">
      <alignment horizontal="left" vertical="center"/>
      <protection locked="0"/>
    </xf>
    <xf numFmtId="0" fontId="15" fillId="5" borderId="24" xfId="8" applyFont="1" applyFill="1" applyBorder="1" applyAlignment="1" applyProtection="1">
      <alignment horizontal="left" vertical="center"/>
      <protection locked="0"/>
    </xf>
    <xf numFmtId="0" fontId="11" fillId="5" borderId="24" xfId="8" applyNumberFormat="1" applyFont="1" applyFill="1" applyBorder="1" applyAlignment="1" applyProtection="1">
      <alignment horizontal="left" vertical="center"/>
    </xf>
    <xf numFmtId="0" fontId="11" fillId="0" borderId="25" xfId="8" applyNumberFormat="1" applyFont="1" applyFill="1" applyBorder="1" applyAlignment="1" applyProtection="1">
      <alignment horizontal="left" vertical="center"/>
    </xf>
    <xf numFmtId="0" fontId="16" fillId="5" borderId="0" xfId="8" applyFont="1" applyFill="1" applyBorder="1" applyProtection="1">
      <protection hidden="1"/>
    </xf>
    <xf numFmtId="0" fontId="16" fillId="5" borderId="0" xfId="8" applyNumberFormat="1" applyFont="1" applyFill="1" applyBorder="1" applyProtection="1">
      <protection hidden="1"/>
    </xf>
    <xf numFmtId="0" fontId="12" fillId="0" borderId="0" xfId="8" applyNumberFormat="1" applyFont="1" applyFill="1" applyBorder="1" applyAlignment="1" applyProtection="1"/>
    <xf numFmtId="0" fontId="11" fillId="0" borderId="2" xfId="8" applyNumberFormat="1" applyFont="1" applyFill="1" applyBorder="1" applyAlignment="1" applyProtection="1"/>
    <xf numFmtId="0" fontId="11" fillId="0" borderId="26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6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8" xfId="8" applyNumberFormat="1" applyFont="1" applyFill="1" applyBorder="1" applyAlignment="1" applyProtection="1">
      <alignment horizontal="centerContinuous" vertical="center" wrapText="1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 wrapText="1"/>
      <protection hidden="1"/>
    </xf>
    <xf numFmtId="0" fontId="10" fillId="0" borderId="5" xfId="8" applyNumberFormat="1" applyFont="1" applyFill="1" applyBorder="1" applyAlignment="1" applyProtection="1">
      <alignment horizontal="center" vertical="center"/>
    </xf>
    <xf numFmtId="0" fontId="10" fillId="0" borderId="30" xfId="8" applyNumberFormat="1" applyFont="1" applyFill="1" applyBorder="1" applyAlignment="1" applyProtection="1">
      <alignment horizontal="center" vertical="center" wrapText="1"/>
    </xf>
    <xf numFmtId="0" fontId="19" fillId="0" borderId="1" xfId="8" applyNumberFormat="1" applyFont="1" applyFill="1" applyBorder="1" applyAlignment="1" applyProtection="1">
      <alignment horizontal="center" vertical="center" wrapText="1"/>
      <protection hidden="1"/>
    </xf>
    <xf numFmtId="0" fontId="19" fillId="0" borderId="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8" applyNumberFormat="1" applyFont="1" applyFill="1" applyBorder="1" applyAlignment="1" applyProtection="1">
      <alignment horizontal="center" vertical="center"/>
    </xf>
    <xf numFmtId="0" fontId="15" fillId="0" borderId="1" xfId="8" applyNumberFormat="1" applyFont="1" applyFill="1" applyBorder="1" applyAlignment="1" applyProtection="1">
      <alignment horizontal="center" vertical="center"/>
    </xf>
    <xf numFmtId="0" fontId="10" fillId="0" borderId="1" xfId="8" applyFont="1" applyFill="1" applyBorder="1" applyAlignment="1" applyProtection="1">
      <alignment horizontal="center" vertical="center"/>
      <protection hidden="1"/>
    </xf>
    <xf numFmtId="0" fontId="15" fillId="0" borderId="1" xfId="8" applyFont="1" applyFill="1" applyBorder="1" applyAlignment="1" applyProtection="1">
      <alignment horizontal="center" vertical="center"/>
      <protection locked="0"/>
    </xf>
    <xf numFmtId="0" fontId="20" fillId="0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8" applyNumberFormat="1" applyFont="1" applyFill="1" applyBorder="1" applyAlignment="1" applyProtection="1">
      <alignment horizontal="center" vertical="center"/>
    </xf>
    <xf numFmtId="0" fontId="15" fillId="5" borderId="1" xfId="8" applyFont="1" applyFill="1" applyBorder="1" applyAlignment="1" applyProtection="1">
      <alignment horizontal="center" vertical="center"/>
      <protection locked="0"/>
    </xf>
    <xf numFmtId="0" fontId="20" fillId="5" borderId="1" xfId="8" applyNumberFormat="1" applyFont="1" applyFill="1" applyBorder="1" applyAlignment="1" applyProtection="1">
      <alignment horizontal="center" vertical="center" wrapText="1"/>
      <protection locked="0"/>
    </xf>
    <xf numFmtId="0" fontId="15" fillId="0" borderId="1" xfId="8" applyFont="1" applyBorder="1" applyAlignment="1" applyProtection="1">
      <alignment horizontal="center" vertical="center"/>
    </xf>
    <xf numFmtId="0" fontId="15" fillId="0" borderId="0" xfId="8" applyFont="1" applyAlignment="1" applyProtection="1">
      <alignment horizontal="center" vertical="center"/>
    </xf>
    <xf numFmtId="0" fontId="10" fillId="7" borderId="20" xfId="8" applyFont="1" applyFill="1" applyBorder="1" applyAlignment="1" applyProtection="1">
      <alignment vertical="center"/>
    </xf>
    <xf numFmtId="0" fontId="10" fillId="7" borderId="0" xfId="8" applyFont="1" applyFill="1" applyBorder="1" applyAlignment="1" applyProtection="1">
      <alignment vertical="center"/>
    </xf>
    <xf numFmtId="0" fontId="11" fillId="7" borderId="0" xfId="8" applyNumberFormat="1" applyFont="1" applyFill="1" applyBorder="1" applyAlignment="1" applyProtection="1"/>
    <xf numFmtId="0" fontId="11" fillId="0" borderId="22" xfId="8" applyNumberFormat="1" applyFont="1" applyFill="1" applyBorder="1" applyAlignment="1" applyProtection="1">
      <alignment horizontal="left" vertical="center"/>
    </xf>
    <xf numFmtId="0" fontId="11" fillId="5" borderId="21" xfId="8" applyNumberFormat="1" applyFont="1" applyFill="1" applyBorder="1" applyAlignment="1" applyProtection="1">
      <alignment horizontal="left" vertical="center"/>
    </xf>
    <xf numFmtId="0" fontId="11" fillId="0" borderId="24" xfId="8" applyNumberFormat="1" applyFont="1" applyFill="1" applyBorder="1" applyAlignment="1" applyProtection="1">
      <alignment horizontal="left" vertical="center"/>
    </xf>
    <xf numFmtId="0" fontId="11" fillId="5" borderId="25" xfId="8" applyNumberFormat="1" applyFont="1" applyFill="1" applyBorder="1" applyAlignment="1" applyProtection="1">
      <alignment horizontal="left" vertical="center"/>
    </xf>
    <xf numFmtId="0" fontId="10" fillId="0" borderId="1" xfId="8" applyNumberFormat="1" applyFont="1" applyFill="1" applyBorder="1" applyAlignment="1" applyProtection="1">
      <alignment horizontal="center" vertical="center" wrapText="1"/>
    </xf>
    <xf numFmtId="0" fontId="10" fillId="0" borderId="6" xfId="8" applyNumberFormat="1" applyFont="1" applyFill="1" applyBorder="1" applyAlignment="1" applyProtection="1">
      <alignment horizontal="center" vertical="center" wrapText="1"/>
    </xf>
    <xf numFmtId="0" fontId="15" fillId="0" borderId="1" xfId="8" applyFont="1" applyFill="1" applyBorder="1" applyAlignment="1" applyProtection="1">
      <alignment horizontal="center" vertical="center"/>
      <protection hidden="1"/>
    </xf>
    <xf numFmtId="0" fontId="11" fillId="6" borderId="0" xfId="8" applyNumberFormat="1" applyFont="1" applyFill="1" applyBorder="1" applyAlignment="1" applyProtection="1"/>
    <xf numFmtId="0" fontId="18" fillId="5" borderId="28" xfId="8" applyNumberFormat="1" applyFont="1" applyFill="1" applyBorder="1" applyAlignment="1" applyProtection="1">
      <alignment horizontal="centerContinuous" vertical="center"/>
      <protection hidden="1"/>
    </xf>
    <xf numFmtId="0" fontId="18" fillId="5" borderId="29" xfId="8" applyNumberFormat="1" applyFont="1" applyFill="1" applyBorder="1" applyAlignment="1" applyProtection="1">
      <alignment horizontal="centerContinuous" vertical="center"/>
      <protection hidden="1"/>
    </xf>
    <xf numFmtId="0" fontId="4" fillId="0" borderId="0" xfId="8"/>
    <xf numFmtId="0" fontId="15" fillId="0" borderId="0" xfId="8" applyFont="1" applyAlignment="1">
      <alignment horizontal="right" wrapText="1"/>
    </xf>
    <xf numFmtId="0" fontId="15" fillId="0" borderId="0" xfId="8" applyFont="1"/>
    <xf numFmtId="0" fontId="24" fillId="0" borderId="0" xfId="8" applyFont="1"/>
    <xf numFmtId="0" fontId="15" fillId="0" borderId="0" xfId="8" applyFont="1" applyAlignment="1">
      <alignment horizontal="right" vertical="center" wrapText="1"/>
    </xf>
    <xf numFmtId="0" fontId="4" fillId="0" borderId="0" xfId="8" applyBorder="1" applyAlignment="1">
      <alignment horizontal="left" vertical="center"/>
    </xf>
    <xf numFmtId="0" fontId="4" fillId="0" borderId="18" xfId="8" applyBorder="1" applyAlignment="1">
      <alignment horizontal="left" vertical="center"/>
    </xf>
    <xf numFmtId="0" fontId="4" fillId="0" borderId="18" xfId="8" applyBorder="1"/>
    <xf numFmtId="0" fontId="4" fillId="0" borderId="31" xfId="8" applyBorder="1"/>
    <xf numFmtId="0" fontId="10" fillId="0" borderId="0" xfId="8" applyFont="1" applyAlignment="1">
      <alignment horizontal="right" vertical="center" wrapText="1"/>
    </xf>
    <xf numFmtId="0" fontId="10" fillId="11" borderId="20" xfId="8" applyFont="1" applyFill="1" applyBorder="1" applyAlignment="1" applyProtection="1">
      <alignment vertical="center"/>
    </xf>
    <xf numFmtId="0" fontId="10" fillId="11" borderId="0" xfId="8" applyFont="1" applyFill="1" applyBorder="1" applyAlignment="1" applyProtection="1">
      <alignment vertical="center"/>
    </xf>
    <xf numFmtId="0" fontId="10" fillId="0" borderId="0" xfId="8" applyFont="1" applyFill="1" applyBorder="1" applyAlignment="1" applyProtection="1">
      <alignment vertical="center"/>
    </xf>
    <xf numFmtId="0" fontId="11" fillId="5" borderId="0" xfId="8" applyNumberFormat="1" applyFont="1" applyFill="1" applyBorder="1" applyAlignment="1" applyProtection="1"/>
    <xf numFmtId="0" fontId="17" fillId="5" borderId="3" xfId="8" applyNumberFormat="1" applyFont="1" applyFill="1" applyBorder="1" applyAlignment="1" applyProtection="1">
      <alignment horizontal="center"/>
      <protection hidden="1"/>
    </xf>
    <xf numFmtId="0" fontId="18" fillId="5" borderId="32" xfId="8" applyNumberFormat="1" applyFont="1" applyFill="1" applyBorder="1" applyAlignment="1" applyProtection="1">
      <alignment horizontal="centerContinuous" vertical="center"/>
      <protection hidden="1"/>
    </xf>
    <xf numFmtId="0" fontId="18" fillId="5" borderId="33" xfId="8" applyNumberFormat="1" applyFont="1" applyFill="1" applyBorder="1" applyAlignment="1" applyProtection="1">
      <alignment horizontal="centerContinuous" vertical="center"/>
      <protection hidden="1"/>
    </xf>
    <xf numFmtId="0" fontId="18" fillId="5" borderId="0" xfId="8" applyNumberFormat="1" applyFont="1" applyFill="1" applyBorder="1" applyAlignment="1" applyProtection="1">
      <alignment vertical="center"/>
      <protection hidden="1"/>
    </xf>
    <xf numFmtId="0" fontId="10" fillId="12" borderId="20" xfId="8" applyFont="1" applyFill="1" applyBorder="1" applyAlignment="1" applyProtection="1">
      <alignment vertical="center"/>
    </xf>
    <xf numFmtId="0" fontId="10" fillId="12" borderId="0" xfId="8" applyFont="1" applyFill="1" applyBorder="1" applyAlignment="1" applyProtection="1">
      <alignment vertical="center"/>
    </xf>
    <xf numFmtId="0" fontId="11" fillId="13" borderId="0" xfId="8" applyNumberFormat="1" applyFont="1" applyFill="1" applyBorder="1" applyAlignment="1" applyProtection="1"/>
    <xf numFmtId="0" fontId="15" fillId="5" borderId="34" xfId="8" applyFont="1" applyFill="1" applyBorder="1" applyAlignment="1" applyProtection="1">
      <alignment horizontal="left" vertical="center"/>
      <protection locked="0"/>
    </xf>
    <xf numFmtId="0" fontId="17" fillId="5" borderId="27" xfId="8" applyNumberFormat="1" applyFont="1" applyFill="1" applyBorder="1" applyAlignment="1" applyProtection="1">
      <alignment horizontal="center" wrapText="1"/>
      <protection hidden="1"/>
    </xf>
    <xf numFmtId="0" fontId="18" fillId="5" borderId="27" xfId="8" applyNumberFormat="1" applyFont="1" applyFill="1" applyBorder="1" applyAlignment="1" applyProtection="1">
      <alignment horizontal="centerContinuous" vertical="center" wrapText="1"/>
      <protection hidden="1"/>
    </xf>
    <xf numFmtId="0" fontId="17" fillId="5" borderId="26" xfId="8" applyNumberFormat="1" applyFont="1" applyFill="1" applyBorder="1" applyAlignment="1" applyProtection="1">
      <alignment horizontal="centerContinuous" vertical="center"/>
      <protection hidden="1"/>
    </xf>
    <xf numFmtId="0" fontId="19" fillId="0" borderId="16" xfId="8" applyNumberFormat="1" applyFont="1" applyFill="1" applyBorder="1" applyAlignment="1" applyProtection="1">
      <alignment horizontal="center" vertical="center" wrapText="1"/>
      <protection hidden="1"/>
    </xf>
    <xf numFmtId="0" fontId="10" fillId="0" borderId="1" xfId="8" applyNumberFormat="1" applyFont="1" applyFill="1" applyBorder="1" applyAlignment="1" applyProtection="1">
      <alignment horizontal="center" vertical="center"/>
    </xf>
    <xf numFmtId="0" fontId="15" fillId="0" borderId="1" xfId="8" applyFont="1" applyFill="1" applyBorder="1" applyAlignment="1" applyProtection="1">
      <alignment horizontal="center" vertical="center"/>
    </xf>
    <xf numFmtId="0" fontId="15" fillId="0" borderId="0" xfId="8" applyFont="1" applyFill="1" applyAlignment="1" applyProtection="1">
      <alignment horizontal="center" vertical="center"/>
    </xf>
    <xf numFmtId="0" fontId="27" fillId="5" borderId="0" xfId="8" applyFont="1" applyFill="1" applyAlignment="1">
      <alignment horizontal="left"/>
    </xf>
    <xf numFmtId="0" fontId="4" fillId="5" borderId="0" xfId="8" applyFill="1" applyAlignment="1">
      <alignment horizontal="centerContinuous"/>
    </xf>
    <xf numFmtId="0" fontId="4" fillId="5" borderId="0" xfId="8" applyFill="1"/>
    <xf numFmtId="0" fontId="28" fillId="5" borderId="0" xfId="8" applyFont="1" applyFill="1"/>
    <xf numFmtId="0" fontId="4" fillId="5" borderId="0" xfId="8" applyFill="1" applyBorder="1"/>
    <xf numFmtId="0" fontId="29" fillId="5" borderId="0" xfId="8" applyFont="1" applyFill="1" applyAlignment="1">
      <alignment horizontal="right"/>
    </xf>
    <xf numFmtId="0" fontId="30" fillId="5" borderId="0" xfId="8" applyFont="1" applyFill="1" applyBorder="1" applyAlignment="1">
      <alignment horizontal="left"/>
    </xf>
    <xf numFmtId="0" fontId="30" fillId="5" borderId="0" xfId="8" applyFont="1" applyFill="1"/>
    <xf numFmtId="0" fontId="29" fillId="5" borderId="0" xfId="8" applyFont="1" applyFill="1"/>
    <xf numFmtId="0" fontId="30" fillId="5" borderId="0" xfId="8" applyFont="1" applyFill="1" applyProtection="1">
      <protection locked="0" hidden="1"/>
    </xf>
    <xf numFmtId="0" fontId="4" fillId="5" borderId="0" xfId="8" applyFill="1" applyBorder="1" applyProtection="1">
      <protection locked="0"/>
    </xf>
    <xf numFmtId="0" fontId="4" fillId="5" borderId="0" xfId="8" applyFill="1" applyAlignment="1">
      <alignment horizontal="right"/>
    </xf>
    <xf numFmtId="0" fontId="4" fillId="5" borderId="0" xfId="8" applyFont="1" applyFill="1"/>
    <xf numFmtId="0" fontId="4" fillId="5" borderId="0" xfId="8" applyFont="1" applyFill="1" applyBorder="1"/>
    <xf numFmtId="0" fontId="4" fillId="5" borderId="0" xfId="8" applyFill="1" applyAlignment="1">
      <alignment horizontal="center" vertical="top"/>
    </xf>
    <xf numFmtId="0" fontId="4" fillId="5" borderId="0" xfId="8" applyFill="1" applyAlignment="1">
      <alignment horizontal="center" vertical="top" wrapText="1"/>
    </xf>
    <xf numFmtId="0" fontId="9" fillId="5" borderId="0" xfId="8" applyFont="1" applyFill="1"/>
    <xf numFmtId="0" fontId="4" fillId="5" borderId="0" xfId="8" applyFill="1" applyAlignment="1">
      <alignment horizontal="center"/>
    </xf>
    <xf numFmtId="0" fontId="32" fillId="5" borderId="0" xfId="8" applyFont="1" applyFill="1"/>
    <xf numFmtId="0" fontId="33" fillId="5" borderId="0" xfId="8" applyFont="1" applyFill="1" applyProtection="1">
      <protection hidden="1"/>
    </xf>
    <xf numFmtId="0" fontId="34" fillId="5" borderId="0" xfId="8" applyFont="1" applyFill="1" applyProtection="1">
      <protection hidden="1"/>
    </xf>
    <xf numFmtId="9" fontId="33" fillId="5" borderId="0" xfId="8" applyNumberFormat="1" applyFont="1" applyFill="1" applyProtection="1">
      <protection hidden="1"/>
    </xf>
    <xf numFmtId="0" fontId="33" fillId="5" borderId="0" xfId="8" applyFont="1" applyFill="1"/>
    <xf numFmtId="2" fontId="0" fillId="0" borderId="9" xfId="0" applyNumberFormat="1" applyBorder="1"/>
    <xf numFmtId="7" fontId="0" fillId="0" borderId="1" xfId="0" applyNumberFormat="1" applyBorder="1"/>
    <xf numFmtId="167" fontId="0" fillId="0" borderId="0" xfId="0" applyNumberFormat="1"/>
    <xf numFmtId="7" fontId="0" fillId="2" borderId="6" xfId="0" applyNumberFormat="1" applyFill="1" applyBorder="1" applyAlignment="1" applyProtection="1">
      <alignment horizontal="right"/>
      <protection locked="0"/>
    </xf>
    <xf numFmtId="0" fontId="0" fillId="0" borderId="35" xfId="0" applyBorder="1"/>
    <xf numFmtId="0" fontId="0" fillId="0" borderId="36" xfId="0" applyBorder="1"/>
    <xf numFmtId="0" fontId="0" fillId="0" borderId="17" xfId="0" applyFill="1" applyBorder="1"/>
    <xf numFmtId="0" fontId="0" fillId="0" borderId="37" xfId="0" applyFill="1" applyBorder="1"/>
    <xf numFmtId="0" fontId="0" fillId="0" borderId="0" xfId="0" applyNumberFormat="1" applyFill="1" applyBorder="1" applyAlignment="1" applyProtection="1">
      <alignment horizontal="right"/>
      <protection locked="0"/>
    </xf>
    <xf numFmtId="0" fontId="0" fillId="0" borderId="34" xfId="0" applyBorder="1"/>
    <xf numFmtId="7" fontId="0" fillId="0" borderId="0" xfId="0" applyNumberFormat="1" applyBorder="1"/>
    <xf numFmtId="49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27" xfId="0" applyBorder="1"/>
    <xf numFmtId="0" fontId="0" fillId="0" borderId="38" xfId="0" applyFill="1" applyBorder="1"/>
    <xf numFmtId="0" fontId="0" fillId="0" borderId="38" xfId="0" applyBorder="1"/>
    <xf numFmtId="0" fontId="0" fillId="0" borderId="39" xfId="0" applyBorder="1"/>
    <xf numFmtId="0" fontId="0" fillId="0" borderId="40" xfId="0" applyFill="1" applyBorder="1"/>
    <xf numFmtId="0" fontId="0" fillId="0" borderId="34" xfId="0" applyFill="1" applyBorder="1"/>
    <xf numFmtId="7" fontId="0" fillId="2" borderId="6" xfId="0" quotePrefix="1" applyNumberFormat="1" applyFill="1" applyBorder="1" applyAlignment="1" applyProtection="1">
      <alignment horizontal="right"/>
      <protection locked="0"/>
    </xf>
    <xf numFmtId="0" fontId="0" fillId="0" borderId="0" xfId="0" quotePrefix="1" applyFill="1" applyBorder="1"/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Protection="1"/>
    <xf numFmtId="0" fontId="0" fillId="0" borderId="15" xfId="0" applyBorder="1" applyProtection="1"/>
    <xf numFmtId="0" fontId="0" fillId="0" borderId="5" xfId="0" applyBorder="1" applyProtection="1"/>
    <xf numFmtId="0" fontId="0" fillId="0" borderId="0" xfId="0" applyAlignment="1" applyProtection="1">
      <alignment horizontal="left"/>
    </xf>
    <xf numFmtId="0" fontId="0" fillId="3" borderId="0" xfId="0" applyFill="1" applyProtection="1"/>
    <xf numFmtId="0" fontId="0" fillId="0" borderId="0" xfId="0" applyFill="1" applyProtection="1"/>
    <xf numFmtId="0" fontId="4" fillId="0" borderId="2" xfId="0" applyFont="1" applyFill="1" applyBorder="1" applyProtection="1"/>
    <xf numFmtId="0" fontId="0" fillId="0" borderId="3" xfId="0" applyBorder="1" applyAlignment="1" applyProtection="1">
      <alignment horizontal="right"/>
    </xf>
    <xf numFmtId="0" fontId="0" fillId="0" borderId="4" xfId="0" applyFill="1" applyBorder="1" applyAlignment="1" applyProtection="1">
      <alignment horizontal="right"/>
    </xf>
    <xf numFmtId="0" fontId="0" fillId="0" borderId="1" xfId="0" applyBorder="1" applyAlignment="1" applyProtection="1">
      <alignment horizontal="right"/>
    </xf>
    <xf numFmtId="164" fontId="0" fillId="0" borderId="1" xfId="3" applyNumberFormat="1" applyFont="1" applyBorder="1" applyAlignment="1" applyProtection="1">
      <alignment horizontal="right"/>
    </xf>
    <xf numFmtId="165" fontId="0" fillId="0" borderId="6" xfId="0" applyNumberFormat="1" applyBorder="1" applyAlignment="1" applyProtection="1">
      <alignment horizontal="right"/>
    </xf>
    <xf numFmtId="0" fontId="0" fillId="0" borderId="5" xfId="0" applyBorder="1" applyAlignment="1" applyProtection="1"/>
    <xf numFmtId="0" fontId="0" fillId="0" borderId="7" xfId="0" applyBorder="1" applyProtection="1"/>
    <xf numFmtId="0" fontId="0" fillId="0" borderId="0" xfId="0" applyFill="1" applyBorder="1" applyProtection="1"/>
    <xf numFmtId="0" fontId="4" fillId="0" borderId="2" xfId="0" quotePrefix="1" applyFont="1" applyBorder="1" applyProtection="1"/>
    <xf numFmtId="14" fontId="0" fillId="0" borderId="0" xfId="0" applyNumberFormat="1" applyFill="1" applyBorder="1" applyAlignment="1" applyProtection="1">
      <alignment horizontal="right"/>
    </xf>
    <xf numFmtId="0" fontId="4" fillId="0" borderId="5" xfId="0" quotePrefix="1" applyFont="1" applyBorder="1" applyProtection="1"/>
    <xf numFmtId="165" fontId="0" fillId="0" borderId="0" xfId="0" applyNumberFormat="1" applyFill="1" applyBorder="1" applyProtection="1"/>
    <xf numFmtId="0" fontId="0" fillId="0" borderId="2" xfId="0" applyFill="1" applyBorder="1" applyProtection="1"/>
    <xf numFmtId="4" fontId="0" fillId="0" borderId="0" xfId="0" applyNumberFormat="1" applyProtection="1"/>
    <xf numFmtId="165" fontId="0" fillId="0" borderId="0" xfId="0" applyNumberFormat="1" applyProtection="1"/>
    <xf numFmtId="0" fontId="0" fillId="0" borderId="5" xfId="0" applyFill="1" applyBorder="1" applyProtection="1"/>
    <xf numFmtId="0" fontId="4" fillId="0" borderId="5" xfId="0" applyFont="1" applyFill="1" applyBorder="1" applyProtection="1"/>
    <xf numFmtId="0" fontId="0" fillId="0" borderId="7" xfId="0" applyFill="1" applyBorder="1" applyProtection="1"/>
    <xf numFmtId="2" fontId="0" fillId="0" borderId="8" xfId="0" applyNumberFormat="1" applyFill="1" applyBorder="1" applyAlignment="1" applyProtection="1">
      <alignment horizontal="right"/>
    </xf>
    <xf numFmtId="164" fontId="0" fillId="0" borderId="8" xfId="3" applyNumberFormat="1" applyFont="1" applyFill="1" applyBorder="1" applyAlignment="1" applyProtection="1">
      <alignment horizontal="right"/>
    </xf>
    <xf numFmtId="165" fontId="0" fillId="0" borderId="9" xfId="0" applyNumberFormat="1" applyFill="1" applyBorder="1" applyAlignment="1" applyProtection="1">
      <alignment horizontal="right"/>
    </xf>
    <xf numFmtId="0" fontId="0" fillId="0" borderId="18" xfId="0" applyBorder="1" applyProtection="1"/>
    <xf numFmtId="0" fontId="0" fillId="0" borderId="18" xfId="0" applyBorder="1" applyAlignment="1" applyProtection="1"/>
    <xf numFmtId="0" fontId="0" fillId="0" borderId="13" xfId="0" applyBorder="1" applyAlignment="1" applyProtection="1"/>
    <xf numFmtId="49" fontId="0" fillId="0" borderId="0" xfId="0" quotePrefix="1" applyNumberFormat="1" applyProtection="1"/>
    <xf numFmtId="49" fontId="0" fillId="0" borderId="0" xfId="0" quotePrefix="1" applyNumberFormat="1" applyAlignment="1" applyProtection="1"/>
    <xf numFmtId="49" fontId="0" fillId="0" borderId="0" xfId="0" quotePrefix="1" applyNumberFormat="1" applyFill="1" applyAlignment="1" applyProtection="1"/>
    <xf numFmtId="0" fontId="0" fillId="0" borderId="14" xfId="0" applyNumberFormat="1" applyBorder="1" applyProtection="1"/>
    <xf numFmtId="49" fontId="0" fillId="0" borderId="0" xfId="0" applyNumberFormat="1" applyProtection="1"/>
    <xf numFmtId="49" fontId="0" fillId="0" borderId="0" xfId="0" applyNumberFormat="1" applyFill="1" applyProtection="1"/>
    <xf numFmtId="0" fontId="0" fillId="0" borderId="0" xfId="0" applyNumberFormat="1" applyProtection="1"/>
    <xf numFmtId="49" fontId="0" fillId="0" borderId="0" xfId="0" applyNumberFormat="1" applyBorder="1" applyProtection="1"/>
    <xf numFmtId="0" fontId="0" fillId="0" borderId="0" xfId="0" applyNumberFormat="1" applyBorder="1" applyProtection="1"/>
    <xf numFmtId="0" fontId="0" fillId="0" borderId="0" xfId="0" applyNumberFormat="1" applyFill="1" applyProtection="1"/>
    <xf numFmtId="0" fontId="3" fillId="0" borderId="0" xfId="2" applyNumberFormat="1" applyProtection="1"/>
    <xf numFmtId="3" fontId="0" fillId="0" borderId="0" xfId="0" applyNumberFormat="1" applyProtection="1"/>
    <xf numFmtId="0" fontId="0" fillId="0" borderId="19" xfId="0" applyNumberFormat="1" applyBorder="1" applyProtection="1"/>
    <xf numFmtId="0" fontId="0" fillId="0" borderId="0" xfId="0" applyAlignment="1" applyProtection="1">
      <alignment horizontal="right"/>
    </xf>
    <xf numFmtId="0" fontId="0" fillId="0" borderId="0" xfId="0" applyNumberFormat="1" applyFill="1" applyBorder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0" borderId="12" xfId="0" applyBorder="1" applyProtection="1"/>
    <xf numFmtId="0" fontId="0" fillId="0" borderId="12" xfId="0" applyBorder="1" applyAlignment="1" applyProtection="1"/>
    <xf numFmtId="0" fontId="0" fillId="2" borderId="0" xfId="0" applyNumberFormat="1" applyFill="1" applyBorder="1" applyAlignment="1" applyProtection="1">
      <alignment horizontal="right"/>
    </xf>
    <xf numFmtId="2" fontId="7" fillId="0" borderId="4" xfId="0" applyNumberFormat="1" applyFont="1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165" fontId="0" fillId="4" borderId="9" xfId="3" applyNumberFormat="1" applyFont="1" applyFill="1" applyBorder="1" applyProtection="1">
      <protection locked="0"/>
    </xf>
    <xf numFmtId="14" fontId="0" fillId="4" borderId="9" xfId="0" applyNumberFormat="1" applyFill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quotePrefix="1" applyNumberFormat="1" applyAlignme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Alignment="1" applyProtection="1">
      <alignment horizontal="right"/>
      <protection locked="0"/>
    </xf>
    <xf numFmtId="2" fontId="5" fillId="0" borderId="4" xfId="0" applyNumberFormat="1" applyFont="1" applyBorder="1" applyAlignment="1" applyProtection="1">
      <alignment horizontal="right"/>
    </xf>
    <xf numFmtId="164" fontId="5" fillId="0" borderId="6" xfId="3" applyNumberFormat="1" applyFont="1" applyBorder="1" applyAlignment="1" applyProtection="1">
      <alignment horizontal="right"/>
    </xf>
    <xf numFmtId="165" fontId="5" fillId="0" borderId="6" xfId="0" applyNumberFormat="1" applyFont="1" applyBorder="1" applyAlignment="1" applyProtection="1">
      <alignment horizontal="right"/>
    </xf>
    <xf numFmtId="14" fontId="0" fillId="0" borderId="6" xfId="0" applyNumberFormat="1" applyFill="1" applyBorder="1" applyAlignment="1" applyProtection="1">
      <alignment horizontal="right"/>
    </xf>
    <xf numFmtId="0" fontId="0" fillId="0" borderId="0" xfId="0" applyAlignment="1" applyProtection="1">
      <protection locked="0"/>
    </xf>
    <xf numFmtId="0" fontId="0" fillId="0" borderId="6" xfId="0" applyBorder="1" applyAlignment="1" applyProtection="1">
      <alignment horizontal="right"/>
    </xf>
    <xf numFmtId="0" fontId="0" fillId="0" borderId="9" xfId="0" applyBorder="1" applyAlignment="1" applyProtection="1">
      <alignment horizontal="right"/>
    </xf>
    <xf numFmtId="14" fontId="0" fillId="2" borderId="6" xfId="0" quotePrefix="1" applyNumberFormat="1" applyFill="1" applyBorder="1" applyAlignment="1" applyProtection="1">
      <alignment horizontal="right"/>
      <protection locked="0"/>
    </xf>
    <xf numFmtId="0" fontId="4" fillId="5" borderId="0" xfId="8" applyFill="1" applyBorder="1" applyAlignment="1">
      <alignment horizontal="left"/>
    </xf>
    <xf numFmtId="0" fontId="4" fillId="5" borderId="0" xfId="8" applyFill="1" applyAlignment="1">
      <alignment horizontal="left" vertical="top" wrapText="1"/>
    </xf>
    <xf numFmtId="0" fontId="31" fillId="5" borderId="0" xfId="8" applyFont="1" applyFill="1" applyAlignment="1">
      <alignment horizontal="left" vertical="top" wrapText="1"/>
    </xf>
    <xf numFmtId="0" fontId="4" fillId="0" borderId="31" xfId="8" applyBorder="1" applyAlignment="1">
      <alignment horizontal="left" vertical="center" wrapText="1"/>
    </xf>
    <xf numFmtId="0" fontId="22" fillId="0" borderId="0" xfId="8" applyFont="1" applyAlignment="1">
      <alignment horizontal="right"/>
    </xf>
    <xf numFmtId="0" fontId="4" fillId="0" borderId="0" xfId="8" applyFont="1" applyAlignment="1">
      <alignment horizontal="right"/>
    </xf>
    <xf numFmtId="0" fontId="23" fillId="0" borderId="0" xfId="8" applyFont="1" applyAlignment="1">
      <alignment horizontal="center" vertical="center" wrapText="1"/>
    </xf>
    <xf numFmtId="0" fontId="4" fillId="0" borderId="0" xfId="8" applyAlignment="1">
      <alignment horizontal="center" vertical="center" wrapText="1"/>
    </xf>
    <xf numFmtId="0" fontId="14" fillId="8" borderId="0" xfId="8" applyFont="1" applyFill="1" applyAlignment="1">
      <alignment horizontal="left" vertical="center" wrapText="1"/>
    </xf>
    <xf numFmtId="0" fontId="4" fillId="8" borderId="0" xfId="8" applyFill="1" applyAlignment="1">
      <alignment horizontal="left" vertical="center" wrapText="1"/>
    </xf>
    <xf numFmtId="0" fontId="4" fillId="0" borderId="18" xfId="8" applyBorder="1" applyAlignment="1">
      <alignment horizontal="left" vertical="center" wrapText="1"/>
    </xf>
    <xf numFmtId="0" fontId="4" fillId="0" borderId="0" xfId="8" applyBorder="1" applyAlignment="1">
      <alignment horizontal="left" vertical="center" wrapText="1"/>
    </xf>
    <xf numFmtId="0" fontId="24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/>
    </xf>
    <xf numFmtId="0" fontId="24" fillId="10" borderId="0" xfId="8" applyFont="1" applyFill="1" applyAlignment="1">
      <alignment horizontal="left" vertical="center" wrapText="1"/>
    </xf>
    <xf numFmtId="0" fontId="4" fillId="10" borderId="0" xfId="8" applyFill="1" applyAlignment="1">
      <alignment horizontal="left" vertical="center"/>
    </xf>
    <xf numFmtId="0" fontId="10" fillId="9" borderId="0" xfId="8" applyFont="1" applyFill="1" applyAlignment="1">
      <alignment horizontal="left" vertical="center" wrapText="1"/>
    </xf>
    <xf numFmtId="0" fontId="4" fillId="9" borderId="0" xfId="8" applyFill="1" applyAlignment="1">
      <alignment horizontal="left" vertical="center" wrapText="1"/>
    </xf>
    <xf numFmtId="7" fontId="0" fillId="0" borderId="0" xfId="0" applyNumberFormat="1" applyProtection="1">
      <protection locked="0"/>
    </xf>
  </cellXfs>
  <cellStyles count="11">
    <cellStyle name="Comma" xfId="3" builtinId="3"/>
    <cellStyle name="Comma 2" xfId="7"/>
    <cellStyle name="Hyperlink" xfId="2" builtinId="8"/>
    <cellStyle name="no dec" xfId="9"/>
    <cellStyle name="Normal" xfId="0" builtinId="0"/>
    <cellStyle name="Normal 2" xfId="5"/>
    <cellStyle name="Normal 2 2" xfId="8"/>
    <cellStyle name="Normal 3" xfId="1"/>
    <cellStyle name="Normal 4" xfId="10"/>
    <cellStyle name="Percent" xfId="4" builtinId="5"/>
    <cellStyle name="Percent 2" xfId="6"/>
  </cellStyles>
  <dxfs count="40"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I$37" lockText="1" noThreeD="1"/>
</file>

<file path=xl/ctrlProps/ctrlProp22.xml><?xml version="1.0" encoding="utf-8"?>
<formControlPr xmlns="http://schemas.microsoft.com/office/spreadsheetml/2009/9/main" objectType="CheckBox" checked="Checked" fmlaLink="$I$39" lockText="1" noThreeD="1"/>
</file>

<file path=xl/ctrlProps/ctrlProp23.xml><?xml version="1.0" encoding="utf-8"?>
<formControlPr xmlns="http://schemas.microsoft.com/office/spreadsheetml/2009/9/main" objectType="Drop" dropLines="2" dropStyle="combo" dx="16" fmlaLink="$C$45" fmlaRange="$B$45:$B$46" noThreeD="1" sel="2" val="0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Drop" dropLines="2" dropStyle="combo" dx="16" fmlaLink="$E$45" fmlaRange="$D$45:$D$46" noThreeD="1" sel="2" val="0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Drop" dropLines="2" dropStyle="combo" dx="16" fmlaLink="$G$45" fmlaRange="$F$45:$F$46" noThreeD="1" sel="2" val="0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Drop" dropLines="2" dropStyle="combo" dx="16" fmlaLink="$I$45" fmlaRange="$H$45:$H$46" noThreeD="1" sel="2" val="0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I$40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I$4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942975</xdr:colOff>
          <xdr:row>0</xdr:row>
          <xdr:rowOff>76200</xdr:rowOff>
        </xdr:from>
        <xdr:to>
          <xdr:col>5</xdr:col>
          <xdr:colOff>485775</xdr:colOff>
          <xdr:row>0</xdr:row>
          <xdr:rowOff>390525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Export PBU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0</xdr:col>
          <xdr:colOff>1162050</xdr:colOff>
          <xdr:row>0</xdr:row>
          <xdr:rowOff>390525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1266825</xdr:colOff>
          <xdr:row>0</xdr:row>
          <xdr:rowOff>66675</xdr:rowOff>
        </xdr:from>
        <xdr:to>
          <xdr:col>1</xdr:col>
          <xdr:colOff>600075</xdr:colOff>
          <xdr:row>0</xdr:row>
          <xdr:rowOff>390525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Add Sponsor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66675</xdr:rowOff>
        </xdr:from>
        <xdr:to>
          <xdr:col>10</xdr:col>
          <xdr:colOff>647700</xdr:colOff>
          <xdr:row>0</xdr:row>
          <xdr:rowOff>304800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Info Request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85725</xdr:rowOff>
        </xdr:from>
        <xdr:to>
          <xdr:col>1</xdr:col>
          <xdr:colOff>1781175</xdr:colOff>
          <xdr:row>0</xdr:row>
          <xdr:rowOff>409575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1895475</xdr:colOff>
          <xdr:row>0</xdr:row>
          <xdr:rowOff>85725</xdr:rowOff>
        </xdr:from>
        <xdr:to>
          <xdr:col>2</xdr:col>
          <xdr:colOff>323850</xdr:colOff>
          <xdr:row>0</xdr:row>
          <xdr:rowOff>409575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76200</xdr:rowOff>
        </xdr:from>
        <xdr:to>
          <xdr:col>3</xdr:col>
          <xdr:colOff>371475</xdr:colOff>
          <xdr:row>0</xdr:row>
          <xdr:rowOff>400050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Load a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333375</xdr:rowOff>
        </xdr:from>
        <xdr:to>
          <xdr:col>10</xdr:col>
          <xdr:colOff>657225</xdr:colOff>
          <xdr:row>1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Pre-Inspection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1</xdr:row>
          <xdr:rowOff>133350</xdr:rowOff>
        </xdr:from>
        <xdr:to>
          <xdr:col>10</xdr:col>
          <xdr:colOff>647700</xdr:colOff>
          <xdr:row>2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Send Post-Inspection Email (don't use)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171450</xdr:colOff>
          <xdr:row>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Generate Project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66675</xdr:rowOff>
        </xdr:from>
        <xdr:to>
          <xdr:col>0</xdr:col>
          <xdr:colOff>838200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0" name="Labe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</xdr:row>
          <xdr:rowOff>0</xdr:rowOff>
        </xdr:from>
        <xdr:to>
          <xdr:col>6</xdr:col>
          <xdr:colOff>533400</xdr:colOff>
          <xdr:row>3</xdr:row>
          <xdr:rowOff>9525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2" name="Label 4166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1</xdr:row>
          <xdr:rowOff>0</xdr:rowOff>
        </xdr:from>
        <xdr:to>
          <xdr:col>11</xdr:col>
          <xdr:colOff>133350</xdr:colOff>
          <xdr:row>3</xdr:row>
          <xdr:rowOff>9525</xdr:rowOff>
        </xdr:to>
        <xdr:sp macro="" textlink="">
          <xdr:nvSpPr>
            <xdr:cNvPr id="2053" name="Label 4167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0</xdr:row>
          <xdr:rowOff>95250</xdr:rowOff>
        </xdr:from>
        <xdr:to>
          <xdr:col>1</xdr:col>
          <xdr:colOff>1247775</xdr:colOff>
          <xdr:row>2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0</xdr:row>
          <xdr:rowOff>104775</xdr:rowOff>
        </xdr:from>
        <xdr:to>
          <xdr:col>1</xdr:col>
          <xdr:colOff>2200275</xdr:colOff>
          <xdr:row>2</xdr:row>
          <xdr:rowOff>47625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Save 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1</xdr:col>
          <xdr:colOff>466725</xdr:colOff>
          <xdr:row>2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15</xdr:row>
      <xdr:rowOff>133350</xdr:rowOff>
    </xdr:from>
    <xdr:to>
      <xdr:col>7</xdr:col>
      <xdr:colOff>476250</xdr:colOff>
      <xdr:row>17</xdr:row>
      <xdr:rowOff>9525</xdr:rowOff>
    </xdr:to>
    <xdr:sp macro="" textlink="">
      <xdr:nvSpPr>
        <xdr:cNvPr id="2" name="Text Box 17"/>
        <xdr:cNvSpPr txBox="1">
          <a:spLocks noChangeArrowheads="1"/>
        </xdr:cNvSpPr>
      </xdr:nvSpPr>
      <xdr:spPr bwMode="auto">
        <a:xfrm>
          <a:off x="3533775" y="2695575"/>
          <a:ext cx="1209675" cy="2000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Tips for use</a:t>
          </a:r>
        </a:p>
      </xdr:txBody>
    </xdr:sp>
    <xdr:clientData/>
  </xdr:twoCellAnchor>
  <xdr:twoCellAnchor>
    <xdr:from>
      <xdr:col>5</xdr:col>
      <xdr:colOff>523875</xdr:colOff>
      <xdr:row>17</xdr:row>
      <xdr:rowOff>66675</xdr:rowOff>
    </xdr:from>
    <xdr:to>
      <xdr:col>9</xdr:col>
      <xdr:colOff>209550</xdr:colOff>
      <xdr:row>19</xdr:row>
      <xdr:rowOff>104775</xdr:rowOff>
    </xdr:to>
    <xdr:sp macro="" textlink="">
      <xdr:nvSpPr>
        <xdr:cNvPr id="3" name="Text Box 18"/>
        <xdr:cNvSpPr txBox="1">
          <a:spLocks noChangeArrowheads="1"/>
        </xdr:cNvSpPr>
      </xdr:nvSpPr>
      <xdr:spPr bwMode="auto">
        <a:xfrm>
          <a:off x="3571875" y="2952750"/>
          <a:ext cx="2314575" cy="361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If SLAM fails to generate a sample, check CalcSmart's lighting inventory form to make sure: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10</xdr:row>
          <xdr:rowOff>85725</xdr:rowOff>
        </xdr:from>
        <xdr:to>
          <xdr:col>12</xdr:col>
          <xdr:colOff>314325</xdr:colOff>
          <xdr:row>12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15</xdr:row>
          <xdr:rowOff>123825</xdr:rowOff>
        </xdr:from>
        <xdr:to>
          <xdr:col>4</xdr:col>
          <xdr:colOff>228600</xdr:colOff>
          <xdr:row>24</xdr:row>
          <xdr:rowOff>104775</xdr:rowOff>
        </xdr:to>
        <xdr:sp macro="" textlink="">
          <xdr:nvSpPr>
            <xdr:cNvPr id="10242" name="Group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2: Choose sample parameters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95250</xdr:rowOff>
        </xdr:from>
        <xdr:to>
          <xdr:col>3</xdr:col>
          <xdr:colOff>295275</xdr:colOff>
          <xdr:row>10</xdr:row>
          <xdr:rowOff>152400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Monitoring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244" name="pre_inspectio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Inspection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3</xdr:col>
          <xdr:colOff>171450</xdr:colOff>
          <xdr:row>18</xdr:row>
          <xdr:rowOff>38100</xdr:rowOff>
        </xdr:to>
        <xdr:sp macro="" textlink="">
          <xdr:nvSpPr>
            <xdr:cNvPr id="10245" name="Drop Dow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17</xdr:row>
          <xdr:rowOff>9525</xdr:rowOff>
        </xdr:from>
        <xdr:to>
          <xdr:col>2</xdr:col>
          <xdr:colOff>47625</xdr:colOff>
          <xdr:row>18</xdr:row>
          <xdr:rowOff>9525</xdr:rowOff>
        </xdr:to>
        <xdr:sp macro="" textlink="">
          <xdr:nvSpPr>
            <xdr:cNvPr id="10246" name="Label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Confidence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18</xdr:row>
          <xdr:rowOff>142875</xdr:rowOff>
        </xdr:from>
        <xdr:to>
          <xdr:col>2</xdr:col>
          <xdr:colOff>66675</xdr:colOff>
          <xdr:row>19</xdr:row>
          <xdr:rowOff>142875</xdr:rowOff>
        </xdr:to>
        <xdr:sp macro="" textlink="">
          <xdr:nvSpPr>
            <xdr:cNvPr id="10247" name="Label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Precision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123825</xdr:rowOff>
        </xdr:from>
        <xdr:to>
          <xdr:col>3</xdr:col>
          <xdr:colOff>161925</xdr:colOff>
          <xdr:row>20</xdr:row>
          <xdr:rowOff>0</xdr:rowOff>
        </xdr:to>
        <xdr:sp macro="" textlink="">
          <xdr:nvSpPr>
            <xdr:cNvPr id="10248" name="Drop Dow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114300</xdr:rowOff>
        </xdr:from>
        <xdr:to>
          <xdr:col>2</xdr:col>
          <xdr:colOff>171450</xdr:colOff>
          <xdr:row>21</xdr:row>
          <xdr:rowOff>114300</xdr:rowOff>
        </xdr:to>
        <xdr:sp macro="" textlink="">
          <xdr:nvSpPr>
            <xdr:cNvPr id="10249" name="Label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Efficiency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85725</xdr:rowOff>
        </xdr:from>
        <xdr:to>
          <xdr:col>3</xdr:col>
          <xdr:colOff>161925</xdr:colOff>
          <xdr:row>21</xdr:row>
          <xdr:rowOff>123825</xdr:rowOff>
        </xdr:to>
        <xdr:sp macro="" textlink="">
          <xdr:nvSpPr>
            <xdr:cNvPr id="10250" name="Drop Down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22</xdr:row>
          <xdr:rowOff>76200</xdr:rowOff>
        </xdr:from>
        <xdr:to>
          <xdr:col>2</xdr:col>
          <xdr:colOff>171450</xdr:colOff>
          <xdr:row>23</xdr:row>
          <xdr:rowOff>76200</xdr:rowOff>
        </xdr:to>
        <xdr:sp macro="" textlink="">
          <xdr:nvSpPr>
            <xdr:cNvPr id="10251" name="Label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Controls CV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47625</xdr:rowOff>
        </xdr:from>
        <xdr:to>
          <xdr:col>3</xdr:col>
          <xdr:colOff>161925</xdr:colOff>
          <xdr:row>23</xdr:row>
          <xdr:rowOff>85725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8</xdr:row>
          <xdr:rowOff>57150</xdr:rowOff>
        </xdr:from>
        <xdr:to>
          <xdr:col>13</xdr:col>
          <xdr:colOff>533400</xdr:colOff>
          <xdr:row>14</xdr:row>
          <xdr:rowOff>38100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6: Generate sample population(s)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8</xdr:row>
          <xdr:rowOff>66675</xdr:rowOff>
        </xdr:from>
        <xdr:to>
          <xdr:col>4</xdr:col>
          <xdr:colOff>238125</xdr:colOff>
          <xdr:row>14</xdr:row>
          <xdr:rowOff>47625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1: Choose sample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447675</xdr:colOff>
          <xdr:row>15</xdr:row>
          <xdr:rowOff>123825</xdr:rowOff>
        </xdr:from>
        <xdr:to>
          <xdr:col>9</xdr:col>
          <xdr:colOff>314325</xdr:colOff>
          <xdr:row>26</xdr:row>
          <xdr:rowOff>47625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66675</xdr:rowOff>
        </xdr:from>
        <xdr:to>
          <xdr:col>3</xdr:col>
          <xdr:colOff>104775</xdr:colOff>
          <xdr:row>3</xdr:row>
          <xdr:rowOff>133350</xdr:rowOff>
        </xdr:to>
        <xdr:sp macro="" textlink="">
          <xdr:nvSpPr>
            <xdr:cNvPr id="10256" name="Object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26</xdr:row>
          <xdr:rowOff>114300</xdr:rowOff>
        </xdr:from>
        <xdr:to>
          <xdr:col>4</xdr:col>
          <xdr:colOff>219075</xdr:colOff>
          <xdr:row>34</xdr:row>
          <xdr:rowOff>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3: Choose the lighting tool 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47625</xdr:rowOff>
        </xdr:from>
        <xdr:to>
          <xdr:col>3</xdr:col>
          <xdr:colOff>323850</xdr:colOff>
          <xdr:row>29</xdr:row>
          <xdr:rowOff>114300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version (before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30</xdr:row>
          <xdr:rowOff>38100</xdr:rowOff>
        </xdr:from>
        <xdr:to>
          <xdr:col>4</xdr:col>
          <xdr:colOff>95250</xdr:colOff>
          <xdr:row>32</xdr:row>
          <xdr:rowOff>9525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Lighting Tool (After 2012)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38100</xdr:rowOff>
        </xdr:from>
        <xdr:to>
          <xdr:col>9</xdr:col>
          <xdr:colOff>295275</xdr:colOff>
          <xdr:row>14</xdr:row>
          <xdr:rowOff>104775</xdr:rowOff>
        </xdr:to>
        <xdr:sp macro="" textlink="">
          <xdr:nvSpPr>
            <xdr:cNvPr id="10260" name="Group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Step 4: Choose form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47625</xdr:rowOff>
        </xdr:from>
        <xdr:to>
          <xdr:col>9</xdr:col>
          <xdr:colOff>104775</xdr:colOff>
          <xdr:row>10</xdr:row>
          <xdr:rowOff>104775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9</xdr:col>
          <xdr:colOff>57150</xdr:colOff>
          <xdr:row>12</xdr:row>
          <xdr:rowOff>76200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142875</xdr:rowOff>
        </xdr:from>
        <xdr:to>
          <xdr:col>9</xdr:col>
          <xdr:colOff>76200</xdr:colOff>
          <xdr:row>14</xdr:row>
          <xdr:rowOff>38100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New Construction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95250</xdr:rowOff>
        </xdr:from>
        <xdr:to>
          <xdr:col>0</xdr:col>
          <xdr:colOff>1009650</xdr:colOff>
          <xdr:row>2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142875</xdr:rowOff>
        </xdr:from>
        <xdr:to>
          <xdr:col>1</xdr:col>
          <xdr:colOff>876300</xdr:colOff>
          <xdr:row>2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63636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142875</xdr:colOff>
      <xdr:row>32</xdr:row>
      <xdr:rowOff>28575</xdr:rowOff>
    </xdr:from>
    <xdr:ext cx="1724025" cy="1009650"/>
    <xdr:pic>
      <xdr:nvPicPr>
        <xdr:cNvPr id="2" name="Picture 3" descr="CP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8001000"/>
          <a:ext cx="1724025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438150</xdr:colOff>
      <xdr:row>14</xdr:row>
      <xdr:rowOff>57150</xdr:rowOff>
    </xdr:from>
    <xdr:to>
      <xdr:col>1</xdr:col>
      <xdr:colOff>571500</xdr:colOff>
      <xdr:row>14</xdr:row>
      <xdr:rowOff>190500</xdr:rowOff>
    </xdr:to>
    <xdr:sp macro="" textlink="">
      <xdr:nvSpPr>
        <xdr:cNvPr id="3" name="Rectangle 9"/>
        <xdr:cNvSpPr>
          <a:spLocks noChangeArrowheads="1"/>
        </xdr:cNvSpPr>
      </xdr:nvSpPr>
      <xdr:spPr bwMode="auto">
        <a:xfrm>
          <a:off x="1819275" y="36576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15</xdr:row>
      <xdr:rowOff>57150</xdr:rowOff>
    </xdr:from>
    <xdr:to>
      <xdr:col>1</xdr:col>
      <xdr:colOff>571500</xdr:colOff>
      <xdr:row>15</xdr:row>
      <xdr:rowOff>190500</xdr:rowOff>
    </xdr:to>
    <xdr:sp macro="" textlink="">
      <xdr:nvSpPr>
        <xdr:cNvPr id="4" name="Rectangle 10"/>
        <xdr:cNvSpPr>
          <a:spLocks noChangeArrowheads="1"/>
        </xdr:cNvSpPr>
      </xdr:nvSpPr>
      <xdr:spPr bwMode="auto">
        <a:xfrm>
          <a:off x="18192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5" name="Rectangle 11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15</xdr:row>
      <xdr:rowOff>57150</xdr:rowOff>
    </xdr:from>
    <xdr:to>
      <xdr:col>5</xdr:col>
      <xdr:colOff>571500</xdr:colOff>
      <xdr:row>15</xdr:row>
      <xdr:rowOff>190500</xdr:rowOff>
    </xdr:to>
    <xdr:sp macro="" textlink="">
      <xdr:nvSpPr>
        <xdr:cNvPr id="6" name="Rectangle 12"/>
        <xdr:cNvSpPr>
          <a:spLocks noChangeArrowheads="1"/>
        </xdr:cNvSpPr>
      </xdr:nvSpPr>
      <xdr:spPr bwMode="auto">
        <a:xfrm>
          <a:off x="4257675" y="39052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23</xdr:row>
      <xdr:rowOff>57150</xdr:rowOff>
    </xdr:from>
    <xdr:to>
      <xdr:col>1</xdr:col>
      <xdr:colOff>571500</xdr:colOff>
      <xdr:row>23</xdr:row>
      <xdr:rowOff>190500</xdr:rowOff>
    </xdr:to>
    <xdr:sp macro="" textlink="">
      <xdr:nvSpPr>
        <xdr:cNvPr id="7" name="Rectangle 13"/>
        <xdr:cNvSpPr>
          <a:spLocks noChangeArrowheads="1"/>
        </xdr:cNvSpPr>
      </xdr:nvSpPr>
      <xdr:spPr bwMode="auto">
        <a:xfrm>
          <a:off x="1819275" y="58864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438150</xdr:colOff>
      <xdr:row>24</xdr:row>
      <xdr:rowOff>57150</xdr:rowOff>
    </xdr:from>
    <xdr:to>
      <xdr:col>1</xdr:col>
      <xdr:colOff>571500</xdr:colOff>
      <xdr:row>24</xdr:row>
      <xdr:rowOff>190500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18192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438150</xdr:colOff>
      <xdr:row>24</xdr:row>
      <xdr:rowOff>57150</xdr:rowOff>
    </xdr:from>
    <xdr:to>
      <xdr:col>5</xdr:col>
      <xdr:colOff>571500</xdr:colOff>
      <xdr:row>24</xdr:row>
      <xdr:rowOff>190500</xdr:rowOff>
    </xdr:to>
    <xdr:sp macro="" textlink="">
      <xdr:nvSpPr>
        <xdr:cNvPr id="9" name="Rectangle 15"/>
        <xdr:cNvSpPr>
          <a:spLocks noChangeArrowheads="1"/>
        </xdr:cNvSpPr>
      </xdr:nvSpPr>
      <xdr:spPr bwMode="auto">
        <a:xfrm>
          <a:off x="4257675" y="613410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23</xdr:row>
      <xdr:rowOff>85725</xdr:rowOff>
    </xdr:from>
    <xdr:to>
      <xdr:col>5</xdr:col>
      <xdr:colOff>561975</xdr:colOff>
      <xdr:row>23</xdr:row>
      <xdr:rowOff>219075</xdr:rowOff>
    </xdr:to>
    <xdr:sp macro="" textlink="">
      <xdr:nvSpPr>
        <xdr:cNvPr id="10" name="Rectangle 15"/>
        <xdr:cNvSpPr>
          <a:spLocks noChangeArrowheads="1"/>
        </xdr:cNvSpPr>
      </xdr:nvSpPr>
      <xdr:spPr bwMode="auto">
        <a:xfrm>
          <a:off x="4248150" y="5915025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14</xdr:row>
      <xdr:rowOff>76200</xdr:rowOff>
    </xdr:from>
    <xdr:to>
      <xdr:col>5</xdr:col>
      <xdr:colOff>561975</xdr:colOff>
      <xdr:row>14</xdr:row>
      <xdr:rowOff>209550</xdr:rowOff>
    </xdr:to>
    <xdr:sp macro="" textlink="">
      <xdr:nvSpPr>
        <xdr:cNvPr id="11" name="Rectangle 12"/>
        <xdr:cNvSpPr>
          <a:spLocks noChangeArrowheads="1"/>
        </xdr:cNvSpPr>
      </xdr:nvSpPr>
      <xdr:spPr bwMode="auto">
        <a:xfrm>
          <a:off x="4248150" y="3676650"/>
          <a:ext cx="13335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Work/00CenterPoint%20SOP/2012/Lighting/4th%20draft%20-%20Final/Ding/Questions/Stephanie/Rosenburg/NexantLightingSpreadsheet.xls_1538_2244_IA_4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RNING"/>
      <sheetName val="Customer Information"/>
      <sheetName val="Project Information"/>
      <sheetName val="Project Summary"/>
      <sheetName val="Fixture Legend"/>
      <sheetName val="Help"/>
      <sheetName val="Factors"/>
      <sheetName val="CWT"/>
      <sheetName val="Tool Information"/>
      <sheetName val="Front"/>
    </sheetNames>
    <sheetDataSet>
      <sheetData sheetId="0" refreshError="1"/>
      <sheetData sheetId="1">
        <row r="9">
          <cell r="K9" t="str">
            <v>Deemed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ereyes@neighborhood-centers.org" TargetMode="External"/><Relationship Id="rId3" Type="http://schemas.openxmlformats.org/officeDocument/2006/relationships/hyperlink" Target="mailto:slincoln@smartwattinc.com" TargetMode="External"/><Relationship Id="rId7" Type="http://schemas.openxmlformats.org/officeDocument/2006/relationships/hyperlink" Target="mailto:Cynthia.gintner@rexelusa.com" TargetMode="External"/><Relationship Id="rId2" Type="http://schemas.openxmlformats.org/officeDocument/2006/relationships/hyperlink" Target="mailto:nconger@buryinc.com" TargetMode="External"/><Relationship Id="rId1" Type="http://schemas.openxmlformats.org/officeDocument/2006/relationships/hyperlink" Target="mailto:lcignavitch@realwinwin.com" TargetMode="External"/><Relationship Id="rId6" Type="http://schemas.openxmlformats.org/officeDocument/2006/relationships/hyperlink" Target="mailto:rey.solis@MHPowerSystems.com" TargetMode="External"/><Relationship Id="rId5" Type="http://schemas.openxmlformats.org/officeDocument/2006/relationships/hyperlink" Target="mailto:jdrury@crawfordelectricsupply.com" TargetMode="External"/><Relationship Id="rId10" Type="http://schemas.openxmlformats.org/officeDocument/2006/relationships/hyperlink" Target="mailto:TMayo@realwinwin.com" TargetMode="External"/><Relationship Id="rId4" Type="http://schemas.openxmlformats.org/officeDocument/2006/relationships/hyperlink" Target="mailto:nick.steinbuck@siemens.com" TargetMode="External"/><Relationship Id="rId9" Type="http://schemas.openxmlformats.org/officeDocument/2006/relationships/hyperlink" Target="mailto:gtreanor@montereycorp.com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Y65"/>
  <sheetViews>
    <sheetView tabSelected="1" zoomScale="85" zoomScaleNormal="85" workbookViewId="0">
      <selection activeCell="E25" sqref="E25"/>
    </sheetView>
  </sheetViews>
  <sheetFormatPr defaultRowHeight="15" x14ac:dyDescent="0.25"/>
  <cols>
    <col min="1" max="1" width="26.42578125" style="167" customWidth="1"/>
    <col min="2" max="2" width="40" style="167" customWidth="1"/>
    <col min="3" max="3" width="16.7109375" style="168" customWidth="1"/>
    <col min="4" max="4" width="27.5703125" style="167" customWidth="1"/>
    <col min="5" max="5" width="23.42578125" style="167" customWidth="1"/>
    <col min="6" max="6" width="13.5703125" style="167" bestFit="1" customWidth="1"/>
    <col min="7" max="7" width="20.42578125" style="167" bestFit="1" customWidth="1"/>
    <col min="8" max="8" width="18.85546875" style="167" customWidth="1"/>
    <col min="9" max="9" width="10.28515625" style="167" bestFit="1" customWidth="1"/>
    <col min="10" max="10" width="30.5703125" style="167" bestFit="1" customWidth="1"/>
    <col min="11" max="11" width="10.5703125" style="167" customWidth="1"/>
    <col min="12" max="12" width="13.28515625" style="167" customWidth="1"/>
    <col min="13" max="13" width="13.7109375" style="167" customWidth="1"/>
    <col min="14" max="14" width="11.85546875" style="167" customWidth="1"/>
    <col min="15" max="15" width="12.85546875" style="167" customWidth="1"/>
    <col min="16" max="17" width="9.140625" style="167"/>
    <col min="18" max="18" width="8.140625" style="167" customWidth="1"/>
    <col min="19" max="19" width="24.5703125" style="167" customWidth="1"/>
    <col min="20" max="25" width="12.28515625" style="167" customWidth="1"/>
    <col min="26" max="26" width="20.140625" style="167" customWidth="1"/>
    <col min="27" max="16384" width="9.140625" style="167"/>
  </cols>
  <sheetData>
    <row r="1" spans="1:15" s="225" customFormat="1" ht="38.25" customHeight="1" thickBot="1" x14ac:dyDescent="0.3">
      <c r="C1" s="237"/>
    </row>
    <row r="2" spans="1:15" ht="15.75" thickBot="1" x14ac:dyDescent="0.3">
      <c r="D2" s="169" t="s">
        <v>3361</v>
      </c>
      <c r="E2" s="219"/>
      <c r="G2" s="170" t="s">
        <v>3334</v>
      </c>
      <c r="H2" s="16">
        <v>1</v>
      </c>
    </row>
    <row r="3" spans="1:15" ht="15.75" thickBot="1" x14ac:dyDescent="0.3">
      <c r="A3" s="167" t="s">
        <v>2169</v>
      </c>
      <c r="D3" s="171" t="s">
        <v>3360</v>
      </c>
      <c r="E3" s="158" t="s">
        <v>7992</v>
      </c>
      <c r="F3" s="172"/>
      <c r="G3" s="173" t="s">
        <v>129</v>
      </c>
      <c r="H3" s="173">
        <v>1</v>
      </c>
    </row>
    <row r="4" spans="1:15" x14ac:dyDescent="0.25">
      <c r="A4" s="169" t="s">
        <v>2170</v>
      </c>
      <c r="B4" s="13"/>
      <c r="D4" s="171" t="s">
        <v>3306</v>
      </c>
      <c r="E4" s="220" t="str">
        <f>IF(AND(E11=0,E12=0),"",IF(OR(E11&gt;20,E12&gt;120000),"Large Commercial","Small Commercial"))</f>
        <v/>
      </c>
      <c r="G4" s="173" t="s">
        <v>3335</v>
      </c>
      <c r="H4" s="173">
        <v>3</v>
      </c>
    </row>
    <row r="5" spans="1:15" ht="15.75" thickBot="1" x14ac:dyDescent="0.3">
      <c r="A5" s="171" t="s">
        <v>2171</v>
      </c>
      <c r="B5" s="238" t="str">
        <f>IF($B$4="","",IF(VLOOKUP($B$4,Sponsor!$A$2:$Q$1000,ROW()-3,FALSE)&gt;0,VLOOKUP($B$4,Sponsor!$A$2:$Q$1000,ROW()-3,FALSE),""))</f>
        <v/>
      </c>
      <c r="D5" s="171" t="s">
        <v>3307</v>
      </c>
      <c r="E5" s="220"/>
      <c r="G5" s="174"/>
      <c r="H5" s="174"/>
    </row>
    <row r="6" spans="1:15" ht="15.75" thickBot="1" x14ac:dyDescent="0.3">
      <c r="A6" s="171" t="s">
        <v>2172</v>
      </c>
      <c r="B6" s="238" t="str">
        <f>IF($B$4="","",IF(VLOOKUP($B$4,Sponsor!$A$2:$Q$1000,ROW()-3,FALSE)&gt;0,VLOOKUP($B$4,Sponsor!$A$2:$Q$1000,ROW()-3,FALSE),""))</f>
        <v/>
      </c>
      <c r="D6" s="171" t="s">
        <v>3308</v>
      </c>
      <c r="E6" s="15"/>
      <c r="G6" s="170" t="s">
        <v>3354</v>
      </c>
      <c r="H6" s="16">
        <v>1</v>
      </c>
      <c r="J6" s="175" t="s">
        <v>3342</v>
      </c>
      <c r="K6" s="176" t="s">
        <v>3350</v>
      </c>
      <c r="L6" s="176" t="s">
        <v>3351</v>
      </c>
      <c r="M6" s="177" t="s">
        <v>3352</v>
      </c>
    </row>
    <row r="7" spans="1:15" x14ac:dyDescent="0.25">
      <c r="A7" s="171" t="s">
        <v>2174</v>
      </c>
      <c r="B7" s="238" t="str">
        <f>IF($B$4="","",IF(VLOOKUP($B$4,Sponsor!$A$2:$Q$1000,ROW()-3,FALSE)&gt;0,VLOOKUP($B$4,Sponsor!$A$2:$Q$1000,ROW()-3,FALSE),""))</f>
        <v/>
      </c>
      <c r="D7" s="171" t="s">
        <v>3309</v>
      </c>
      <c r="E7" s="18"/>
      <c r="G7" s="173" t="s">
        <v>3336</v>
      </c>
      <c r="H7" s="173">
        <v>1</v>
      </c>
      <c r="J7" s="171" t="s">
        <v>3327</v>
      </c>
      <c r="K7" s="178">
        <f t="shared" ref="K7:K16" si="0">SUMIF($B$30:$AAE$30,J7,$B$38:$AAE$38)</f>
        <v>0</v>
      </c>
      <c r="L7" s="179">
        <f t="shared" ref="L7:L16" si="1">SUMIF($B$30:$AAE$30,J7,$B$39:$AAE$39)</f>
        <v>0</v>
      </c>
      <c r="M7" s="180">
        <f t="shared" ref="M7:M16" si="2">SUMIF($B$30:$AAE$30,J7,$B$42:$AAE$42)</f>
        <v>0</v>
      </c>
    </row>
    <row r="8" spans="1:15" x14ac:dyDescent="0.25">
      <c r="A8" s="171" t="s">
        <v>2176</v>
      </c>
      <c r="B8" s="238" t="str">
        <f>IF($B$4="","",IF(VLOOKUP($B$4,Sponsor!$A$2:$Q$1000,ROW()-3,FALSE)&gt;0,VLOOKUP($B$4,Sponsor!$A$2:$Q$1000,ROW()-3,FALSE),""))</f>
        <v/>
      </c>
      <c r="D8" s="171" t="s">
        <v>3310</v>
      </c>
      <c r="E8" s="180">
        <f>E13*0.05</f>
        <v>0</v>
      </c>
      <c r="G8" s="173" t="s">
        <v>3337</v>
      </c>
      <c r="H8" s="173">
        <v>2</v>
      </c>
      <c r="J8" s="171" t="s">
        <v>3340</v>
      </c>
      <c r="K8" s="178">
        <f t="shared" si="0"/>
        <v>0</v>
      </c>
      <c r="L8" s="179">
        <f t="shared" si="1"/>
        <v>0</v>
      </c>
      <c r="M8" s="180">
        <f t="shared" si="2"/>
        <v>0</v>
      </c>
    </row>
    <row r="9" spans="1:15" ht="15.75" thickBot="1" x14ac:dyDescent="0.3">
      <c r="A9" s="181" t="s">
        <v>2177</v>
      </c>
      <c r="B9" s="238" t="str">
        <f>IF($B$4="","",IF(VLOOKUP($B$4,Sponsor!$A$2:$Q$1000,ROW()-3,FALSE)&gt;0,VLOOKUP($B$4,Sponsor!$A$2:$Q$1000,ROW()-3,FALSE),""))</f>
        <v/>
      </c>
      <c r="D9" s="182" t="s">
        <v>3311</v>
      </c>
      <c r="E9" s="23"/>
      <c r="J9" s="171" t="s">
        <v>3341</v>
      </c>
      <c r="K9" s="178">
        <f t="shared" si="0"/>
        <v>0</v>
      </c>
      <c r="L9" s="179">
        <f t="shared" si="1"/>
        <v>0</v>
      </c>
      <c r="M9" s="180">
        <f t="shared" si="2"/>
        <v>0</v>
      </c>
    </row>
    <row r="10" spans="1:15" ht="15.75" thickBot="1" x14ac:dyDescent="0.3">
      <c r="A10" s="171" t="s">
        <v>2178</v>
      </c>
      <c r="B10" s="238" t="str">
        <f>IF($B$4="","",IF(VLOOKUP($B$4,Sponsor!$A$2:$Q$1000,ROW()-3,FALSE)&gt;0,VLOOKUP($B$4,Sponsor!$A$2:$Q$1000,ROW()-3,FALSE),""))</f>
        <v/>
      </c>
      <c r="D10" s="183" t="s">
        <v>3338</v>
      </c>
      <c r="J10" s="171" t="s">
        <v>3343</v>
      </c>
      <c r="K10" s="178">
        <f t="shared" si="0"/>
        <v>0</v>
      </c>
      <c r="L10" s="179">
        <f t="shared" si="1"/>
        <v>0</v>
      </c>
      <c r="M10" s="180">
        <f t="shared" si="2"/>
        <v>0</v>
      </c>
    </row>
    <row r="11" spans="1:15" x14ac:dyDescent="0.25">
      <c r="A11" s="171" t="s">
        <v>0</v>
      </c>
      <c r="B11" s="238" t="str">
        <f>IF($B$4="","",IF(VLOOKUP($B$4,Sponsor!$A$2:$Q$1000,ROW()-3,FALSE)&gt;0,VLOOKUP($B$4,Sponsor!$A$2:$Q$1000,ROW()-3,FALSE),""))</f>
        <v/>
      </c>
      <c r="D11" s="184" t="s">
        <v>3312</v>
      </c>
      <c r="E11" s="233">
        <f>SUM(B38:AAE38)</f>
        <v>0</v>
      </c>
      <c r="G11" s="183"/>
      <c r="H11" s="185"/>
      <c r="J11" s="171" t="s">
        <v>3344</v>
      </c>
      <c r="K11" s="178">
        <f t="shared" si="0"/>
        <v>0</v>
      </c>
      <c r="L11" s="179">
        <f t="shared" si="1"/>
        <v>0</v>
      </c>
      <c r="M11" s="180">
        <f t="shared" si="2"/>
        <v>0</v>
      </c>
    </row>
    <row r="12" spans="1:15" ht="15.75" thickBot="1" x14ac:dyDescent="0.3">
      <c r="A12" s="171" t="s">
        <v>1</v>
      </c>
      <c r="B12" s="238" t="str">
        <f>IF($B$4="","",IF(VLOOKUP($B$4,Sponsor!$A$2:$Q$1000,ROW()-3,FALSE)&gt;0,VLOOKUP($B$4,Sponsor!$A$2:$Q$1000,ROW()-3,FALSE),""))</f>
        <v/>
      </c>
      <c r="D12" s="186" t="s">
        <v>3313</v>
      </c>
      <c r="E12" s="234">
        <f>SUM(B39:AAE39)</f>
        <v>0</v>
      </c>
      <c r="G12" s="183"/>
      <c r="H12" s="187"/>
      <c r="J12" s="171" t="s">
        <v>3345</v>
      </c>
      <c r="K12" s="178">
        <f t="shared" si="0"/>
        <v>0</v>
      </c>
      <c r="L12" s="179">
        <f t="shared" si="1"/>
        <v>0</v>
      </c>
      <c r="M12" s="180">
        <f t="shared" si="2"/>
        <v>0</v>
      </c>
    </row>
    <row r="13" spans="1:15" x14ac:dyDescent="0.25">
      <c r="A13" s="171" t="s">
        <v>2</v>
      </c>
      <c r="B13" s="238" t="str">
        <f>IF($B$4="","",IF(VLOOKUP($B$4,Sponsor!$A$2:$Q$1000,ROW()-3,FALSE)&gt;0,VLOOKUP($B$4,Sponsor!$A$2:$Q$1000,ROW()-3,FALSE),""))</f>
        <v/>
      </c>
      <c r="D13" s="186" t="s">
        <v>3314</v>
      </c>
      <c r="E13" s="235">
        <f>SUM(B42:AAE42)</f>
        <v>0</v>
      </c>
      <c r="G13" s="188" t="s">
        <v>8304</v>
      </c>
      <c r="H13" s="13"/>
      <c r="J13" s="171" t="s">
        <v>3346</v>
      </c>
      <c r="K13" s="178">
        <f t="shared" si="0"/>
        <v>0</v>
      </c>
      <c r="L13" s="179">
        <f t="shared" si="1"/>
        <v>0</v>
      </c>
      <c r="M13" s="180">
        <f t="shared" si="2"/>
        <v>0</v>
      </c>
      <c r="O13" s="189"/>
    </row>
    <row r="14" spans="1:15" x14ac:dyDescent="0.25">
      <c r="A14" s="171" t="s">
        <v>3</v>
      </c>
      <c r="B14" s="238" t="str">
        <f>IF($B$4="","",IF(VLOOKUP($B$4,Sponsor!$A$2:$Q$1000,ROW()-3,FALSE)&gt;0,VLOOKUP($B$4,Sponsor!$A$2:$Q$1000,ROW()-3,FALSE),""))</f>
        <v/>
      </c>
      <c r="D14" s="186" t="s">
        <v>3315</v>
      </c>
      <c r="E14" s="240"/>
      <c r="F14" s="190"/>
      <c r="G14" s="191" t="s">
        <v>8232</v>
      </c>
      <c r="H14" s="15"/>
      <c r="J14" s="171" t="s">
        <v>3347</v>
      </c>
      <c r="K14" s="178">
        <f t="shared" si="0"/>
        <v>0</v>
      </c>
      <c r="L14" s="179">
        <f t="shared" si="1"/>
        <v>0</v>
      </c>
      <c r="M14" s="180">
        <f t="shared" si="2"/>
        <v>0</v>
      </c>
      <c r="O14" s="189"/>
    </row>
    <row r="15" spans="1:15" x14ac:dyDescent="0.25">
      <c r="A15" s="171" t="s">
        <v>4</v>
      </c>
      <c r="B15" s="238" t="str">
        <f>IF($B$4="","",IF(VLOOKUP($B$4,Sponsor!$A$2:$Q$1000,ROW()-3,FALSE)&gt;0,VLOOKUP($B$4,Sponsor!$A$2:$Q$1000,ROW()-3,FALSE),""))</f>
        <v/>
      </c>
      <c r="D15" s="192" t="s">
        <v>7991</v>
      </c>
      <c r="E15" s="165"/>
      <c r="G15" s="191" t="s">
        <v>8233</v>
      </c>
      <c r="H15" s="150"/>
      <c r="J15" s="171" t="s">
        <v>3348</v>
      </c>
      <c r="K15" s="178">
        <f t="shared" si="0"/>
        <v>0</v>
      </c>
      <c r="L15" s="179">
        <f t="shared" si="1"/>
        <v>0</v>
      </c>
      <c r="M15" s="180">
        <f t="shared" si="2"/>
        <v>0</v>
      </c>
      <c r="O15" s="189"/>
    </row>
    <row r="16" spans="1:15" x14ac:dyDescent="0.25">
      <c r="A16" s="171" t="s">
        <v>5</v>
      </c>
      <c r="B16" s="238" t="str">
        <f>IF($B$4="","",IF(VLOOKUP($B$4,Sponsor!$A$2:$Q$1000,ROW()-3,FALSE)&gt;0,VLOOKUP($B$4,Sponsor!$A$2:$Q$1000,ROW()-3,FALSE),""))</f>
        <v/>
      </c>
      <c r="D16" s="171" t="s">
        <v>3362</v>
      </c>
      <c r="E16" s="15"/>
      <c r="G16" s="171" t="s">
        <v>7975</v>
      </c>
      <c r="H16" s="236" t="str">
        <f>IF(E19="","",E19+7)</f>
        <v/>
      </c>
      <c r="J16" s="171" t="s">
        <v>3349</v>
      </c>
      <c r="K16" s="178">
        <f t="shared" si="0"/>
        <v>0</v>
      </c>
      <c r="L16" s="179">
        <f t="shared" si="1"/>
        <v>0</v>
      </c>
      <c r="M16" s="180">
        <f t="shared" si="2"/>
        <v>0</v>
      </c>
      <c r="O16" s="189"/>
    </row>
    <row r="17" spans="1:727" ht="15.75" thickBot="1" x14ac:dyDescent="0.3">
      <c r="A17" s="171" t="s">
        <v>6</v>
      </c>
      <c r="B17" s="238" t="str">
        <f>IF($B$4="","",IF(VLOOKUP($B$4,Sponsor!$A$2:$Q$1000,ROW()-3,FALSE)&gt;0,VLOOKUP($B$4,Sponsor!$A$2:$Q$1000,ROW()-3,FALSE),""))</f>
        <v/>
      </c>
      <c r="D17" s="192" t="s">
        <v>3437</v>
      </c>
      <c r="E17" s="18"/>
      <c r="G17" s="171" t="s">
        <v>7976</v>
      </c>
      <c r="H17" s="236" t="str">
        <f>IF(OR(E3="",E19=""),"",IF(E6="Lighting",E19+90,E19+180))</f>
        <v/>
      </c>
      <c r="J17" s="193" t="s">
        <v>3353</v>
      </c>
      <c r="K17" s="194">
        <f>SUM(K7:K16)</f>
        <v>0</v>
      </c>
      <c r="L17" s="195">
        <f t="shared" ref="L17:M17" si="3">SUM(L7:L16)</f>
        <v>0</v>
      </c>
      <c r="M17" s="196">
        <f t="shared" si="3"/>
        <v>0</v>
      </c>
      <c r="O17" s="189"/>
    </row>
    <row r="18" spans="1:727" x14ac:dyDescent="0.25">
      <c r="A18" s="171" t="s">
        <v>7</v>
      </c>
      <c r="B18" s="238" t="str">
        <f>IF($B$4="","",IF(VLOOKUP($B$4,Sponsor!$A$2:$Q$1000,ROW()-3,FALSE)&gt;0,VLOOKUP($B$4,Sponsor!$A$2:$Q$1000,ROW()-3,FALSE),""))</f>
        <v/>
      </c>
      <c r="D18" s="171" t="s">
        <v>7955</v>
      </c>
      <c r="E18" s="18"/>
      <c r="G18" s="191" t="s">
        <v>7977</v>
      </c>
      <c r="H18" s="36"/>
      <c r="J18" s="189"/>
      <c r="K18" s="189"/>
      <c r="O18" s="189"/>
    </row>
    <row r="19" spans="1:727" x14ac:dyDescent="0.25">
      <c r="A19" s="171" t="s">
        <v>8</v>
      </c>
      <c r="B19" s="238" t="str">
        <f>IF($B$4="","",IF(VLOOKUP($B$4,Sponsor!$A$2:$Q$1000,ROW()-3,FALSE)&gt;0,VLOOKUP($B$4,Sponsor!$A$2:$Q$1000,ROW()-3,FALSE),""))</f>
        <v/>
      </c>
      <c r="D19" s="171" t="s">
        <v>7956</v>
      </c>
      <c r="E19" s="18"/>
      <c r="G19" s="171" t="s">
        <v>7978</v>
      </c>
      <c r="H19" s="36"/>
      <c r="I19" s="189"/>
      <c r="J19" s="189"/>
      <c r="L19" s="189"/>
    </row>
    <row r="20" spans="1:727" ht="15.75" thickBot="1" x14ac:dyDescent="0.3">
      <c r="A20" s="182" t="s">
        <v>9</v>
      </c>
      <c r="B20" s="239" t="str">
        <f>IF($B$4="","",IF(VLOOKUP($B$4,Sponsor!$A$2:$Q$1000,ROW()-3,FALSE)&gt;0,VLOOKUP($B$4,Sponsor!$A$2:$Q$1000,ROW()-3,FALSE),""))</f>
        <v/>
      </c>
      <c r="D20" s="191" t="s">
        <v>7974</v>
      </c>
      <c r="E20" s="36"/>
      <c r="G20" s="171" t="s">
        <v>7979</v>
      </c>
      <c r="H20" s="36"/>
      <c r="I20" s="189"/>
      <c r="J20" s="189"/>
    </row>
    <row r="21" spans="1:727" ht="15.75" thickBot="1" x14ac:dyDescent="0.3">
      <c r="D21" s="193" t="s">
        <v>7981</v>
      </c>
      <c r="E21" s="221"/>
      <c r="G21" s="193" t="s">
        <v>7980</v>
      </c>
      <c r="H21" s="222"/>
      <c r="I21" s="189"/>
      <c r="J21" s="189"/>
      <c r="L21" s="189"/>
    </row>
    <row r="22" spans="1:727" s="197" customFormat="1" x14ac:dyDescent="0.25">
      <c r="C22" s="198"/>
    </row>
    <row r="23" spans="1:727" s="168" customFormat="1" x14ac:dyDescent="0.25">
      <c r="A23" s="199" t="s">
        <v>3316</v>
      </c>
      <c r="B23" s="223" t="s">
        <v>7992</v>
      </c>
      <c r="C23" s="223" t="s">
        <v>7992</v>
      </c>
      <c r="D23" s="223" t="s">
        <v>7992</v>
      </c>
      <c r="E23" s="223" t="s">
        <v>7992</v>
      </c>
      <c r="F23" s="223" t="s">
        <v>7992</v>
      </c>
      <c r="G23" s="223" t="s">
        <v>7992</v>
      </c>
      <c r="H23" s="224" t="s">
        <v>7992</v>
      </c>
      <c r="I23" s="224" t="s">
        <v>7992</v>
      </c>
      <c r="J23" s="224" t="s">
        <v>7992</v>
      </c>
      <c r="K23" s="202" t="s">
        <v>7992</v>
      </c>
      <c r="L23" s="201" t="s">
        <v>7992</v>
      </c>
      <c r="M23" s="201" t="s">
        <v>7992</v>
      </c>
      <c r="N23" s="201" t="s">
        <v>7992</v>
      </c>
      <c r="O23" s="201" t="s">
        <v>7992</v>
      </c>
      <c r="P23" s="201" t="s">
        <v>7992</v>
      </c>
      <c r="Q23" s="201" t="s">
        <v>7992</v>
      </c>
      <c r="R23" s="201" t="s">
        <v>7992</v>
      </c>
      <c r="S23" s="201" t="s">
        <v>7992</v>
      </c>
      <c r="T23" s="201" t="s">
        <v>7992</v>
      </c>
      <c r="U23" s="201" t="s">
        <v>7992</v>
      </c>
      <c r="V23" s="201" t="s">
        <v>7992</v>
      </c>
      <c r="W23" s="201" t="s">
        <v>7992</v>
      </c>
      <c r="X23" s="201" t="s">
        <v>7992</v>
      </c>
      <c r="Y23" s="201" t="s">
        <v>7992</v>
      </c>
      <c r="Z23" s="201" t="s">
        <v>7992</v>
      </c>
      <c r="AA23" s="201" t="s">
        <v>7992</v>
      </c>
      <c r="AB23" s="201" t="s">
        <v>7992</v>
      </c>
      <c r="AC23" s="201" t="s">
        <v>7992</v>
      </c>
      <c r="AD23" s="201" t="s">
        <v>7992</v>
      </c>
      <c r="AE23" s="201" t="s">
        <v>7992</v>
      </c>
      <c r="AF23" s="201" t="s">
        <v>7992</v>
      </c>
      <c r="AG23" s="201" t="s">
        <v>7992</v>
      </c>
      <c r="AH23" s="201" t="s">
        <v>7992</v>
      </c>
      <c r="AI23" s="201" t="s">
        <v>7992</v>
      </c>
      <c r="AJ23" s="201" t="s">
        <v>7992</v>
      </c>
      <c r="AK23" s="201" t="s">
        <v>7992</v>
      </c>
      <c r="AL23" s="201" t="s">
        <v>7992</v>
      </c>
      <c r="AM23" s="201" t="s">
        <v>7992</v>
      </c>
      <c r="AN23" s="201" t="s">
        <v>7992</v>
      </c>
      <c r="AO23" s="201" t="s">
        <v>7992</v>
      </c>
      <c r="AP23" s="201" t="s">
        <v>7992</v>
      </c>
      <c r="AQ23" s="201" t="s">
        <v>7992</v>
      </c>
      <c r="AR23" s="201" t="s">
        <v>7992</v>
      </c>
      <c r="AS23" s="201" t="s">
        <v>7992</v>
      </c>
      <c r="AT23" s="201" t="s">
        <v>7992</v>
      </c>
      <c r="AU23" s="201" t="s">
        <v>7992</v>
      </c>
      <c r="AV23" s="201" t="s">
        <v>7992</v>
      </c>
      <c r="AW23" s="167" t="s">
        <v>7992</v>
      </c>
      <c r="AX23" s="201" t="s">
        <v>7992</v>
      </c>
      <c r="AY23" s="201" t="s">
        <v>7992</v>
      </c>
      <c r="AZ23" s="201" t="s">
        <v>7992</v>
      </c>
      <c r="BA23" s="201" t="s">
        <v>7992</v>
      </c>
      <c r="BB23" s="201" t="s">
        <v>7992</v>
      </c>
      <c r="BC23" s="201" t="s">
        <v>7992</v>
      </c>
      <c r="BD23" s="201" t="s">
        <v>7992</v>
      </c>
      <c r="BE23" s="168" t="s">
        <v>7992</v>
      </c>
      <c r="BF23" s="168" t="s">
        <v>7992</v>
      </c>
      <c r="BG23" s="168" t="s">
        <v>7992</v>
      </c>
      <c r="BH23" s="168" t="s">
        <v>7992</v>
      </c>
      <c r="BI23" s="168" t="s">
        <v>7992</v>
      </c>
      <c r="BJ23" s="168" t="s">
        <v>7992</v>
      </c>
      <c r="BK23" s="168" t="s">
        <v>7992</v>
      </c>
      <c r="BL23" s="168" t="s">
        <v>7992</v>
      </c>
      <c r="BM23" s="168" t="s">
        <v>7992</v>
      </c>
      <c r="BN23" s="168" t="s">
        <v>7992</v>
      </c>
      <c r="BO23" s="168" t="s">
        <v>7992</v>
      </c>
      <c r="BP23" s="168" t="s">
        <v>7992</v>
      </c>
      <c r="BQ23" s="168" t="s">
        <v>7992</v>
      </c>
      <c r="BR23" s="168" t="s">
        <v>7992</v>
      </c>
      <c r="BS23" s="168" t="s">
        <v>7992</v>
      </c>
      <c r="BT23" s="168" t="s">
        <v>7992</v>
      </c>
      <c r="BU23" s="168" t="s">
        <v>7992</v>
      </c>
      <c r="BV23" s="168" t="s">
        <v>7992</v>
      </c>
      <c r="BW23" s="168" t="s">
        <v>7992</v>
      </c>
      <c r="BX23" s="168" t="s">
        <v>7992</v>
      </c>
      <c r="BY23" s="168" t="s">
        <v>7992</v>
      </c>
      <c r="BZ23" s="168" t="s">
        <v>7992</v>
      </c>
      <c r="CA23" s="168" t="s">
        <v>7992</v>
      </c>
      <c r="CB23" s="168" t="s">
        <v>7992</v>
      </c>
      <c r="CC23" s="168" t="s">
        <v>7992</v>
      </c>
      <c r="CD23" s="168" t="s">
        <v>7992</v>
      </c>
      <c r="CE23" s="168" t="s">
        <v>7992</v>
      </c>
      <c r="CF23" s="168" t="s">
        <v>7992</v>
      </c>
      <c r="CG23" s="168" t="s">
        <v>7992</v>
      </c>
      <c r="CH23" s="168" t="s">
        <v>7992</v>
      </c>
      <c r="CI23" s="168" t="s">
        <v>7992</v>
      </c>
      <c r="CJ23" s="168" t="s">
        <v>7992</v>
      </c>
      <c r="CK23" s="168" t="s">
        <v>7992</v>
      </c>
      <c r="CL23" s="168" t="s">
        <v>7992</v>
      </c>
      <c r="CM23" s="168" t="s">
        <v>7992</v>
      </c>
      <c r="CN23" s="168" t="s">
        <v>7992</v>
      </c>
      <c r="CO23" s="168" t="s">
        <v>7992</v>
      </c>
      <c r="CP23" s="168" t="s">
        <v>7992</v>
      </c>
      <c r="CQ23" s="168" t="s">
        <v>7992</v>
      </c>
      <c r="CR23" s="168" t="s">
        <v>7992</v>
      </c>
      <c r="CS23" s="168" t="s">
        <v>7992</v>
      </c>
      <c r="CT23" s="168" t="s">
        <v>7992</v>
      </c>
      <c r="CU23" s="168" t="s">
        <v>7992</v>
      </c>
      <c r="CV23" s="168" t="s">
        <v>7992</v>
      </c>
      <c r="CW23" s="168" t="s">
        <v>7992</v>
      </c>
      <c r="CX23" s="168" t="s">
        <v>7992</v>
      </c>
      <c r="CY23" s="168" t="s">
        <v>7992</v>
      </c>
      <c r="CZ23" s="168" t="s">
        <v>7992</v>
      </c>
      <c r="DA23" s="168" t="s">
        <v>7992</v>
      </c>
      <c r="DB23" s="168" t="s">
        <v>7992</v>
      </c>
      <c r="DC23" s="168" t="s">
        <v>7992</v>
      </c>
      <c r="DD23" s="168" t="s">
        <v>7992</v>
      </c>
      <c r="DE23" s="168" t="s">
        <v>7992</v>
      </c>
      <c r="DF23" s="168" t="s">
        <v>7992</v>
      </c>
      <c r="DG23" s="168" t="s">
        <v>7992</v>
      </c>
      <c r="DH23" s="168" t="s">
        <v>7992</v>
      </c>
      <c r="DI23" s="168" t="s">
        <v>7992</v>
      </c>
      <c r="DJ23" s="168" t="s">
        <v>7992</v>
      </c>
      <c r="DK23" s="168" t="s">
        <v>7992</v>
      </c>
      <c r="DL23" s="168" t="s">
        <v>7992</v>
      </c>
      <c r="DM23" s="168" t="s">
        <v>7992</v>
      </c>
      <c r="DN23" s="168" t="s">
        <v>7992</v>
      </c>
      <c r="DO23" s="168" t="s">
        <v>7992</v>
      </c>
      <c r="DP23" s="168" t="s">
        <v>7992</v>
      </c>
      <c r="DQ23" s="168" t="s">
        <v>7992</v>
      </c>
      <c r="DR23" s="168" t="s">
        <v>7992</v>
      </c>
      <c r="DS23" s="168" t="s">
        <v>7992</v>
      </c>
      <c r="DT23" s="168" t="s">
        <v>7992</v>
      </c>
      <c r="DU23" s="168" t="s">
        <v>7992</v>
      </c>
      <c r="DV23" s="168" t="s">
        <v>7992</v>
      </c>
      <c r="DW23" s="168" t="s">
        <v>7992</v>
      </c>
      <c r="DX23" s="168" t="s">
        <v>7992</v>
      </c>
      <c r="DY23" s="168" t="s">
        <v>7992</v>
      </c>
      <c r="DZ23" s="168" t="s">
        <v>7992</v>
      </c>
      <c r="EA23" s="168" t="s">
        <v>7992</v>
      </c>
      <c r="EB23" s="168" t="s">
        <v>7992</v>
      </c>
      <c r="EC23" s="168" t="s">
        <v>7992</v>
      </c>
      <c r="ED23" s="168" t="s">
        <v>7992</v>
      </c>
      <c r="EE23" s="168" t="s">
        <v>7992</v>
      </c>
      <c r="EF23" s="168" t="s">
        <v>7992</v>
      </c>
      <c r="EG23" s="168" t="s">
        <v>7992</v>
      </c>
      <c r="EH23" s="168" t="s">
        <v>7992</v>
      </c>
      <c r="EI23" s="168" t="s">
        <v>7992</v>
      </c>
      <c r="EJ23" s="168" t="s">
        <v>7992</v>
      </c>
      <c r="EK23" s="168" t="s">
        <v>7992</v>
      </c>
      <c r="EL23" s="168" t="s">
        <v>7992</v>
      </c>
      <c r="EM23" s="168" t="s">
        <v>7992</v>
      </c>
      <c r="EN23" s="168" t="s">
        <v>7992</v>
      </c>
      <c r="EO23" s="168" t="s">
        <v>7992</v>
      </c>
      <c r="EP23" s="168" t="s">
        <v>7992</v>
      </c>
      <c r="EQ23" s="168" t="s">
        <v>7992</v>
      </c>
      <c r="ER23" s="168" t="s">
        <v>7992</v>
      </c>
      <c r="ES23" s="168" t="s">
        <v>7992</v>
      </c>
      <c r="ET23" s="168" t="s">
        <v>7992</v>
      </c>
      <c r="EU23" s="168" t="s">
        <v>7992</v>
      </c>
      <c r="EV23" s="168" t="s">
        <v>7992</v>
      </c>
      <c r="EW23" s="168" t="s">
        <v>7992</v>
      </c>
      <c r="EX23" s="168" t="s">
        <v>7992</v>
      </c>
      <c r="EY23" s="168" t="s">
        <v>7992</v>
      </c>
      <c r="EZ23" s="168" t="s">
        <v>7992</v>
      </c>
      <c r="FA23" s="168" t="s">
        <v>7992</v>
      </c>
      <c r="FB23" s="168" t="s">
        <v>7992</v>
      </c>
      <c r="FC23" s="168" t="s">
        <v>7992</v>
      </c>
      <c r="FD23" s="168" t="s">
        <v>7992</v>
      </c>
      <c r="FE23" s="168" t="s">
        <v>7992</v>
      </c>
      <c r="FF23" s="168" t="s">
        <v>7992</v>
      </c>
      <c r="FG23" s="168" t="s">
        <v>7992</v>
      </c>
      <c r="FH23" s="168" t="s">
        <v>7992</v>
      </c>
      <c r="FI23" s="168" t="s">
        <v>7992</v>
      </c>
      <c r="FJ23" s="168" t="s">
        <v>7992</v>
      </c>
      <c r="FK23" s="168" t="s">
        <v>7992</v>
      </c>
      <c r="FL23" s="168" t="s">
        <v>7992</v>
      </c>
      <c r="FM23" s="168" t="s">
        <v>7992</v>
      </c>
      <c r="FN23" s="168" t="s">
        <v>7992</v>
      </c>
      <c r="FO23" s="168" t="s">
        <v>7992</v>
      </c>
      <c r="FP23" s="168" t="s">
        <v>7992</v>
      </c>
      <c r="FQ23" s="168" t="s">
        <v>7992</v>
      </c>
      <c r="FR23" s="168" t="s">
        <v>7992</v>
      </c>
      <c r="FS23" s="168" t="s">
        <v>7992</v>
      </c>
      <c r="FT23" s="168" t="s">
        <v>7992</v>
      </c>
      <c r="FU23" s="168" t="s">
        <v>7992</v>
      </c>
      <c r="FV23" s="168" t="s">
        <v>7992</v>
      </c>
      <c r="FW23" s="168" t="s">
        <v>7992</v>
      </c>
      <c r="FX23" s="168" t="s">
        <v>7992</v>
      </c>
      <c r="FY23" s="168" t="s">
        <v>7992</v>
      </c>
      <c r="FZ23" s="168" t="s">
        <v>7992</v>
      </c>
      <c r="GA23" s="168" t="s">
        <v>7992</v>
      </c>
      <c r="GB23" s="168" t="s">
        <v>7992</v>
      </c>
      <c r="GC23" s="168" t="s">
        <v>7992</v>
      </c>
      <c r="GD23" s="168" t="s">
        <v>7992</v>
      </c>
      <c r="GE23" s="168" t="s">
        <v>7992</v>
      </c>
      <c r="GF23" s="168" t="s">
        <v>7992</v>
      </c>
      <c r="GG23" s="168" t="s">
        <v>7992</v>
      </c>
      <c r="GH23" s="168" t="s">
        <v>7992</v>
      </c>
      <c r="GI23" s="168" t="s">
        <v>7992</v>
      </c>
      <c r="GJ23" s="168" t="s">
        <v>7992</v>
      </c>
      <c r="GK23" s="168" t="s">
        <v>7992</v>
      </c>
      <c r="GL23" s="168" t="s">
        <v>7992</v>
      </c>
      <c r="GM23" s="168" t="s">
        <v>7992</v>
      </c>
      <c r="GN23" s="168" t="s">
        <v>7992</v>
      </c>
      <c r="GO23" s="168" t="s">
        <v>7992</v>
      </c>
      <c r="GP23" s="168" t="s">
        <v>7992</v>
      </c>
      <c r="GQ23" s="168" t="s">
        <v>7992</v>
      </c>
      <c r="GR23" s="168" t="s">
        <v>7992</v>
      </c>
      <c r="GS23" s="168" t="s">
        <v>7992</v>
      </c>
      <c r="GT23" s="168" t="s">
        <v>7992</v>
      </c>
      <c r="GU23" s="168" t="s">
        <v>7992</v>
      </c>
      <c r="GV23" s="168" t="s">
        <v>7992</v>
      </c>
      <c r="GW23" s="168" t="s">
        <v>7992</v>
      </c>
      <c r="GX23" s="168" t="s">
        <v>7992</v>
      </c>
      <c r="GY23" s="168" t="s">
        <v>7992</v>
      </c>
      <c r="GZ23" s="168" t="s">
        <v>7992</v>
      </c>
      <c r="HA23" s="168" t="s">
        <v>7992</v>
      </c>
      <c r="HB23" s="168" t="s">
        <v>7992</v>
      </c>
      <c r="HC23" s="168" t="s">
        <v>7992</v>
      </c>
      <c r="HD23" s="168" t="s">
        <v>7992</v>
      </c>
      <c r="HE23" s="168" t="s">
        <v>7992</v>
      </c>
      <c r="HF23" s="168" t="s">
        <v>7992</v>
      </c>
      <c r="HG23" s="168" t="s">
        <v>7992</v>
      </c>
      <c r="HH23" s="168" t="s">
        <v>7992</v>
      </c>
      <c r="HI23" s="168" t="s">
        <v>7992</v>
      </c>
      <c r="HJ23" s="168" t="s">
        <v>7992</v>
      </c>
      <c r="HK23" s="168" t="s">
        <v>7992</v>
      </c>
      <c r="HL23" s="168" t="s">
        <v>7992</v>
      </c>
      <c r="HM23" s="168" t="s">
        <v>7992</v>
      </c>
      <c r="HN23" s="168" t="s">
        <v>7992</v>
      </c>
      <c r="HO23" s="168" t="s">
        <v>7992</v>
      </c>
      <c r="HP23" s="168" t="s">
        <v>7992</v>
      </c>
      <c r="HQ23" s="168" t="s">
        <v>7992</v>
      </c>
      <c r="HR23" s="168" t="s">
        <v>7992</v>
      </c>
      <c r="HS23" s="168" t="s">
        <v>7992</v>
      </c>
      <c r="HT23" s="168" t="s">
        <v>7992</v>
      </c>
      <c r="HU23" s="168" t="s">
        <v>7992</v>
      </c>
      <c r="HV23" s="168" t="s">
        <v>7992</v>
      </c>
      <c r="HW23" s="168" t="s">
        <v>7992</v>
      </c>
      <c r="HX23" s="168" t="s">
        <v>7992</v>
      </c>
      <c r="HY23" s="168" t="s">
        <v>7992</v>
      </c>
      <c r="HZ23" s="168" t="s">
        <v>7992</v>
      </c>
      <c r="IA23" s="168" t="s">
        <v>7992</v>
      </c>
      <c r="IB23" s="168" t="s">
        <v>7992</v>
      </c>
      <c r="IC23" s="168" t="s">
        <v>7992</v>
      </c>
      <c r="ID23" s="168" t="s">
        <v>7992</v>
      </c>
      <c r="IE23" s="168" t="s">
        <v>7992</v>
      </c>
      <c r="IF23" s="168" t="s">
        <v>7992</v>
      </c>
      <c r="IG23" s="168" t="s">
        <v>7992</v>
      </c>
      <c r="IH23" s="168" t="s">
        <v>7992</v>
      </c>
      <c r="II23" s="168" t="s">
        <v>7992</v>
      </c>
      <c r="IJ23" s="168" t="s">
        <v>7992</v>
      </c>
      <c r="IK23" s="168" t="s">
        <v>7992</v>
      </c>
      <c r="IL23" s="168" t="s">
        <v>7992</v>
      </c>
      <c r="IM23" s="168" t="s">
        <v>7992</v>
      </c>
      <c r="IN23" s="168" t="s">
        <v>7992</v>
      </c>
      <c r="IO23" s="168" t="s">
        <v>7992</v>
      </c>
      <c r="IP23" s="168" t="s">
        <v>7992</v>
      </c>
      <c r="IQ23" s="168" t="s">
        <v>7992</v>
      </c>
      <c r="IR23" s="168" t="s">
        <v>7992</v>
      </c>
      <c r="IS23" s="168" t="s">
        <v>7992</v>
      </c>
      <c r="IT23" s="168" t="s">
        <v>7992</v>
      </c>
      <c r="IU23" s="168" t="s">
        <v>7992</v>
      </c>
      <c r="IV23" s="168" t="s">
        <v>7992</v>
      </c>
      <c r="IW23" s="168" t="s">
        <v>7992</v>
      </c>
      <c r="IX23" s="168" t="s">
        <v>7992</v>
      </c>
      <c r="IY23" s="168" t="s">
        <v>7992</v>
      </c>
      <c r="IZ23" s="168" t="s">
        <v>7992</v>
      </c>
      <c r="JA23" s="168" t="s">
        <v>7992</v>
      </c>
      <c r="JB23" s="168" t="s">
        <v>7992</v>
      </c>
      <c r="JC23" s="168" t="s">
        <v>7992</v>
      </c>
      <c r="JD23" s="168" t="s">
        <v>7992</v>
      </c>
      <c r="JE23" s="168" t="s">
        <v>7992</v>
      </c>
      <c r="JF23" s="168" t="s">
        <v>7992</v>
      </c>
      <c r="JG23" s="168" t="s">
        <v>7992</v>
      </c>
      <c r="JH23" s="168" t="s">
        <v>7992</v>
      </c>
      <c r="JI23" s="168" t="s">
        <v>7992</v>
      </c>
      <c r="JJ23" s="168" t="s">
        <v>7992</v>
      </c>
      <c r="JK23" s="168" t="s">
        <v>7992</v>
      </c>
      <c r="JL23" s="168" t="s">
        <v>7992</v>
      </c>
      <c r="JM23" s="168" t="s">
        <v>7992</v>
      </c>
      <c r="JN23" s="168" t="s">
        <v>7992</v>
      </c>
      <c r="JO23" s="168" t="s">
        <v>7992</v>
      </c>
      <c r="JP23" s="168" t="s">
        <v>7992</v>
      </c>
      <c r="JQ23" s="168" t="s">
        <v>7992</v>
      </c>
      <c r="JR23" s="168" t="s">
        <v>7992</v>
      </c>
      <c r="JS23" s="168" t="s">
        <v>7992</v>
      </c>
      <c r="JT23" s="168" t="s">
        <v>7992</v>
      </c>
      <c r="JU23" s="168" t="s">
        <v>7992</v>
      </c>
      <c r="JV23" s="168" t="s">
        <v>7992</v>
      </c>
      <c r="JW23" s="168" t="s">
        <v>7992</v>
      </c>
      <c r="JX23" s="168" t="s">
        <v>7992</v>
      </c>
      <c r="JY23" s="168" t="s">
        <v>7992</v>
      </c>
      <c r="JZ23" s="168" t="s">
        <v>7992</v>
      </c>
      <c r="KA23" s="168" t="s">
        <v>7992</v>
      </c>
      <c r="KB23" s="168" t="s">
        <v>7992</v>
      </c>
      <c r="KC23" s="168" t="s">
        <v>7992</v>
      </c>
      <c r="KD23" s="168" t="s">
        <v>7992</v>
      </c>
      <c r="KE23" s="168" t="s">
        <v>7992</v>
      </c>
      <c r="KF23" s="168" t="s">
        <v>7992</v>
      </c>
      <c r="KG23" s="168" t="s">
        <v>7992</v>
      </c>
      <c r="KH23" s="168" t="s">
        <v>7992</v>
      </c>
      <c r="KI23" s="168" t="s">
        <v>7992</v>
      </c>
      <c r="KJ23" s="168" t="s">
        <v>7992</v>
      </c>
      <c r="KK23" s="168" t="s">
        <v>7992</v>
      </c>
      <c r="KL23" s="168" t="s">
        <v>7992</v>
      </c>
      <c r="KM23" s="168" t="s">
        <v>7992</v>
      </c>
      <c r="KN23" s="168" t="s">
        <v>7992</v>
      </c>
      <c r="KO23" s="168" t="s">
        <v>7992</v>
      </c>
      <c r="KP23" s="168" t="s">
        <v>7992</v>
      </c>
      <c r="KQ23" s="168" t="s">
        <v>7992</v>
      </c>
      <c r="KR23" s="168" t="s">
        <v>7992</v>
      </c>
      <c r="KS23" s="168" t="s">
        <v>7992</v>
      </c>
      <c r="KT23" s="168" t="s">
        <v>7992</v>
      </c>
      <c r="KU23" s="168" t="s">
        <v>7992</v>
      </c>
      <c r="KV23" s="168" t="s">
        <v>7992</v>
      </c>
      <c r="KW23" s="168" t="s">
        <v>7992</v>
      </c>
      <c r="KX23" s="168" t="s">
        <v>7992</v>
      </c>
      <c r="KY23" s="168" t="s">
        <v>7992</v>
      </c>
      <c r="KZ23" s="168" t="s">
        <v>7992</v>
      </c>
      <c r="LA23" s="168" t="s">
        <v>7992</v>
      </c>
      <c r="LB23" s="168" t="s">
        <v>7992</v>
      </c>
      <c r="LC23" s="168" t="s">
        <v>7992</v>
      </c>
      <c r="LD23" s="168" t="s">
        <v>7992</v>
      </c>
      <c r="LE23" s="168" t="s">
        <v>7992</v>
      </c>
      <c r="LF23" s="168" t="s">
        <v>7992</v>
      </c>
      <c r="LG23" s="168" t="s">
        <v>7992</v>
      </c>
      <c r="LH23" s="168" t="s">
        <v>7992</v>
      </c>
      <c r="LI23" s="168" t="s">
        <v>7992</v>
      </c>
      <c r="LJ23" s="168" t="s">
        <v>7992</v>
      </c>
      <c r="LK23" s="168" t="s">
        <v>7992</v>
      </c>
      <c r="LL23" s="168" t="s">
        <v>7992</v>
      </c>
      <c r="LM23" s="168" t="s">
        <v>7992</v>
      </c>
      <c r="LN23" s="168" t="s">
        <v>7992</v>
      </c>
      <c r="LO23" s="168" t="s">
        <v>7992</v>
      </c>
      <c r="LP23" s="168" t="s">
        <v>7992</v>
      </c>
      <c r="LQ23" s="168" t="s">
        <v>7992</v>
      </c>
      <c r="LR23" s="168" t="s">
        <v>7992</v>
      </c>
      <c r="LS23" s="168" t="s">
        <v>7992</v>
      </c>
      <c r="LT23" s="168" t="s">
        <v>7992</v>
      </c>
      <c r="LU23" s="168" t="s">
        <v>7992</v>
      </c>
      <c r="LV23" s="168" t="s">
        <v>7992</v>
      </c>
      <c r="LW23" s="168" t="s">
        <v>7992</v>
      </c>
      <c r="LX23" s="168" t="s">
        <v>7992</v>
      </c>
      <c r="LY23" s="168" t="s">
        <v>7992</v>
      </c>
      <c r="LZ23" s="168" t="s">
        <v>7992</v>
      </c>
      <c r="MA23" s="168" t="s">
        <v>7992</v>
      </c>
      <c r="MB23" s="168" t="s">
        <v>7992</v>
      </c>
      <c r="MC23" s="168" t="s">
        <v>7992</v>
      </c>
      <c r="MD23" s="168" t="s">
        <v>7992</v>
      </c>
      <c r="ME23" s="168" t="s">
        <v>7992</v>
      </c>
      <c r="MF23" s="168" t="s">
        <v>7992</v>
      </c>
      <c r="MG23" s="168" t="s">
        <v>7992</v>
      </c>
      <c r="MH23" s="168" t="s">
        <v>7992</v>
      </c>
      <c r="MI23" s="168" t="s">
        <v>7992</v>
      </c>
      <c r="MJ23" s="168" t="s">
        <v>7992</v>
      </c>
      <c r="MK23" s="168" t="s">
        <v>7992</v>
      </c>
      <c r="ML23" s="168" t="s">
        <v>7992</v>
      </c>
      <c r="MM23" s="168" t="s">
        <v>7992</v>
      </c>
      <c r="MN23" s="168" t="s">
        <v>7992</v>
      </c>
      <c r="MO23" s="168" t="s">
        <v>7992</v>
      </c>
      <c r="MP23" s="168" t="s">
        <v>7992</v>
      </c>
      <c r="MQ23" s="168" t="s">
        <v>7992</v>
      </c>
      <c r="MR23" s="168" t="s">
        <v>7992</v>
      </c>
      <c r="MS23" s="168" t="s">
        <v>7992</v>
      </c>
      <c r="MT23" s="168" t="s">
        <v>7992</v>
      </c>
      <c r="MU23" s="168" t="s">
        <v>7992</v>
      </c>
      <c r="MV23" s="168" t="s">
        <v>7992</v>
      </c>
      <c r="MW23" s="168" t="s">
        <v>7992</v>
      </c>
      <c r="MX23" s="168" t="s">
        <v>7992</v>
      </c>
      <c r="MY23" s="168" t="s">
        <v>7992</v>
      </c>
      <c r="MZ23" s="168" t="s">
        <v>7992</v>
      </c>
      <c r="NA23" s="168" t="s">
        <v>7992</v>
      </c>
      <c r="NB23" s="168" t="s">
        <v>7992</v>
      </c>
      <c r="NC23" s="168" t="s">
        <v>7992</v>
      </c>
      <c r="ND23" s="168" t="s">
        <v>7992</v>
      </c>
      <c r="NE23" s="168" t="s">
        <v>7992</v>
      </c>
      <c r="NF23" s="168" t="s">
        <v>7992</v>
      </c>
      <c r="NG23" s="168" t="s">
        <v>7992</v>
      </c>
      <c r="NH23" s="168" t="s">
        <v>7992</v>
      </c>
      <c r="NI23" s="168" t="s">
        <v>7992</v>
      </c>
      <c r="NJ23" s="168" t="s">
        <v>7992</v>
      </c>
      <c r="NK23" s="168" t="s">
        <v>7992</v>
      </c>
      <c r="NL23" s="168" t="s">
        <v>7992</v>
      </c>
      <c r="NM23" s="168" t="s">
        <v>7992</v>
      </c>
      <c r="NN23" s="168" t="s">
        <v>7992</v>
      </c>
      <c r="NO23" s="168" t="s">
        <v>7992</v>
      </c>
      <c r="NP23" s="168" t="s">
        <v>7992</v>
      </c>
      <c r="NQ23" s="168" t="s">
        <v>7992</v>
      </c>
      <c r="NR23" s="168" t="s">
        <v>7992</v>
      </c>
      <c r="NS23" s="168" t="s">
        <v>7992</v>
      </c>
      <c r="NT23" s="168" t="s">
        <v>7992</v>
      </c>
      <c r="NU23" s="168" t="s">
        <v>7992</v>
      </c>
      <c r="NV23" s="168" t="s">
        <v>7992</v>
      </c>
      <c r="NW23" s="168" t="s">
        <v>7992</v>
      </c>
      <c r="NX23" s="168" t="s">
        <v>7992</v>
      </c>
      <c r="NY23" s="168" t="s">
        <v>7992</v>
      </c>
      <c r="NZ23" s="168" t="s">
        <v>7992</v>
      </c>
      <c r="OA23" s="168" t="s">
        <v>7992</v>
      </c>
      <c r="OB23" s="168" t="s">
        <v>7992</v>
      </c>
      <c r="OC23" s="168" t="s">
        <v>7992</v>
      </c>
      <c r="OD23" s="168" t="s">
        <v>7992</v>
      </c>
      <c r="OE23" s="168" t="s">
        <v>7992</v>
      </c>
      <c r="OF23" s="168" t="s">
        <v>7992</v>
      </c>
      <c r="OG23" s="168" t="s">
        <v>7992</v>
      </c>
      <c r="OH23" s="168" t="s">
        <v>7992</v>
      </c>
      <c r="OI23" s="168" t="s">
        <v>7992</v>
      </c>
      <c r="OJ23" s="168" t="s">
        <v>7992</v>
      </c>
      <c r="OK23" s="168" t="s">
        <v>7992</v>
      </c>
      <c r="OL23" s="168" t="s">
        <v>7992</v>
      </c>
      <c r="OM23" s="168" t="s">
        <v>7992</v>
      </c>
      <c r="ON23" s="168" t="s">
        <v>7992</v>
      </c>
      <c r="OO23" s="168" t="s">
        <v>7992</v>
      </c>
      <c r="OP23" s="168" t="s">
        <v>7992</v>
      </c>
      <c r="OQ23" s="168" t="s">
        <v>7992</v>
      </c>
      <c r="OR23" s="168" t="s">
        <v>7992</v>
      </c>
      <c r="OS23" s="168" t="s">
        <v>7992</v>
      </c>
      <c r="OT23" s="168" t="s">
        <v>7992</v>
      </c>
      <c r="OU23" s="168" t="s">
        <v>7992</v>
      </c>
      <c r="OV23" s="168" t="s">
        <v>7992</v>
      </c>
      <c r="OW23" s="168" t="s">
        <v>7992</v>
      </c>
      <c r="OX23" s="168" t="s">
        <v>7992</v>
      </c>
      <c r="OY23" s="168" t="s">
        <v>7992</v>
      </c>
      <c r="OZ23" s="168" t="s">
        <v>7992</v>
      </c>
      <c r="PA23" s="168" t="s">
        <v>7992</v>
      </c>
      <c r="PB23" s="168" t="s">
        <v>7992</v>
      </c>
      <c r="PC23" s="168" t="s">
        <v>7992</v>
      </c>
      <c r="PD23" s="168" t="s">
        <v>7992</v>
      </c>
      <c r="PE23" s="168" t="s">
        <v>7992</v>
      </c>
      <c r="PF23" s="168" t="s">
        <v>7992</v>
      </c>
      <c r="PG23" s="168" t="s">
        <v>7992</v>
      </c>
      <c r="PH23" s="168" t="s">
        <v>7992</v>
      </c>
      <c r="PI23" s="168" t="s">
        <v>7992</v>
      </c>
      <c r="PJ23" s="168" t="s">
        <v>7992</v>
      </c>
      <c r="PK23" s="168" t="s">
        <v>7992</v>
      </c>
      <c r="PL23" s="168" t="s">
        <v>7992</v>
      </c>
      <c r="PM23" s="168" t="s">
        <v>7992</v>
      </c>
      <c r="PN23" s="168" t="s">
        <v>7992</v>
      </c>
      <c r="PO23" s="168" t="s">
        <v>7992</v>
      </c>
      <c r="PP23" s="168" t="s">
        <v>7992</v>
      </c>
      <c r="PQ23" s="168" t="s">
        <v>7992</v>
      </c>
      <c r="PR23" s="168" t="s">
        <v>7992</v>
      </c>
      <c r="PS23" s="168" t="s">
        <v>7992</v>
      </c>
      <c r="PT23" s="168" t="s">
        <v>7992</v>
      </c>
      <c r="PU23" s="168" t="s">
        <v>7992</v>
      </c>
      <c r="PV23" s="168" t="s">
        <v>7992</v>
      </c>
      <c r="PW23" s="168" t="s">
        <v>7992</v>
      </c>
      <c r="PX23" s="168" t="s">
        <v>7992</v>
      </c>
      <c r="PY23" s="168" t="s">
        <v>7992</v>
      </c>
      <c r="PZ23" s="168" t="s">
        <v>7992</v>
      </c>
      <c r="QA23" s="168" t="s">
        <v>7992</v>
      </c>
      <c r="QB23" s="168" t="s">
        <v>7992</v>
      </c>
      <c r="QC23" s="168" t="s">
        <v>7992</v>
      </c>
      <c r="QD23" s="168" t="s">
        <v>7992</v>
      </c>
      <c r="QE23" s="168" t="s">
        <v>7992</v>
      </c>
      <c r="QF23" s="168" t="s">
        <v>7992</v>
      </c>
      <c r="QG23" s="168" t="s">
        <v>7992</v>
      </c>
      <c r="QH23" s="168" t="s">
        <v>7992</v>
      </c>
      <c r="QI23" s="168" t="s">
        <v>7992</v>
      </c>
      <c r="QJ23" s="168" t="s">
        <v>7992</v>
      </c>
      <c r="QK23" s="168" t="s">
        <v>7992</v>
      </c>
      <c r="QL23" s="168" t="s">
        <v>7992</v>
      </c>
      <c r="QM23" s="168" t="s">
        <v>7992</v>
      </c>
      <c r="QN23" s="168" t="s">
        <v>7992</v>
      </c>
      <c r="QO23" s="168" t="s">
        <v>7992</v>
      </c>
      <c r="QP23" s="168" t="s">
        <v>7992</v>
      </c>
      <c r="QQ23" s="168" t="s">
        <v>7992</v>
      </c>
      <c r="QR23" s="168" t="s">
        <v>7992</v>
      </c>
      <c r="QS23" s="168" t="s">
        <v>7992</v>
      </c>
      <c r="QT23" s="168" t="s">
        <v>7992</v>
      </c>
      <c r="QU23" s="168" t="s">
        <v>7992</v>
      </c>
      <c r="QV23" s="168" t="s">
        <v>7992</v>
      </c>
      <c r="QW23" s="168" t="s">
        <v>7992</v>
      </c>
      <c r="QX23" s="168" t="s">
        <v>7992</v>
      </c>
      <c r="QY23" s="168" t="s">
        <v>7992</v>
      </c>
      <c r="QZ23" s="168" t="s">
        <v>7992</v>
      </c>
      <c r="RA23" s="168" t="s">
        <v>7992</v>
      </c>
      <c r="RB23" s="168" t="s">
        <v>7992</v>
      </c>
      <c r="RC23" s="168" t="s">
        <v>7992</v>
      </c>
      <c r="RD23" s="168" t="s">
        <v>7992</v>
      </c>
      <c r="RE23" s="168" t="s">
        <v>7992</v>
      </c>
      <c r="RF23" s="168" t="s">
        <v>7992</v>
      </c>
      <c r="RG23" s="168" t="s">
        <v>7992</v>
      </c>
      <c r="RH23" s="168" t="s">
        <v>7992</v>
      </c>
      <c r="RI23" s="168" t="s">
        <v>7992</v>
      </c>
      <c r="RJ23" s="168" t="s">
        <v>7992</v>
      </c>
      <c r="RK23" s="168" t="s">
        <v>7992</v>
      </c>
      <c r="RL23" s="168" t="s">
        <v>7992</v>
      </c>
      <c r="RM23" s="168" t="s">
        <v>7992</v>
      </c>
      <c r="RN23" s="168" t="s">
        <v>7992</v>
      </c>
      <c r="RO23" s="168" t="s">
        <v>7992</v>
      </c>
      <c r="RP23" s="168" t="s">
        <v>7992</v>
      </c>
      <c r="RQ23" s="168" t="s">
        <v>7992</v>
      </c>
      <c r="RR23" s="168" t="s">
        <v>7992</v>
      </c>
      <c r="RS23" s="168" t="s">
        <v>7992</v>
      </c>
      <c r="RT23" s="168" t="s">
        <v>7992</v>
      </c>
      <c r="RU23" s="168" t="s">
        <v>7992</v>
      </c>
      <c r="RV23" s="168" t="s">
        <v>7992</v>
      </c>
      <c r="RW23" s="168" t="s">
        <v>7992</v>
      </c>
      <c r="RX23" s="168" t="s">
        <v>7992</v>
      </c>
      <c r="RY23" s="168" t="s">
        <v>7992</v>
      </c>
      <c r="RZ23" s="168" t="s">
        <v>7992</v>
      </c>
      <c r="SA23" s="168" t="s">
        <v>7992</v>
      </c>
      <c r="SB23" s="168" t="s">
        <v>7992</v>
      </c>
      <c r="SC23" s="168" t="s">
        <v>7992</v>
      </c>
      <c r="SD23" s="168" t="s">
        <v>7992</v>
      </c>
      <c r="SE23" s="168" t="s">
        <v>7992</v>
      </c>
      <c r="SF23" s="168" t="s">
        <v>7992</v>
      </c>
      <c r="SG23" s="168" t="s">
        <v>7992</v>
      </c>
      <c r="SH23" s="168" t="s">
        <v>7992</v>
      </c>
      <c r="SI23" s="168" t="s">
        <v>7992</v>
      </c>
      <c r="SJ23" s="168" t="s">
        <v>7992</v>
      </c>
      <c r="SK23" s="168" t="s">
        <v>7992</v>
      </c>
      <c r="SL23" s="168" t="s">
        <v>7992</v>
      </c>
      <c r="SM23" s="168" t="s">
        <v>7992</v>
      </c>
      <c r="SN23" s="168" t="s">
        <v>7992</v>
      </c>
      <c r="SO23" s="168" t="s">
        <v>7992</v>
      </c>
      <c r="SP23" s="168" t="s">
        <v>7992</v>
      </c>
      <c r="SQ23" s="168" t="s">
        <v>7992</v>
      </c>
      <c r="SR23" s="168" t="s">
        <v>7992</v>
      </c>
      <c r="SS23" s="168" t="s">
        <v>7992</v>
      </c>
      <c r="ST23" s="168" t="s">
        <v>7992</v>
      </c>
      <c r="SU23" s="168" t="s">
        <v>7992</v>
      </c>
      <c r="SV23" s="168" t="s">
        <v>7992</v>
      </c>
      <c r="SW23" s="168" t="s">
        <v>7992</v>
      </c>
      <c r="SX23" s="168" t="s">
        <v>7992</v>
      </c>
      <c r="SY23" s="168" t="s">
        <v>7992</v>
      </c>
      <c r="SZ23" s="168" t="s">
        <v>7992</v>
      </c>
      <c r="TA23" s="168" t="s">
        <v>7992</v>
      </c>
      <c r="TB23" s="168" t="s">
        <v>7992</v>
      </c>
      <c r="TC23" s="168" t="s">
        <v>7992</v>
      </c>
      <c r="TD23" s="168" t="s">
        <v>7992</v>
      </c>
      <c r="TE23" s="168" t="s">
        <v>7992</v>
      </c>
      <c r="TF23" s="168" t="s">
        <v>7992</v>
      </c>
      <c r="TG23" s="168" t="s">
        <v>7992</v>
      </c>
      <c r="TH23" s="168" t="s">
        <v>7992</v>
      </c>
      <c r="TI23" s="168" t="s">
        <v>7992</v>
      </c>
      <c r="TJ23" s="168" t="s">
        <v>7992</v>
      </c>
      <c r="TK23" s="168" t="s">
        <v>7992</v>
      </c>
      <c r="TL23" s="168" t="s">
        <v>7992</v>
      </c>
      <c r="TM23" s="168" t="s">
        <v>7992</v>
      </c>
      <c r="TN23" s="168" t="s">
        <v>7992</v>
      </c>
      <c r="TO23" s="168" t="s">
        <v>7992</v>
      </c>
      <c r="TP23" s="168" t="s">
        <v>7992</v>
      </c>
      <c r="TQ23" s="168" t="s">
        <v>7992</v>
      </c>
      <c r="TR23" s="168" t="s">
        <v>7992</v>
      </c>
      <c r="TS23" s="168" t="s">
        <v>7992</v>
      </c>
      <c r="TT23" s="168" t="s">
        <v>7992</v>
      </c>
      <c r="TU23" s="168" t="s">
        <v>7992</v>
      </c>
      <c r="TV23" s="168" t="s">
        <v>7992</v>
      </c>
      <c r="TW23" s="168" t="s">
        <v>7992</v>
      </c>
      <c r="TX23" s="168" t="s">
        <v>7992</v>
      </c>
      <c r="TY23" s="168" t="s">
        <v>7992</v>
      </c>
      <c r="TZ23" s="168" t="s">
        <v>7992</v>
      </c>
      <c r="UA23" s="168" t="s">
        <v>7992</v>
      </c>
      <c r="UB23" s="168" t="s">
        <v>7992</v>
      </c>
      <c r="UC23" s="168" t="s">
        <v>7992</v>
      </c>
      <c r="UD23" s="168" t="s">
        <v>7992</v>
      </c>
      <c r="UE23" s="168" t="s">
        <v>7992</v>
      </c>
      <c r="UF23" s="168" t="s">
        <v>7992</v>
      </c>
      <c r="UG23" s="168" t="s">
        <v>7992</v>
      </c>
      <c r="UH23" s="168" t="s">
        <v>7992</v>
      </c>
      <c r="UI23" s="168" t="s">
        <v>7992</v>
      </c>
      <c r="UJ23" s="168" t="s">
        <v>7992</v>
      </c>
      <c r="UK23" s="168" t="s">
        <v>7992</v>
      </c>
      <c r="UL23" s="168" t="s">
        <v>7992</v>
      </c>
      <c r="UM23" s="168" t="s">
        <v>7992</v>
      </c>
      <c r="UN23" s="168" t="s">
        <v>7992</v>
      </c>
      <c r="UO23" s="168" t="s">
        <v>7992</v>
      </c>
      <c r="UP23" s="168" t="s">
        <v>7992</v>
      </c>
      <c r="UQ23" s="168" t="s">
        <v>7992</v>
      </c>
      <c r="UR23" s="168" t="s">
        <v>7992</v>
      </c>
      <c r="US23" s="168" t="s">
        <v>7992</v>
      </c>
      <c r="UT23" s="168" t="s">
        <v>7992</v>
      </c>
      <c r="UU23" s="168" t="s">
        <v>7992</v>
      </c>
      <c r="UV23" s="168" t="s">
        <v>7992</v>
      </c>
      <c r="UW23" s="168" t="s">
        <v>7992</v>
      </c>
      <c r="UX23" s="168" t="s">
        <v>7992</v>
      </c>
      <c r="UY23" s="168" t="s">
        <v>7992</v>
      </c>
      <c r="UZ23" s="168" t="s">
        <v>7992</v>
      </c>
      <c r="VA23" s="168" t="s">
        <v>7992</v>
      </c>
      <c r="VB23" s="168" t="s">
        <v>7992</v>
      </c>
      <c r="VC23" s="168" t="s">
        <v>7992</v>
      </c>
      <c r="VD23" s="168" t="s">
        <v>7992</v>
      </c>
      <c r="VE23" s="168" t="s">
        <v>7992</v>
      </c>
      <c r="VF23" s="168" t="s">
        <v>7992</v>
      </c>
      <c r="VG23" s="168" t="s">
        <v>7992</v>
      </c>
      <c r="VH23" s="168" t="s">
        <v>7992</v>
      </c>
      <c r="VI23" s="168" t="s">
        <v>7992</v>
      </c>
      <c r="VJ23" s="168" t="s">
        <v>7992</v>
      </c>
      <c r="VK23" s="168" t="s">
        <v>7992</v>
      </c>
      <c r="VL23" s="168" t="s">
        <v>7992</v>
      </c>
      <c r="VM23" s="168" t="s">
        <v>7992</v>
      </c>
      <c r="VN23" s="168" t="s">
        <v>7992</v>
      </c>
      <c r="VO23" s="168" t="s">
        <v>7992</v>
      </c>
      <c r="VP23" s="168" t="s">
        <v>7992</v>
      </c>
      <c r="VQ23" s="168" t="s">
        <v>7992</v>
      </c>
      <c r="VR23" s="168" t="s">
        <v>7992</v>
      </c>
      <c r="VS23" s="168" t="s">
        <v>7992</v>
      </c>
      <c r="VT23" s="168" t="s">
        <v>7992</v>
      </c>
      <c r="VU23" s="168" t="s">
        <v>7992</v>
      </c>
      <c r="VV23" s="168" t="s">
        <v>7992</v>
      </c>
      <c r="VW23" s="168" t="s">
        <v>7992</v>
      </c>
      <c r="VX23" s="168" t="s">
        <v>7992</v>
      </c>
      <c r="VY23" s="168" t="s">
        <v>7992</v>
      </c>
      <c r="VZ23" s="168" t="s">
        <v>7992</v>
      </c>
      <c r="WA23" s="168" t="s">
        <v>7992</v>
      </c>
      <c r="WB23" s="168" t="s">
        <v>7992</v>
      </c>
      <c r="WC23" s="168" t="s">
        <v>7992</v>
      </c>
      <c r="WD23" s="168" t="s">
        <v>7992</v>
      </c>
      <c r="WE23" s="168" t="s">
        <v>7992</v>
      </c>
      <c r="WF23" s="168" t="s">
        <v>7992</v>
      </c>
      <c r="WG23" s="168" t="s">
        <v>7992</v>
      </c>
      <c r="WH23" s="168" t="s">
        <v>7992</v>
      </c>
      <c r="WI23" s="168" t="s">
        <v>7992</v>
      </c>
      <c r="WJ23" s="168" t="s">
        <v>7992</v>
      </c>
      <c r="WK23" s="168" t="s">
        <v>7992</v>
      </c>
      <c r="WL23" s="168" t="s">
        <v>7992</v>
      </c>
      <c r="WM23" s="168" t="s">
        <v>7992</v>
      </c>
      <c r="WN23" s="168" t="s">
        <v>7992</v>
      </c>
      <c r="WO23" s="168" t="s">
        <v>7992</v>
      </c>
      <c r="WP23" s="168" t="s">
        <v>7992</v>
      </c>
      <c r="WQ23" s="168" t="s">
        <v>7992</v>
      </c>
      <c r="WR23" s="168" t="s">
        <v>7992</v>
      </c>
      <c r="WS23" s="168" t="s">
        <v>7992</v>
      </c>
      <c r="WT23" s="168" t="s">
        <v>7992</v>
      </c>
      <c r="WU23" s="168" t="s">
        <v>7992</v>
      </c>
      <c r="WV23" s="168" t="s">
        <v>7992</v>
      </c>
      <c r="WW23" s="168" t="s">
        <v>7992</v>
      </c>
      <c r="WX23" s="168" t="s">
        <v>7992</v>
      </c>
      <c r="WY23" s="168" t="s">
        <v>7992</v>
      </c>
      <c r="WZ23" s="168" t="s">
        <v>7992</v>
      </c>
      <c r="XA23" s="168" t="s">
        <v>7992</v>
      </c>
      <c r="XB23" s="168" t="s">
        <v>7992</v>
      </c>
      <c r="XC23" s="168" t="s">
        <v>7992</v>
      </c>
      <c r="XD23" s="168" t="s">
        <v>7992</v>
      </c>
      <c r="XE23" s="168" t="s">
        <v>7992</v>
      </c>
      <c r="XF23" s="168" t="s">
        <v>7992</v>
      </c>
      <c r="XG23" s="168" t="s">
        <v>7992</v>
      </c>
      <c r="XH23" s="168" t="s">
        <v>7992</v>
      </c>
      <c r="XI23" s="168" t="s">
        <v>7992</v>
      </c>
      <c r="XJ23" s="168" t="s">
        <v>7992</v>
      </c>
      <c r="XK23" s="168" t="s">
        <v>7992</v>
      </c>
      <c r="XL23" s="168" t="s">
        <v>7992</v>
      </c>
      <c r="XM23" s="168" t="s">
        <v>7992</v>
      </c>
      <c r="XN23" s="168" t="s">
        <v>7992</v>
      </c>
      <c r="XO23" s="168" t="s">
        <v>7992</v>
      </c>
      <c r="XP23" s="168" t="s">
        <v>7992</v>
      </c>
      <c r="XQ23" s="168" t="s">
        <v>7992</v>
      </c>
      <c r="XR23" s="168" t="s">
        <v>7992</v>
      </c>
      <c r="XS23" s="168" t="s">
        <v>7992</v>
      </c>
      <c r="XT23" s="168" t="s">
        <v>7992</v>
      </c>
      <c r="XU23" s="168" t="s">
        <v>7992</v>
      </c>
      <c r="XV23" s="168" t="s">
        <v>7992</v>
      </c>
      <c r="XW23" s="168" t="s">
        <v>7992</v>
      </c>
      <c r="XX23" s="168" t="s">
        <v>7992</v>
      </c>
      <c r="XY23" s="168" t="s">
        <v>7992</v>
      </c>
      <c r="XZ23" s="168" t="s">
        <v>7992</v>
      </c>
      <c r="YA23" s="168" t="s">
        <v>7992</v>
      </c>
      <c r="YB23" s="168" t="s">
        <v>7992</v>
      </c>
      <c r="YC23" s="168" t="s">
        <v>7992</v>
      </c>
      <c r="YD23" s="168" t="s">
        <v>7992</v>
      </c>
      <c r="YE23" s="168" t="s">
        <v>7992</v>
      </c>
      <c r="YF23" s="168" t="s">
        <v>7992</v>
      </c>
      <c r="YG23" s="168" t="s">
        <v>7992</v>
      </c>
      <c r="YH23" s="168" t="s">
        <v>7992</v>
      </c>
      <c r="YI23" s="168" t="s">
        <v>7992</v>
      </c>
      <c r="YJ23" s="168" t="s">
        <v>7992</v>
      </c>
      <c r="YK23" s="168" t="s">
        <v>7992</v>
      </c>
      <c r="YL23" s="168" t="s">
        <v>7992</v>
      </c>
      <c r="YM23" s="168" t="s">
        <v>7992</v>
      </c>
      <c r="YN23" s="168" t="s">
        <v>7992</v>
      </c>
      <c r="YO23" s="168" t="s">
        <v>7992</v>
      </c>
      <c r="YP23" s="168" t="s">
        <v>7992</v>
      </c>
      <c r="YQ23" s="168" t="s">
        <v>7992</v>
      </c>
      <c r="YR23" s="168" t="s">
        <v>7992</v>
      </c>
      <c r="YS23" s="168" t="s">
        <v>7992</v>
      </c>
      <c r="YT23" s="168" t="s">
        <v>7992</v>
      </c>
      <c r="YU23" s="168" t="s">
        <v>7992</v>
      </c>
      <c r="YV23" s="168" t="s">
        <v>7992</v>
      </c>
      <c r="YW23" s="168" t="s">
        <v>7992</v>
      </c>
      <c r="YX23" s="168" t="s">
        <v>7992</v>
      </c>
      <c r="YY23" s="168" t="s">
        <v>7992</v>
      </c>
      <c r="YZ23" s="168" t="s">
        <v>7992</v>
      </c>
      <c r="ZA23" s="168" t="s">
        <v>7992</v>
      </c>
      <c r="ZB23" s="168" t="s">
        <v>7992</v>
      </c>
      <c r="ZC23" s="168" t="s">
        <v>7992</v>
      </c>
      <c r="ZD23" s="168" t="s">
        <v>7992</v>
      </c>
      <c r="ZE23" s="168" t="s">
        <v>7992</v>
      </c>
      <c r="ZF23" s="168" t="s">
        <v>7992</v>
      </c>
      <c r="ZG23" s="168" t="s">
        <v>7992</v>
      </c>
      <c r="ZH23" s="168" t="s">
        <v>7992</v>
      </c>
      <c r="ZI23" s="168" t="s">
        <v>7992</v>
      </c>
      <c r="ZJ23" s="168" t="s">
        <v>7992</v>
      </c>
      <c r="ZK23" s="168" t="s">
        <v>7992</v>
      </c>
      <c r="ZL23" s="168" t="s">
        <v>7992</v>
      </c>
      <c r="ZM23" s="168" t="s">
        <v>7992</v>
      </c>
      <c r="ZN23" s="168" t="s">
        <v>7992</v>
      </c>
      <c r="ZO23" s="168" t="s">
        <v>7992</v>
      </c>
      <c r="ZP23" s="168" t="s">
        <v>7992</v>
      </c>
      <c r="ZQ23" s="168" t="s">
        <v>7992</v>
      </c>
      <c r="ZR23" s="168" t="s">
        <v>7992</v>
      </c>
      <c r="ZS23" s="168" t="s">
        <v>7992</v>
      </c>
      <c r="ZT23" s="168" t="s">
        <v>7992</v>
      </c>
      <c r="ZU23" s="168" t="s">
        <v>7992</v>
      </c>
      <c r="ZV23" s="168" t="s">
        <v>7992</v>
      </c>
      <c r="ZW23" s="168" t="s">
        <v>7992</v>
      </c>
      <c r="ZX23" s="168" t="s">
        <v>7992</v>
      </c>
      <c r="ZY23" s="168" t="s">
        <v>7992</v>
      </c>
      <c r="ZZ23" s="168" t="s">
        <v>7992</v>
      </c>
      <c r="AAA23" s="168" t="s">
        <v>7992</v>
      </c>
      <c r="AAB23" s="168" t="s">
        <v>7992</v>
      </c>
      <c r="AAC23" s="168" t="s">
        <v>7992</v>
      </c>
      <c r="AAD23" s="168" t="s">
        <v>7992</v>
      </c>
      <c r="AAE23" s="168" t="s">
        <v>7992</v>
      </c>
      <c r="AAF23" s="168" t="s">
        <v>7992</v>
      </c>
      <c r="AAG23" s="168" t="s">
        <v>7992</v>
      </c>
      <c r="AAH23" s="168" t="s">
        <v>7992</v>
      </c>
      <c r="AAI23" s="168" t="s">
        <v>7992</v>
      </c>
      <c r="AAJ23" s="168" t="s">
        <v>7992</v>
      </c>
      <c r="AAK23" s="168" t="s">
        <v>7992</v>
      </c>
      <c r="AAL23" s="168" t="s">
        <v>7992</v>
      </c>
      <c r="AAM23" s="168" t="s">
        <v>7992</v>
      </c>
      <c r="AAN23" s="168" t="s">
        <v>7992</v>
      </c>
      <c r="AAO23" s="168" t="s">
        <v>7992</v>
      </c>
      <c r="AAP23" s="168" t="s">
        <v>7992</v>
      </c>
      <c r="AAQ23" s="168" t="s">
        <v>7992</v>
      </c>
      <c r="AAR23" s="168" t="s">
        <v>7992</v>
      </c>
      <c r="AAS23" s="168" t="s">
        <v>7992</v>
      </c>
      <c r="AAT23" s="168" t="s">
        <v>7992</v>
      </c>
      <c r="AAU23" s="168" t="s">
        <v>7992</v>
      </c>
      <c r="AAV23" s="168" t="s">
        <v>7992</v>
      </c>
      <c r="AAW23" s="168" t="s">
        <v>7992</v>
      </c>
      <c r="AAX23" s="168" t="s">
        <v>7992</v>
      </c>
      <c r="AAY23" s="168" t="s">
        <v>7992</v>
      </c>
    </row>
    <row r="24" spans="1:727" s="206" customFormat="1" x14ac:dyDescent="0.25">
      <c r="A24" s="203" t="s">
        <v>3318</v>
      </c>
      <c r="B24" s="225" t="s">
        <v>7992</v>
      </c>
      <c r="C24" s="225" t="s">
        <v>7992</v>
      </c>
      <c r="D24" s="225" t="s">
        <v>7992</v>
      </c>
      <c r="E24" s="225" t="s">
        <v>7992</v>
      </c>
      <c r="F24" s="225" t="s">
        <v>7992</v>
      </c>
      <c r="G24" s="225" t="s">
        <v>7992</v>
      </c>
      <c r="H24" s="226" t="s">
        <v>7992</v>
      </c>
      <c r="I24" s="226" t="s">
        <v>7992</v>
      </c>
      <c r="J24" s="226" t="s">
        <v>7992</v>
      </c>
      <c r="K24" s="204" t="s">
        <v>7992</v>
      </c>
      <c r="L24" s="204" t="s">
        <v>7992</v>
      </c>
      <c r="M24" s="204" t="s">
        <v>7992</v>
      </c>
      <c r="N24" s="205" t="s">
        <v>7992</v>
      </c>
      <c r="O24" s="205" t="s">
        <v>7992</v>
      </c>
      <c r="P24" s="204" t="s">
        <v>7992</v>
      </c>
      <c r="Q24" s="204" t="s">
        <v>7992</v>
      </c>
      <c r="R24" s="204" t="s">
        <v>7992</v>
      </c>
      <c r="S24" s="204" t="s">
        <v>7992</v>
      </c>
      <c r="T24" s="204" t="s">
        <v>7992</v>
      </c>
      <c r="U24" s="204" t="s">
        <v>7992</v>
      </c>
      <c r="V24" s="204" t="s">
        <v>7992</v>
      </c>
      <c r="W24" s="204" t="s">
        <v>7992</v>
      </c>
      <c r="X24" s="204" t="s">
        <v>7992</v>
      </c>
      <c r="Y24" s="204" t="s">
        <v>7992</v>
      </c>
      <c r="Z24" s="204" t="s">
        <v>7992</v>
      </c>
      <c r="AA24" s="204" t="s">
        <v>7992</v>
      </c>
      <c r="AB24" s="204" t="s">
        <v>7992</v>
      </c>
      <c r="AC24" s="204" t="s">
        <v>7992</v>
      </c>
      <c r="AD24" s="204" t="s">
        <v>7992</v>
      </c>
      <c r="AE24" s="204" t="s">
        <v>7992</v>
      </c>
      <c r="AF24" s="204" t="s">
        <v>7992</v>
      </c>
      <c r="AG24" s="204" t="s">
        <v>7992</v>
      </c>
      <c r="AH24" s="204" t="s">
        <v>7992</v>
      </c>
      <c r="AI24" s="204" t="s">
        <v>7992</v>
      </c>
      <c r="AJ24" s="204" t="s">
        <v>7992</v>
      </c>
      <c r="AK24" s="204" t="s">
        <v>7992</v>
      </c>
      <c r="AL24" s="206" t="s">
        <v>7992</v>
      </c>
      <c r="AM24" s="206" t="s">
        <v>7992</v>
      </c>
      <c r="AN24" s="206" t="s">
        <v>7992</v>
      </c>
      <c r="AO24" s="206" t="s">
        <v>7992</v>
      </c>
      <c r="AP24" s="206" t="s">
        <v>7992</v>
      </c>
      <c r="AQ24" s="206" t="s">
        <v>7992</v>
      </c>
      <c r="AR24" s="206" t="s">
        <v>7992</v>
      </c>
      <c r="AS24" s="206" t="s">
        <v>7992</v>
      </c>
      <c r="AT24" s="206" t="s">
        <v>7992</v>
      </c>
      <c r="AU24" s="206" t="s">
        <v>7992</v>
      </c>
      <c r="AV24" s="206" t="s">
        <v>7992</v>
      </c>
      <c r="AW24" s="167" t="s">
        <v>7992</v>
      </c>
      <c r="AX24" s="206" t="s">
        <v>7992</v>
      </c>
      <c r="AY24" s="206" t="s">
        <v>7992</v>
      </c>
      <c r="AZ24" s="206" t="s">
        <v>7992</v>
      </c>
      <c r="BA24" s="206" t="s">
        <v>7992</v>
      </c>
      <c r="BB24" s="206" t="s">
        <v>7992</v>
      </c>
      <c r="BC24" s="206" t="s">
        <v>7992</v>
      </c>
      <c r="BD24" s="206" t="s">
        <v>7992</v>
      </c>
      <c r="BE24" s="206" t="s">
        <v>7992</v>
      </c>
      <c r="BF24" s="206" t="s">
        <v>7992</v>
      </c>
      <c r="BG24" s="206" t="s">
        <v>7992</v>
      </c>
      <c r="BH24" s="206" t="s">
        <v>7992</v>
      </c>
      <c r="BI24" s="206" t="s">
        <v>7992</v>
      </c>
      <c r="BJ24" s="206" t="s">
        <v>7992</v>
      </c>
      <c r="BK24" s="206" t="s">
        <v>7992</v>
      </c>
      <c r="BL24" s="206" t="s">
        <v>7992</v>
      </c>
      <c r="BM24" s="206" t="s">
        <v>7992</v>
      </c>
      <c r="BN24" s="206" t="s">
        <v>7992</v>
      </c>
      <c r="BO24" s="206" t="s">
        <v>7992</v>
      </c>
      <c r="BP24" s="206" t="s">
        <v>7992</v>
      </c>
      <c r="BQ24" s="206" t="s">
        <v>7992</v>
      </c>
      <c r="BR24" s="206" t="s">
        <v>7992</v>
      </c>
      <c r="BS24" s="206" t="s">
        <v>7992</v>
      </c>
      <c r="BT24" s="206" t="s">
        <v>7992</v>
      </c>
      <c r="BU24" s="206" t="s">
        <v>7992</v>
      </c>
      <c r="BV24" s="206" t="s">
        <v>7992</v>
      </c>
      <c r="BW24" s="206" t="s">
        <v>7992</v>
      </c>
      <c r="BX24" s="206" t="s">
        <v>7992</v>
      </c>
      <c r="BY24" s="206" t="s">
        <v>7992</v>
      </c>
      <c r="BZ24" s="206" t="s">
        <v>7992</v>
      </c>
      <c r="CA24" s="206" t="s">
        <v>7992</v>
      </c>
      <c r="CB24" s="206" t="s">
        <v>7992</v>
      </c>
      <c r="CC24" s="206" t="s">
        <v>7992</v>
      </c>
      <c r="CD24" s="206" t="s">
        <v>7992</v>
      </c>
      <c r="CE24" s="206" t="s">
        <v>7992</v>
      </c>
      <c r="CF24" s="206" t="s">
        <v>7992</v>
      </c>
      <c r="CG24" s="206" t="s">
        <v>7992</v>
      </c>
      <c r="CH24" s="206" t="s">
        <v>7992</v>
      </c>
      <c r="CI24" s="206" t="s">
        <v>7992</v>
      </c>
      <c r="CJ24" s="206" t="s">
        <v>7992</v>
      </c>
      <c r="CK24" s="206" t="s">
        <v>7992</v>
      </c>
      <c r="CL24" s="206" t="s">
        <v>7992</v>
      </c>
      <c r="CM24" s="206" t="s">
        <v>7992</v>
      </c>
      <c r="CN24" s="206" t="s">
        <v>7992</v>
      </c>
      <c r="CO24" s="206" t="s">
        <v>7992</v>
      </c>
      <c r="CP24" s="206" t="s">
        <v>7992</v>
      </c>
      <c r="CQ24" s="206" t="s">
        <v>7992</v>
      </c>
      <c r="CR24" s="206" t="s">
        <v>7992</v>
      </c>
      <c r="CS24" s="206" t="s">
        <v>7992</v>
      </c>
      <c r="CT24" s="206" t="s">
        <v>7992</v>
      </c>
      <c r="CU24" s="206" t="s">
        <v>7992</v>
      </c>
      <c r="CV24" s="206" t="s">
        <v>7992</v>
      </c>
      <c r="CW24" s="206" t="s">
        <v>7992</v>
      </c>
      <c r="CX24" s="206" t="s">
        <v>7992</v>
      </c>
      <c r="CY24" s="206" t="s">
        <v>7992</v>
      </c>
      <c r="CZ24" s="206" t="s">
        <v>7992</v>
      </c>
      <c r="DA24" s="206" t="s">
        <v>7992</v>
      </c>
      <c r="DB24" s="206" t="s">
        <v>7992</v>
      </c>
      <c r="DC24" s="206" t="s">
        <v>7992</v>
      </c>
      <c r="DD24" s="206" t="s">
        <v>7992</v>
      </c>
      <c r="DE24" s="206" t="s">
        <v>7992</v>
      </c>
      <c r="DF24" s="206" t="s">
        <v>7992</v>
      </c>
      <c r="DG24" s="206" t="s">
        <v>7992</v>
      </c>
      <c r="DH24" s="206" t="s">
        <v>7992</v>
      </c>
      <c r="DI24" s="206" t="s">
        <v>7992</v>
      </c>
      <c r="DJ24" s="206" t="s">
        <v>7992</v>
      </c>
      <c r="DK24" s="206" t="s">
        <v>7992</v>
      </c>
      <c r="DL24" s="206" t="s">
        <v>7992</v>
      </c>
      <c r="DM24" s="206" t="s">
        <v>7992</v>
      </c>
      <c r="DN24" s="206" t="s">
        <v>7992</v>
      </c>
      <c r="DO24" s="206" t="s">
        <v>7992</v>
      </c>
      <c r="DP24" s="206" t="s">
        <v>7992</v>
      </c>
      <c r="DQ24" s="206" t="s">
        <v>7992</v>
      </c>
      <c r="DR24" s="206" t="s">
        <v>7992</v>
      </c>
      <c r="DS24" s="206" t="s">
        <v>7992</v>
      </c>
      <c r="DT24" s="206" t="s">
        <v>7992</v>
      </c>
      <c r="DU24" s="206" t="s">
        <v>7992</v>
      </c>
      <c r="DV24" s="206" t="s">
        <v>7992</v>
      </c>
      <c r="DW24" s="206" t="s">
        <v>7992</v>
      </c>
      <c r="DX24" s="206" t="s">
        <v>7992</v>
      </c>
      <c r="DY24" s="206" t="s">
        <v>7992</v>
      </c>
      <c r="DZ24" s="206" t="s">
        <v>7992</v>
      </c>
      <c r="EA24" s="206" t="s">
        <v>7992</v>
      </c>
      <c r="EB24" s="206" t="s">
        <v>7992</v>
      </c>
      <c r="EC24" s="206" t="s">
        <v>7992</v>
      </c>
      <c r="ED24" s="206" t="s">
        <v>7992</v>
      </c>
      <c r="EE24" s="206" t="s">
        <v>7992</v>
      </c>
      <c r="EF24" s="206" t="s">
        <v>7992</v>
      </c>
      <c r="EG24" s="206" t="s">
        <v>7992</v>
      </c>
      <c r="EH24" s="206" t="s">
        <v>7992</v>
      </c>
      <c r="EI24" s="206" t="s">
        <v>7992</v>
      </c>
      <c r="EJ24" s="206" t="s">
        <v>7992</v>
      </c>
      <c r="EK24" s="206" t="s">
        <v>7992</v>
      </c>
      <c r="EL24" s="206" t="s">
        <v>7992</v>
      </c>
      <c r="EM24" s="206" t="s">
        <v>7992</v>
      </c>
      <c r="EN24" s="206" t="s">
        <v>7992</v>
      </c>
      <c r="EO24" s="206" t="s">
        <v>7992</v>
      </c>
      <c r="EP24" s="206" t="s">
        <v>7992</v>
      </c>
      <c r="EQ24" s="206" t="s">
        <v>7992</v>
      </c>
      <c r="ER24" s="206" t="s">
        <v>7992</v>
      </c>
      <c r="ES24" s="206" t="s">
        <v>7992</v>
      </c>
      <c r="ET24" s="206" t="s">
        <v>7992</v>
      </c>
      <c r="EU24" s="206" t="s">
        <v>7992</v>
      </c>
      <c r="EV24" s="206" t="s">
        <v>7992</v>
      </c>
      <c r="EW24" s="206" t="s">
        <v>7992</v>
      </c>
      <c r="EX24" s="206" t="s">
        <v>7992</v>
      </c>
      <c r="EY24" s="206" t="s">
        <v>7992</v>
      </c>
      <c r="EZ24" s="206" t="s">
        <v>7992</v>
      </c>
      <c r="FA24" s="206" t="s">
        <v>7992</v>
      </c>
      <c r="FB24" s="206" t="s">
        <v>7992</v>
      </c>
      <c r="FC24" s="206" t="s">
        <v>7992</v>
      </c>
      <c r="FD24" s="206" t="s">
        <v>7992</v>
      </c>
      <c r="FE24" s="206" t="s">
        <v>7992</v>
      </c>
      <c r="FF24" s="206" t="s">
        <v>7992</v>
      </c>
      <c r="FG24" s="206" t="s">
        <v>7992</v>
      </c>
      <c r="FH24" s="206" t="s">
        <v>7992</v>
      </c>
      <c r="FI24" s="206" t="s">
        <v>7992</v>
      </c>
      <c r="FJ24" s="206" t="s">
        <v>7992</v>
      </c>
      <c r="FK24" s="206" t="s">
        <v>7992</v>
      </c>
      <c r="FL24" s="206" t="s">
        <v>7992</v>
      </c>
      <c r="FM24" s="206" t="s">
        <v>7992</v>
      </c>
      <c r="FN24" s="206" t="s">
        <v>7992</v>
      </c>
      <c r="FO24" s="206" t="s">
        <v>7992</v>
      </c>
      <c r="FP24" s="206" t="s">
        <v>7992</v>
      </c>
      <c r="FQ24" s="206" t="s">
        <v>7992</v>
      </c>
      <c r="FR24" s="206" t="s">
        <v>7992</v>
      </c>
      <c r="FS24" s="206" t="s">
        <v>7992</v>
      </c>
      <c r="FT24" s="206" t="s">
        <v>7992</v>
      </c>
      <c r="FU24" s="206" t="s">
        <v>7992</v>
      </c>
      <c r="FV24" s="206" t="s">
        <v>7992</v>
      </c>
      <c r="FW24" s="206" t="s">
        <v>7992</v>
      </c>
      <c r="FX24" s="206" t="s">
        <v>7992</v>
      </c>
      <c r="FY24" s="206" t="s">
        <v>7992</v>
      </c>
      <c r="FZ24" s="206" t="s">
        <v>7992</v>
      </c>
      <c r="GA24" s="206" t="s">
        <v>7992</v>
      </c>
      <c r="GB24" s="206" t="s">
        <v>7992</v>
      </c>
      <c r="GC24" s="206" t="s">
        <v>7992</v>
      </c>
      <c r="GD24" s="206" t="s">
        <v>7992</v>
      </c>
      <c r="GE24" s="206" t="s">
        <v>7992</v>
      </c>
      <c r="GF24" s="206" t="s">
        <v>7992</v>
      </c>
      <c r="GG24" s="206" t="s">
        <v>7992</v>
      </c>
      <c r="GH24" s="206" t="s">
        <v>7992</v>
      </c>
      <c r="GI24" s="206" t="s">
        <v>7992</v>
      </c>
      <c r="GJ24" s="206" t="s">
        <v>7992</v>
      </c>
      <c r="GK24" s="206" t="s">
        <v>7992</v>
      </c>
      <c r="GL24" s="206" t="s">
        <v>7992</v>
      </c>
      <c r="GM24" s="206" t="s">
        <v>7992</v>
      </c>
      <c r="GN24" s="206" t="s">
        <v>7992</v>
      </c>
      <c r="GO24" s="206" t="s">
        <v>7992</v>
      </c>
      <c r="GP24" s="206" t="s">
        <v>7992</v>
      </c>
      <c r="GQ24" s="206" t="s">
        <v>7992</v>
      </c>
      <c r="GR24" s="206" t="s">
        <v>7992</v>
      </c>
      <c r="GS24" s="206" t="s">
        <v>7992</v>
      </c>
      <c r="GT24" s="206" t="s">
        <v>7992</v>
      </c>
      <c r="GU24" s="206" t="s">
        <v>7992</v>
      </c>
      <c r="GV24" s="206" t="s">
        <v>7992</v>
      </c>
      <c r="GW24" s="206" t="s">
        <v>7992</v>
      </c>
      <c r="GX24" s="206" t="s">
        <v>7992</v>
      </c>
      <c r="GY24" s="206" t="s">
        <v>7992</v>
      </c>
      <c r="GZ24" s="206" t="s">
        <v>7992</v>
      </c>
      <c r="HA24" s="206" t="s">
        <v>7992</v>
      </c>
      <c r="HB24" s="206" t="s">
        <v>7992</v>
      </c>
      <c r="HC24" s="206" t="s">
        <v>7992</v>
      </c>
      <c r="HD24" s="206" t="s">
        <v>7992</v>
      </c>
      <c r="HE24" s="206" t="s">
        <v>7992</v>
      </c>
      <c r="HF24" s="206" t="s">
        <v>7992</v>
      </c>
      <c r="HG24" s="206" t="s">
        <v>7992</v>
      </c>
      <c r="HH24" s="206" t="s">
        <v>7992</v>
      </c>
      <c r="HI24" s="206" t="s">
        <v>7992</v>
      </c>
      <c r="HJ24" s="206" t="s">
        <v>7992</v>
      </c>
      <c r="HK24" s="206" t="s">
        <v>7992</v>
      </c>
      <c r="HL24" s="206" t="s">
        <v>7992</v>
      </c>
      <c r="HM24" s="206" t="s">
        <v>7992</v>
      </c>
      <c r="HN24" s="206" t="s">
        <v>7992</v>
      </c>
      <c r="HO24" s="206" t="s">
        <v>7992</v>
      </c>
      <c r="HP24" s="206" t="s">
        <v>7992</v>
      </c>
      <c r="HQ24" s="206" t="s">
        <v>7992</v>
      </c>
      <c r="HR24" s="206" t="s">
        <v>7992</v>
      </c>
      <c r="HS24" s="206" t="s">
        <v>7992</v>
      </c>
      <c r="HT24" s="206" t="s">
        <v>7992</v>
      </c>
      <c r="HU24" s="206" t="s">
        <v>7992</v>
      </c>
      <c r="HV24" s="206" t="s">
        <v>7992</v>
      </c>
      <c r="HW24" s="206" t="s">
        <v>7992</v>
      </c>
      <c r="HX24" s="206" t="s">
        <v>7992</v>
      </c>
      <c r="HY24" s="206" t="s">
        <v>7992</v>
      </c>
      <c r="HZ24" s="206" t="s">
        <v>7992</v>
      </c>
      <c r="IA24" s="206" t="s">
        <v>7992</v>
      </c>
      <c r="IB24" s="206" t="s">
        <v>7992</v>
      </c>
      <c r="IC24" s="206" t="s">
        <v>7992</v>
      </c>
      <c r="ID24" s="206" t="s">
        <v>7992</v>
      </c>
      <c r="IE24" s="206" t="s">
        <v>7992</v>
      </c>
      <c r="IF24" s="206" t="s">
        <v>7992</v>
      </c>
      <c r="IG24" s="206" t="s">
        <v>7992</v>
      </c>
      <c r="IH24" s="206" t="s">
        <v>7992</v>
      </c>
      <c r="II24" s="206" t="s">
        <v>7992</v>
      </c>
      <c r="IJ24" s="206" t="s">
        <v>7992</v>
      </c>
      <c r="IK24" s="206" t="s">
        <v>7992</v>
      </c>
      <c r="IL24" s="206" t="s">
        <v>7992</v>
      </c>
      <c r="IM24" s="206" t="s">
        <v>7992</v>
      </c>
      <c r="IN24" s="206" t="s">
        <v>7992</v>
      </c>
      <c r="IO24" s="206" t="s">
        <v>7992</v>
      </c>
      <c r="IP24" s="206" t="s">
        <v>7992</v>
      </c>
      <c r="IQ24" s="206" t="s">
        <v>7992</v>
      </c>
      <c r="IR24" s="206" t="s">
        <v>7992</v>
      </c>
      <c r="IS24" s="206" t="s">
        <v>7992</v>
      </c>
      <c r="IT24" s="206" t="s">
        <v>7992</v>
      </c>
      <c r="IU24" s="206" t="s">
        <v>7992</v>
      </c>
      <c r="IV24" s="206" t="s">
        <v>7992</v>
      </c>
      <c r="IW24" s="206" t="s">
        <v>7992</v>
      </c>
      <c r="IX24" s="206" t="s">
        <v>7992</v>
      </c>
      <c r="IY24" s="206" t="s">
        <v>7992</v>
      </c>
      <c r="IZ24" s="206" t="s">
        <v>7992</v>
      </c>
      <c r="JA24" s="206" t="s">
        <v>7992</v>
      </c>
      <c r="JB24" s="206" t="s">
        <v>7992</v>
      </c>
      <c r="JC24" s="206" t="s">
        <v>7992</v>
      </c>
      <c r="JD24" s="206" t="s">
        <v>7992</v>
      </c>
      <c r="JE24" s="206" t="s">
        <v>7992</v>
      </c>
      <c r="JF24" s="206" t="s">
        <v>7992</v>
      </c>
      <c r="JG24" s="206" t="s">
        <v>7992</v>
      </c>
      <c r="JH24" s="206" t="s">
        <v>7992</v>
      </c>
      <c r="JI24" s="206" t="s">
        <v>7992</v>
      </c>
      <c r="JJ24" s="206" t="s">
        <v>7992</v>
      </c>
      <c r="JK24" s="206" t="s">
        <v>7992</v>
      </c>
      <c r="JL24" s="206" t="s">
        <v>7992</v>
      </c>
      <c r="JM24" s="206" t="s">
        <v>7992</v>
      </c>
      <c r="JN24" s="206" t="s">
        <v>7992</v>
      </c>
      <c r="JO24" s="206" t="s">
        <v>7992</v>
      </c>
      <c r="JP24" s="206" t="s">
        <v>7992</v>
      </c>
      <c r="JQ24" s="206" t="s">
        <v>7992</v>
      </c>
      <c r="JR24" s="206" t="s">
        <v>7992</v>
      </c>
      <c r="JS24" s="206" t="s">
        <v>7992</v>
      </c>
      <c r="JT24" s="206" t="s">
        <v>7992</v>
      </c>
      <c r="JU24" s="206" t="s">
        <v>7992</v>
      </c>
      <c r="JV24" s="206" t="s">
        <v>7992</v>
      </c>
      <c r="JW24" s="206" t="s">
        <v>7992</v>
      </c>
      <c r="JX24" s="206" t="s">
        <v>7992</v>
      </c>
      <c r="JY24" s="206" t="s">
        <v>7992</v>
      </c>
      <c r="JZ24" s="206" t="s">
        <v>7992</v>
      </c>
      <c r="KA24" s="206" t="s">
        <v>7992</v>
      </c>
      <c r="KB24" s="206" t="s">
        <v>7992</v>
      </c>
      <c r="KC24" s="206" t="s">
        <v>7992</v>
      </c>
      <c r="KD24" s="206" t="s">
        <v>7992</v>
      </c>
      <c r="KE24" s="206" t="s">
        <v>7992</v>
      </c>
      <c r="KF24" s="206" t="s">
        <v>7992</v>
      </c>
      <c r="KG24" s="206" t="s">
        <v>7992</v>
      </c>
      <c r="KH24" s="206" t="s">
        <v>7992</v>
      </c>
      <c r="KI24" s="206" t="s">
        <v>7992</v>
      </c>
      <c r="KJ24" s="206" t="s">
        <v>7992</v>
      </c>
      <c r="KK24" s="206" t="s">
        <v>7992</v>
      </c>
      <c r="KL24" s="206" t="s">
        <v>7992</v>
      </c>
      <c r="KM24" s="206" t="s">
        <v>7992</v>
      </c>
      <c r="KN24" s="206" t="s">
        <v>7992</v>
      </c>
      <c r="KO24" s="206" t="s">
        <v>7992</v>
      </c>
      <c r="KP24" s="206" t="s">
        <v>7992</v>
      </c>
      <c r="KQ24" s="206" t="s">
        <v>7992</v>
      </c>
      <c r="KR24" s="206" t="s">
        <v>7992</v>
      </c>
      <c r="KS24" s="206" t="s">
        <v>7992</v>
      </c>
      <c r="KT24" s="206" t="s">
        <v>7992</v>
      </c>
      <c r="KU24" s="206" t="s">
        <v>7992</v>
      </c>
      <c r="KV24" s="206" t="s">
        <v>7992</v>
      </c>
      <c r="KW24" s="206" t="s">
        <v>7992</v>
      </c>
      <c r="KX24" s="206" t="s">
        <v>7992</v>
      </c>
      <c r="KY24" s="206" t="s">
        <v>7992</v>
      </c>
      <c r="KZ24" s="206" t="s">
        <v>7992</v>
      </c>
      <c r="LA24" s="206" t="s">
        <v>7992</v>
      </c>
      <c r="LB24" s="206" t="s">
        <v>7992</v>
      </c>
      <c r="LC24" s="206" t="s">
        <v>7992</v>
      </c>
      <c r="LD24" s="206" t="s">
        <v>7992</v>
      </c>
      <c r="LE24" s="206" t="s">
        <v>7992</v>
      </c>
      <c r="LF24" s="206" t="s">
        <v>7992</v>
      </c>
      <c r="LG24" s="206" t="s">
        <v>7992</v>
      </c>
      <c r="LH24" s="206" t="s">
        <v>7992</v>
      </c>
      <c r="LI24" s="206" t="s">
        <v>7992</v>
      </c>
      <c r="LJ24" s="206" t="s">
        <v>7992</v>
      </c>
      <c r="LK24" s="206" t="s">
        <v>7992</v>
      </c>
      <c r="LL24" s="206" t="s">
        <v>7992</v>
      </c>
      <c r="LM24" s="206" t="s">
        <v>7992</v>
      </c>
      <c r="LN24" s="206" t="s">
        <v>7992</v>
      </c>
      <c r="LO24" s="206" t="s">
        <v>7992</v>
      </c>
      <c r="LP24" s="206" t="s">
        <v>7992</v>
      </c>
      <c r="LQ24" s="206" t="s">
        <v>7992</v>
      </c>
      <c r="LR24" s="206" t="s">
        <v>7992</v>
      </c>
      <c r="LS24" s="206" t="s">
        <v>7992</v>
      </c>
      <c r="LT24" s="206" t="s">
        <v>7992</v>
      </c>
      <c r="LU24" s="206" t="s">
        <v>7992</v>
      </c>
      <c r="LV24" s="206" t="s">
        <v>7992</v>
      </c>
      <c r="LW24" s="206" t="s">
        <v>7992</v>
      </c>
      <c r="LX24" s="206" t="s">
        <v>7992</v>
      </c>
      <c r="LY24" s="206" t="s">
        <v>7992</v>
      </c>
      <c r="LZ24" s="206" t="s">
        <v>7992</v>
      </c>
      <c r="MA24" s="206" t="s">
        <v>7992</v>
      </c>
      <c r="MB24" s="206" t="s">
        <v>7992</v>
      </c>
      <c r="MC24" s="206" t="s">
        <v>7992</v>
      </c>
      <c r="MD24" s="206" t="s">
        <v>7992</v>
      </c>
      <c r="ME24" s="206" t="s">
        <v>7992</v>
      </c>
      <c r="MF24" s="206" t="s">
        <v>7992</v>
      </c>
      <c r="MG24" s="206" t="s">
        <v>7992</v>
      </c>
      <c r="MH24" s="206" t="s">
        <v>7992</v>
      </c>
      <c r="MI24" s="206" t="s">
        <v>7992</v>
      </c>
      <c r="MJ24" s="206" t="s">
        <v>7992</v>
      </c>
      <c r="MK24" s="206" t="s">
        <v>7992</v>
      </c>
      <c r="ML24" s="206" t="s">
        <v>7992</v>
      </c>
      <c r="MM24" s="206" t="s">
        <v>7992</v>
      </c>
      <c r="MN24" s="206" t="s">
        <v>7992</v>
      </c>
      <c r="MO24" s="206" t="s">
        <v>7992</v>
      </c>
      <c r="MP24" s="206" t="s">
        <v>7992</v>
      </c>
      <c r="MQ24" s="206" t="s">
        <v>7992</v>
      </c>
      <c r="MR24" s="206" t="s">
        <v>7992</v>
      </c>
      <c r="MS24" s="206" t="s">
        <v>7992</v>
      </c>
      <c r="MT24" s="206" t="s">
        <v>7992</v>
      </c>
      <c r="MU24" s="206" t="s">
        <v>7992</v>
      </c>
      <c r="MV24" s="206" t="s">
        <v>7992</v>
      </c>
      <c r="MW24" s="206" t="s">
        <v>7992</v>
      </c>
      <c r="MX24" s="206" t="s">
        <v>7992</v>
      </c>
      <c r="MY24" s="206" t="s">
        <v>7992</v>
      </c>
      <c r="MZ24" s="206" t="s">
        <v>7992</v>
      </c>
      <c r="NA24" s="206" t="s">
        <v>7992</v>
      </c>
      <c r="NB24" s="206" t="s">
        <v>7992</v>
      </c>
      <c r="NC24" s="206" t="s">
        <v>7992</v>
      </c>
      <c r="ND24" s="206" t="s">
        <v>7992</v>
      </c>
      <c r="NE24" s="206" t="s">
        <v>7992</v>
      </c>
      <c r="NF24" s="206" t="s">
        <v>7992</v>
      </c>
      <c r="NG24" s="206" t="s">
        <v>7992</v>
      </c>
      <c r="NH24" s="206" t="s">
        <v>7992</v>
      </c>
      <c r="NI24" s="206" t="s">
        <v>7992</v>
      </c>
      <c r="NJ24" s="206" t="s">
        <v>7992</v>
      </c>
      <c r="NK24" s="206" t="s">
        <v>7992</v>
      </c>
      <c r="NL24" s="206" t="s">
        <v>7992</v>
      </c>
      <c r="NM24" s="206" t="s">
        <v>7992</v>
      </c>
      <c r="NN24" s="206" t="s">
        <v>7992</v>
      </c>
      <c r="NO24" s="206" t="s">
        <v>7992</v>
      </c>
      <c r="NP24" s="206" t="s">
        <v>7992</v>
      </c>
      <c r="NQ24" s="206" t="s">
        <v>7992</v>
      </c>
      <c r="NR24" s="206" t="s">
        <v>7992</v>
      </c>
      <c r="NS24" s="206" t="s">
        <v>7992</v>
      </c>
      <c r="NT24" s="206" t="s">
        <v>7992</v>
      </c>
      <c r="NU24" s="206" t="s">
        <v>7992</v>
      </c>
      <c r="NV24" s="206" t="s">
        <v>7992</v>
      </c>
      <c r="NW24" s="206" t="s">
        <v>7992</v>
      </c>
      <c r="NX24" s="206" t="s">
        <v>7992</v>
      </c>
      <c r="NY24" s="206" t="s">
        <v>7992</v>
      </c>
      <c r="NZ24" s="206" t="s">
        <v>7992</v>
      </c>
      <c r="OA24" s="206" t="s">
        <v>7992</v>
      </c>
      <c r="OB24" s="206" t="s">
        <v>7992</v>
      </c>
      <c r="OC24" s="206" t="s">
        <v>7992</v>
      </c>
      <c r="OD24" s="206" t="s">
        <v>7992</v>
      </c>
      <c r="OE24" s="206" t="s">
        <v>7992</v>
      </c>
      <c r="OF24" s="206" t="s">
        <v>7992</v>
      </c>
      <c r="OG24" s="206" t="s">
        <v>7992</v>
      </c>
      <c r="OH24" s="206" t="s">
        <v>7992</v>
      </c>
      <c r="OI24" s="206" t="s">
        <v>7992</v>
      </c>
      <c r="OJ24" s="206" t="s">
        <v>7992</v>
      </c>
      <c r="OK24" s="206" t="s">
        <v>7992</v>
      </c>
      <c r="OL24" s="206" t="s">
        <v>7992</v>
      </c>
      <c r="OM24" s="206" t="s">
        <v>7992</v>
      </c>
      <c r="ON24" s="206" t="s">
        <v>7992</v>
      </c>
      <c r="OO24" s="206" t="s">
        <v>7992</v>
      </c>
      <c r="OP24" s="206" t="s">
        <v>7992</v>
      </c>
      <c r="OQ24" s="206" t="s">
        <v>7992</v>
      </c>
      <c r="OR24" s="206" t="s">
        <v>7992</v>
      </c>
      <c r="OS24" s="206" t="s">
        <v>7992</v>
      </c>
      <c r="OT24" s="206" t="s">
        <v>7992</v>
      </c>
      <c r="OU24" s="206" t="s">
        <v>7992</v>
      </c>
      <c r="OV24" s="206" t="s">
        <v>7992</v>
      </c>
      <c r="OW24" s="206" t="s">
        <v>7992</v>
      </c>
      <c r="OX24" s="206" t="s">
        <v>7992</v>
      </c>
      <c r="OY24" s="206" t="s">
        <v>7992</v>
      </c>
      <c r="OZ24" s="206" t="s">
        <v>7992</v>
      </c>
      <c r="PA24" s="206" t="s">
        <v>7992</v>
      </c>
      <c r="PB24" s="206" t="s">
        <v>7992</v>
      </c>
      <c r="PC24" s="206" t="s">
        <v>7992</v>
      </c>
      <c r="PD24" s="206" t="s">
        <v>7992</v>
      </c>
      <c r="PE24" s="206" t="s">
        <v>7992</v>
      </c>
      <c r="PF24" s="206" t="s">
        <v>7992</v>
      </c>
      <c r="PG24" s="206" t="s">
        <v>7992</v>
      </c>
      <c r="PH24" s="206" t="s">
        <v>7992</v>
      </c>
      <c r="PI24" s="206" t="s">
        <v>7992</v>
      </c>
      <c r="PJ24" s="206" t="s">
        <v>7992</v>
      </c>
      <c r="PK24" s="206" t="s">
        <v>7992</v>
      </c>
      <c r="PL24" s="206" t="s">
        <v>7992</v>
      </c>
      <c r="PM24" s="206" t="s">
        <v>7992</v>
      </c>
      <c r="PN24" s="206" t="s">
        <v>7992</v>
      </c>
      <c r="PO24" s="206" t="s">
        <v>7992</v>
      </c>
      <c r="PP24" s="206" t="s">
        <v>7992</v>
      </c>
      <c r="PQ24" s="206" t="s">
        <v>7992</v>
      </c>
      <c r="PR24" s="206" t="s">
        <v>7992</v>
      </c>
      <c r="PS24" s="206" t="s">
        <v>7992</v>
      </c>
      <c r="PT24" s="206" t="s">
        <v>7992</v>
      </c>
      <c r="PU24" s="206" t="s">
        <v>7992</v>
      </c>
      <c r="PV24" s="206" t="s">
        <v>7992</v>
      </c>
      <c r="PW24" s="206" t="s">
        <v>7992</v>
      </c>
      <c r="PX24" s="206" t="s">
        <v>7992</v>
      </c>
      <c r="PY24" s="206" t="s">
        <v>7992</v>
      </c>
      <c r="PZ24" s="206" t="s">
        <v>7992</v>
      </c>
      <c r="QA24" s="206" t="s">
        <v>7992</v>
      </c>
      <c r="QB24" s="206" t="s">
        <v>7992</v>
      </c>
      <c r="QC24" s="206" t="s">
        <v>7992</v>
      </c>
      <c r="QD24" s="206" t="s">
        <v>7992</v>
      </c>
      <c r="QE24" s="206" t="s">
        <v>7992</v>
      </c>
      <c r="QF24" s="206" t="s">
        <v>7992</v>
      </c>
      <c r="QG24" s="206" t="s">
        <v>7992</v>
      </c>
      <c r="QH24" s="206" t="s">
        <v>7992</v>
      </c>
      <c r="QI24" s="206" t="s">
        <v>7992</v>
      </c>
      <c r="QJ24" s="206" t="s">
        <v>7992</v>
      </c>
      <c r="QK24" s="206" t="s">
        <v>7992</v>
      </c>
      <c r="QL24" s="206" t="s">
        <v>7992</v>
      </c>
      <c r="QM24" s="206" t="s">
        <v>7992</v>
      </c>
      <c r="QN24" s="206" t="s">
        <v>7992</v>
      </c>
      <c r="QO24" s="206" t="s">
        <v>7992</v>
      </c>
      <c r="QP24" s="206" t="s">
        <v>7992</v>
      </c>
      <c r="QQ24" s="206" t="s">
        <v>7992</v>
      </c>
      <c r="QR24" s="206" t="s">
        <v>7992</v>
      </c>
      <c r="QS24" s="206" t="s">
        <v>7992</v>
      </c>
      <c r="QT24" s="206" t="s">
        <v>7992</v>
      </c>
      <c r="QU24" s="206" t="s">
        <v>7992</v>
      </c>
      <c r="QV24" s="206" t="s">
        <v>7992</v>
      </c>
      <c r="QW24" s="206" t="s">
        <v>7992</v>
      </c>
      <c r="QX24" s="206" t="s">
        <v>7992</v>
      </c>
      <c r="QY24" s="206" t="s">
        <v>7992</v>
      </c>
      <c r="QZ24" s="206" t="s">
        <v>7992</v>
      </c>
      <c r="RA24" s="206" t="s">
        <v>7992</v>
      </c>
      <c r="RB24" s="206" t="s">
        <v>7992</v>
      </c>
      <c r="RC24" s="206" t="s">
        <v>7992</v>
      </c>
      <c r="RD24" s="206" t="s">
        <v>7992</v>
      </c>
      <c r="RE24" s="206" t="s">
        <v>7992</v>
      </c>
      <c r="RF24" s="206" t="s">
        <v>7992</v>
      </c>
      <c r="RG24" s="206" t="s">
        <v>7992</v>
      </c>
      <c r="RH24" s="206" t="s">
        <v>7992</v>
      </c>
      <c r="RI24" s="206" t="s">
        <v>7992</v>
      </c>
      <c r="RJ24" s="206" t="s">
        <v>7992</v>
      </c>
      <c r="RK24" s="206" t="s">
        <v>7992</v>
      </c>
      <c r="RL24" s="206" t="s">
        <v>7992</v>
      </c>
      <c r="RM24" s="206" t="s">
        <v>7992</v>
      </c>
      <c r="RN24" s="206" t="s">
        <v>7992</v>
      </c>
      <c r="RO24" s="206" t="s">
        <v>7992</v>
      </c>
      <c r="RP24" s="206" t="s">
        <v>7992</v>
      </c>
      <c r="RQ24" s="206" t="s">
        <v>7992</v>
      </c>
      <c r="RR24" s="206" t="s">
        <v>7992</v>
      </c>
      <c r="RS24" s="206" t="s">
        <v>7992</v>
      </c>
      <c r="RT24" s="206" t="s">
        <v>7992</v>
      </c>
      <c r="RU24" s="206" t="s">
        <v>7992</v>
      </c>
      <c r="RV24" s="206" t="s">
        <v>7992</v>
      </c>
      <c r="RW24" s="206" t="s">
        <v>7992</v>
      </c>
      <c r="RX24" s="206" t="s">
        <v>7992</v>
      </c>
      <c r="RY24" s="206" t="s">
        <v>7992</v>
      </c>
      <c r="RZ24" s="206" t="s">
        <v>7992</v>
      </c>
      <c r="SA24" s="206" t="s">
        <v>7992</v>
      </c>
      <c r="SB24" s="206" t="s">
        <v>7992</v>
      </c>
      <c r="SC24" s="206" t="s">
        <v>7992</v>
      </c>
      <c r="SD24" s="206" t="s">
        <v>7992</v>
      </c>
      <c r="SE24" s="206" t="s">
        <v>7992</v>
      </c>
      <c r="SF24" s="206" t="s">
        <v>7992</v>
      </c>
      <c r="SG24" s="206" t="s">
        <v>7992</v>
      </c>
      <c r="SH24" s="206" t="s">
        <v>7992</v>
      </c>
      <c r="SI24" s="206" t="s">
        <v>7992</v>
      </c>
      <c r="SJ24" s="206" t="s">
        <v>7992</v>
      </c>
      <c r="SK24" s="206" t="s">
        <v>7992</v>
      </c>
      <c r="SL24" s="206" t="s">
        <v>7992</v>
      </c>
      <c r="SM24" s="206" t="s">
        <v>7992</v>
      </c>
      <c r="SN24" s="206" t="s">
        <v>7992</v>
      </c>
      <c r="SO24" s="206" t="s">
        <v>7992</v>
      </c>
      <c r="SP24" s="206" t="s">
        <v>7992</v>
      </c>
      <c r="SQ24" s="206" t="s">
        <v>7992</v>
      </c>
      <c r="SR24" s="206" t="s">
        <v>7992</v>
      </c>
      <c r="SS24" s="206" t="s">
        <v>7992</v>
      </c>
      <c r="ST24" s="206" t="s">
        <v>7992</v>
      </c>
      <c r="SU24" s="206" t="s">
        <v>7992</v>
      </c>
      <c r="SV24" s="206" t="s">
        <v>7992</v>
      </c>
      <c r="SW24" s="206" t="s">
        <v>7992</v>
      </c>
      <c r="SX24" s="206" t="s">
        <v>7992</v>
      </c>
      <c r="SY24" s="206" t="s">
        <v>7992</v>
      </c>
      <c r="SZ24" s="206" t="s">
        <v>7992</v>
      </c>
      <c r="TA24" s="206" t="s">
        <v>7992</v>
      </c>
      <c r="TB24" s="206" t="s">
        <v>7992</v>
      </c>
      <c r="TC24" s="206" t="s">
        <v>7992</v>
      </c>
      <c r="TD24" s="206" t="s">
        <v>7992</v>
      </c>
      <c r="TE24" s="206" t="s">
        <v>7992</v>
      </c>
      <c r="TF24" s="206" t="s">
        <v>7992</v>
      </c>
      <c r="TG24" s="206" t="s">
        <v>7992</v>
      </c>
      <c r="TH24" s="206" t="s">
        <v>7992</v>
      </c>
      <c r="TI24" s="206" t="s">
        <v>7992</v>
      </c>
      <c r="TJ24" s="206" t="s">
        <v>7992</v>
      </c>
      <c r="TK24" s="206" t="s">
        <v>7992</v>
      </c>
      <c r="TL24" s="206" t="s">
        <v>7992</v>
      </c>
      <c r="TM24" s="206" t="s">
        <v>7992</v>
      </c>
      <c r="TN24" s="206" t="s">
        <v>7992</v>
      </c>
      <c r="TO24" s="206" t="s">
        <v>7992</v>
      </c>
      <c r="TP24" s="206" t="s">
        <v>7992</v>
      </c>
      <c r="TQ24" s="206" t="s">
        <v>7992</v>
      </c>
      <c r="TR24" s="206" t="s">
        <v>7992</v>
      </c>
      <c r="TS24" s="206" t="s">
        <v>7992</v>
      </c>
      <c r="TT24" s="206" t="s">
        <v>7992</v>
      </c>
      <c r="TU24" s="206" t="s">
        <v>7992</v>
      </c>
      <c r="TV24" s="206" t="s">
        <v>7992</v>
      </c>
      <c r="TW24" s="206" t="s">
        <v>7992</v>
      </c>
      <c r="TX24" s="206" t="s">
        <v>7992</v>
      </c>
      <c r="TY24" s="206" t="s">
        <v>7992</v>
      </c>
      <c r="TZ24" s="206" t="s">
        <v>7992</v>
      </c>
      <c r="UA24" s="206" t="s">
        <v>7992</v>
      </c>
      <c r="UB24" s="206" t="s">
        <v>7992</v>
      </c>
      <c r="UC24" s="206" t="s">
        <v>7992</v>
      </c>
      <c r="UD24" s="206" t="s">
        <v>7992</v>
      </c>
      <c r="UE24" s="206" t="s">
        <v>7992</v>
      </c>
      <c r="UF24" s="206" t="s">
        <v>7992</v>
      </c>
      <c r="UG24" s="206" t="s">
        <v>7992</v>
      </c>
      <c r="UH24" s="206" t="s">
        <v>7992</v>
      </c>
      <c r="UI24" s="206" t="s">
        <v>7992</v>
      </c>
      <c r="UJ24" s="206" t="s">
        <v>7992</v>
      </c>
      <c r="UK24" s="206" t="s">
        <v>7992</v>
      </c>
      <c r="UL24" s="206" t="s">
        <v>7992</v>
      </c>
      <c r="UM24" s="206" t="s">
        <v>7992</v>
      </c>
      <c r="UN24" s="206" t="s">
        <v>7992</v>
      </c>
      <c r="UO24" s="206" t="s">
        <v>7992</v>
      </c>
      <c r="UP24" s="206" t="s">
        <v>7992</v>
      </c>
      <c r="UQ24" s="206" t="s">
        <v>7992</v>
      </c>
      <c r="UR24" s="206" t="s">
        <v>7992</v>
      </c>
      <c r="US24" s="206" t="s">
        <v>7992</v>
      </c>
      <c r="UT24" s="206" t="s">
        <v>7992</v>
      </c>
      <c r="UU24" s="206" t="s">
        <v>7992</v>
      </c>
      <c r="UV24" s="206" t="s">
        <v>7992</v>
      </c>
      <c r="UW24" s="206" t="s">
        <v>7992</v>
      </c>
      <c r="UX24" s="206" t="s">
        <v>7992</v>
      </c>
      <c r="UY24" s="206" t="s">
        <v>7992</v>
      </c>
      <c r="UZ24" s="206" t="s">
        <v>7992</v>
      </c>
      <c r="VA24" s="206" t="s">
        <v>7992</v>
      </c>
      <c r="VB24" s="206" t="s">
        <v>7992</v>
      </c>
      <c r="VC24" s="206" t="s">
        <v>7992</v>
      </c>
      <c r="VD24" s="206" t="s">
        <v>7992</v>
      </c>
      <c r="VE24" s="206" t="s">
        <v>7992</v>
      </c>
      <c r="VF24" s="206" t="s">
        <v>7992</v>
      </c>
      <c r="VG24" s="206" t="s">
        <v>7992</v>
      </c>
      <c r="VH24" s="206" t="s">
        <v>7992</v>
      </c>
      <c r="VI24" s="206" t="s">
        <v>7992</v>
      </c>
      <c r="VJ24" s="206" t="s">
        <v>7992</v>
      </c>
      <c r="VK24" s="206" t="s">
        <v>7992</v>
      </c>
      <c r="VL24" s="206" t="s">
        <v>7992</v>
      </c>
      <c r="VM24" s="206" t="s">
        <v>7992</v>
      </c>
      <c r="VN24" s="206" t="s">
        <v>7992</v>
      </c>
      <c r="VO24" s="206" t="s">
        <v>7992</v>
      </c>
      <c r="VP24" s="206" t="s">
        <v>7992</v>
      </c>
      <c r="VQ24" s="206" t="s">
        <v>7992</v>
      </c>
      <c r="VR24" s="206" t="s">
        <v>7992</v>
      </c>
      <c r="VS24" s="206" t="s">
        <v>7992</v>
      </c>
      <c r="VT24" s="206" t="s">
        <v>7992</v>
      </c>
      <c r="VU24" s="206" t="s">
        <v>7992</v>
      </c>
      <c r="VV24" s="206" t="s">
        <v>7992</v>
      </c>
      <c r="VW24" s="206" t="s">
        <v>7992</v>
      </c>
      <c r="VX24" s="206" t="s">
        <v>7992</v>
      </c>
      <c r="VY24" s="206" t="s">
        <v>7992</v>
      </c>
      <c r="VZ24" s="206" t="s">
        <v>7992</v>
      </c>
      <c r="WA24" s="206" t="s">
        <v>7992</v>
      </c>
      <c r="WB24" s="206" t="s">
        <v>7992</v>
      </c>
      <c r="WC24" s="206" t="s">
        <v>7992</v>
      </c>
      <c r="WD24" s="206" t="s">
        <v>7992</v>
      </c>
      <c r="WE24" s="206" t="s">
        <v>7992</v>
      </c>
      <c r="WF24" s="206" t="s">
        <v>7992</v>
      </c>
      <c r="WG24" s="206" t="s">
        <v>7992</v>
      </c>
      <c r="WH24" s="206" t="s">
        <v>7992</v>
      </c>
      <c r="WI24" s="206" t="s">
        <v>7992</v>
      </c>
      <c r="WJ24" s="206" t="s">
        <v>7992</v>
      </c>
      <c r="WK24" s="206" t="s">
        <v>7992</v>
      </c>
      <c r="WL24" s="206" t="s">
        <v>7992</v>
      </c>
      <c r="WM24" s="206" t="s">
        <v>7992</v>
      </c>
      <c r="WN24" s="206" t="s">
        <v>7992</v>
      </c>
      <c r="WO24" s="206" t="s">
        <v>7992</v>
      </c>
      <c r="WP24" s="206" t="s">
        <v>7992</v>
      </c>
      <c r="WQ24" s="206" t="s">
        <v>7992</v>
      </c>
      <c r="WR24" s="206" t="s">
        <v>7992</v>
      </c>
      <c r="WS24" s="206" t="s">
        <v>7992</v>
      </c>
      <c r="WT24" s="206" t="s">
        <v>7992</v>
      </c>
      <c r="WU24" s="206" t="s">
        <v>7992</v>
      </c>
      <c r="WV24" s="206" t="s">
        <v>7992</v>
      </c>
      <c r="WW24" s="206" t="s">
        <v>7992</v>
      </c>
      <c r="WX24" s="206" t="s">
        <v>7992</v>
      </c>
      <c r="WY24" s="206" t="s">
        <v>7992</v>
      </c>
      <c r="WZ24" s="206" t="s">
        <v>7992</v>
      </c>
      <c r="XA24" s="206" t="s">
        <v>7992</v>
      </c>
      <c r="XB24" s="206" t="s">
        <v>7992</v>
      </c>
      <c r="XC24" s="206" t="s">
        <v>7992</v>
      </c>
      <c r="XD24" s="206" t="s">
        <v>7992</v>
      </c>
      <c r="XE24" s="206" t="s">
        <v>7992</v>
      </c>
      <c r="XF24" s="206" t="s">
        <v>7992</v>
      </c>
      <c r="XG24" s="206" t="s">
        <v>7992</v>
      </c>
      <c r="XH24" s="206" t="s">
        <v>7992</v>
      </c>
      <c r="XI24" s="206" t="s">
        <v>7992</v>
      </c>
      <c r="XJ24" s="206" t="s">
        <v>7992</v>
      </c>
      <c r="XK24" s="206" t="s">
        <v>7992</v>
      </c>
      <c r="XL24" s="206" t="s">
        <v>7992</v>
      </c>
      <c r="XM24" s="206" t="s">
        <v>7992</v>
      </c>
      <c r="XN24" s="206" t="s">
        <v>7992</v>
      </c>
      <c r="XO24" s="206" t="s">
        <v>7992</v>
      </c>
      <c r="XP24" s="206" t="s">
        <v>7992</v>
      </c>
      <c r="XQ24" s="206" t="s">
        <v>7992</v>
      </c>
      <c r="XR24" s="206" t="s">
        <v>7992</v>
      </c>
      <c r="XS24" s="206" t="s">
        <v>7992</v>
      </c>
      <c r="XT24" s="206" t="s">
        <v>7992</v>
      </c>
      <c r="XU24" s="206" t="s">
        <v>7992</v>
      </c>
      <c r="XV24" s="206" t="s">
        <v>7992</v>
      </c>
      <c r="XW24" s="206" t="s">
        <v>7992</v>
      </c>
      <c r="XX24" s="206" t="s">
        <v>7992</v>
      </c>
      <c r="XY24" s="206" t="s">
        <v>7992</v>
      </c>
      <c r="XZ24" s="206" t="s">
        <v>7992</v>
      </c>
      <c r="YA24" s="206" t="s">
        <v>7992</v>
      </c>
      <c r="YB24" s="206" t="s">
        <v>7992</v>
      </c>
      <c r="YC24" s="206" t="s">
        <v>7992</v>
      </c>
      <c r="YD24" s="206" t="s">
        <v>7992</v>
      </c>
      <c r="YE24" s="206" t="s">
        <v>7992</v>
      </c>
      <c r="YF24" s="206" t="s">
        <v>7992</v>
      </c>
      <c r="YG24" s="206" t="s">
        <v>7992</v>
      </c>
      <c r="YH24" s="206" t="s">
        <v>7992</v>
      </c>
      <c r="YI24" s="206" t="s">
        <v>7992</v>
      </c>
      <c r="YJ24" s="206" t="s">
        <v>7992</v>
      </c>
      <c r="YK24" s="206" t="s">
        <v>7992</v>
      </c>
      <c r="YL24" s="206" t="s">
        <v>7992</v>
      </c>
      <c r="YM24" s="206" t="s">
        <v>7992</v>
      </c>
      <c r="YN24" s="206" t="s">
        <v>7992</v>
      </c>
      <c r="YO24" s="206" t="s">
        <v>7992</v>
      </c>
      <c r="YP24" s="206" t="s">
        <v>7992</v>
      </c>
      <c r="YQ24" s="206" t="s">
        <v>7992</v>
      </c>
      <c r="YR24" s="206" t="s">
        <v>7992</v>
      </c>
      <c r="YS24" s="206" t="s">
        <v>7992</v>
      </c>
      <c r="YT24" s="206" t="s">
        <v>7992</v>
      </c>
      <c r="YU24" s="206" t="s">
        <v>7992</v>
      </c>
      <c r="YV24" s="206" t="s">
        <v>7992</v>
      </c>
      <c r="YW24" s="206" t="s">
        <v>7992</v>
      </c>
      <c r="YX24" s="206" t="s">
        <v>7992</v>
      </c>
      <c r="YY24" s="206" t="s">
        <v>7992</v>
      </c>
      <c r="YZ24" s="206" t="s">
        <v>7992</v>
      </c>
      <c r="ZA24" s="206" t="s">
        <v>7992</v>
      </c>
      <c r="ZB24" s="206" t="s">
        <v>7992</v>
      </c>
      <c r="ZC24" s="206" t="s">
        <v>7992</v>
      </c>
      <c r="ZD24" s="206" t="s">
        <v>7992</v>
      </c>
      <c r="ZE24" s="206" t="s">
        <v>7992</v>
      </c>
      <c r="ZF24" s="206" t="s">
        <v>7992</v>
      </c>
      <c r="ZG24" s="206" t="s">
        <v>7992</v>
      </c>
      <c r="ZH24" s="206" t="s">
        <v>7992</v>
      </c>
      <c r="ZI24" s="206" t="s">
        <v>7992</v>
      </c>
      <c r="ZJ24" s="206" t="s">
        <v>7992</v>
      </c>
      <c r="ZK24" s="206" t="s">
        <v>7992</v>
      </c>
      <c r="ZL24" s="206" t="s">
        <v>7992</v>
      </c>
      <c r="ZM24" s="206" t="s">
        <v>7992</v>
      </c>
      <c r="ZN24" s="206" t="s">
        <v>7992</v>
      </c>
      <c r="ZO24" s="206" t="s">
        <v>7992</v>
      </c>
      <c r="ZP24" s="206" t="s">
        <v>7992</v>
      </c>
      <c r="ZQ24" s="206" t="s">
        <v>7992</v>
      </c>
      <c r="ZR24" s="206" t="s">
        <v>7992</v>
      </c>
      <c r="ZS24" s="206" t="s">
        <v>7992</v>
      </c>
      <c r="ZT24" s="206" t="s">
        <v>7992</v>
      </c>
      <c r="ZU24" s="206" t="s">
        <v>7992</v>
      </c>
      <c r="ZV24" s="206" t="s">
        <v>7992</v>
      </c>
      <c r="ZW24" s="206" t="s">
        <v>7992</v>
      </c>
      <c r="ZX24" s="206" t="s">
        <v>7992</v>
      </c>
      <c r="ZY24" s="206" t="s">
        <v>7992</v>
      </c>
      <c r="ZZ24" s="206" t="s">
        <v>7992</v>
      </c>
      <c r="AAA24" s="206" t="s">
        <v>7992</v>
      </c>
      <c r="AAB24" s="206" t="s">
        <v>7992</v>
      </c>
      <c r="AAC24" s="206" t="s">
        <v>7992</v>
      </c>
      <c r="AAD24" s="206" t="s">
        <v>7992</v>
      </c>
      <c r="AAE24" s="206" t="s">
        <v>7992</v>
      </c>
      <c r="AAF24" s="206" t="s">
        <v>7992</v>
      </c>
      <c r="AAG24" s="206" t="s">
        <v>7992</v>
      </c>
      <c r="AAH24" s="206" t="s">
        <v>7992</v>
      </c>
      <c r="AAI24" s="206" t="s">
        <v>7992</v>
      </c>
      <c r="AAJ24" s="206" t="s">
        <v>7992</v>
      </c>
      <c r="AAK24" s="206" t="s">
        <v>7992</v>
      </c>
      <c r="AAL24" s="206" t="s">
        <v>7992</v>
      </c>
      <c r="AAM24" s="206" t="s">
        <v>7992</v>
      </c>
      <c r="AAN24" s="206" t="s">
        <v>7992</v>
      </c>
      <c r="AAO24" s="206" t="s">
        <v>7992</v>
      </c>
      <c r="AAP24" s="206" t="s">
        <v>7992</v>
      </c>
      <c r="AAQ24" s="206" t="s">
        <v>7992</v>
      </c>
      <c r="AAR24" s="206" t="s">
        <v>7992</v>
      </c>
      <c r="AAS24" s="206" t="s">
        <v>7992</v>
      </c>
      <c r="AAT24" s="206" t="s">
        <v>7992</v>
      </c>
      <c r="AAU24" s="206" t="s">
        <v>7992</v>
      </c>
      <c r="AAV24" s="206" t="s">
        <v>7992</v>
      </c>
      <c r="AAW24" s="206" t="s">
        <v>7992</v>
      </c>
      <c r="AAX24" s="206" t="s">
        <v>7992</v>
      </c>
      <c r="AAY24" s="206" t="s">
        <v>7992</v>
      </c>
    </row>
    <row r="25" spans="1:727" s="206" customFormat="1" x14ac:dyDescent="0.25">
      <c r="A25" s="203" t="s">
        <v>3319</v>
      </c>
      <c r="B25" s="225" t="s">
        <v>7992</v>
      </c>
      <c r="C25" s="225" t="s">
        <v>7992</v>
      </c>
      <c r="D25" s="225" t="s">
        <v>7992</v>
      </c>
      <c r="E25" s="225" t="s">
        <v>7992</v>
      </c>
      <c r="F25" s="225" t="s">
        <v>7992</v>
      </c>
      <c r="G25" s="225" t="s">
        <v>7992</v>
      </c>
      <c r="H25" s="226" t="s">
        <v>7992</v>
      </c>
      <c r="I25" s="226" t="s">
        <v>7992</v>
      </c>
      <c r="J25" s="226" t="s">
        <v>7992</v>
      </c>
      <c r="K25" s="204" t="s">
        <v>7992</v>
      </c>
      <c r="L25" s="204" t="s">
        <v>7992</v>
      </c>
      <c r="M25" s="204" t="s">
        <v>7992</v>
      </c>
      <c r="N25" s="205" t="s">
        <v>7992</v>
      </c>
      <c r="O25" s="205" t="s">
        <v>7992</v>
      </c>
      <c r="P25" s="204" t="s">
        <v>7992</v>
      </c>
      <c r="Q25" s="204" t="s">
        <v>7992</v>
      </c>
      <c r="R25" s="204" t="s">
        <v>7992</v>
      </c>
      <c r="S25" s="204" t="s">
        <v>7992</v>
      </c>
      <c r="T25" s="204" t="s">
        <v>7992</v>
      </c>
      <c r="U25" s="204" t="s">
        <v>7992</v>
      </c>
      <c r="V25" s="204" t="s">
        <v>7992</v>
      </c>
      <c r="W25" s="204" t="s">
        <v>7992</v>
      </c>
      <c r="X25" s="204" t="s">
        <v>7992</v>
      </c>
      <c r="Y25" s="204" t="s">
        <v>7992</v>
      </c>
      <c r="Z25" s="204" t="s">
        <v>7992</v>
      </c>
      <c r="AA25" s="204" t="s">
        <v>7992</v>
      </c>
      <c r="AB25" s="204" t="s">
        <v>7992</v>
      </c>
      <c r="AC25" s="204" t="s">
        <v>7992</v>
      </c>
      <c r="AD25" s="204" t="s">
        <v>7992</v>
      </c>
      <c r="AE25" s="204" t="s">
        <v>7992</v>
      </c>
      <c r="AF25" s="204" t="s">
        <v>7992</v>
      </c>
      <c r="AG25" s="204" t="s">
        <v>7992</v>
      </c>
      <c r="AH25" s="204" t="s">
        <v>7992</v>
      </c>
      <c r="AI25" s="204" t="s">
        <v>7992</v>
      </c>
      <c r="AJ25" s="204" t="s">
        <v>7992</v>
      </c>
      <c r="AK25" s="204" t="s">
        <v>7992</v>
      </c>
      <c r="AL25" s="206" t="s">
        <v>7992</v>
      </c>
      <c r="AM25" s="206" t="s">
        <v>7992</v>
      </c>
      <c r="AN25" s="206" t="s">
        <v>7992</v>
      </c>
      <c r="AO25" s="206" t="s">
        <v>7992</v>
      </c>
      <c r="AP25" s="206" t="s">
        <v>7992</v>
      </c>
      <c r="AQ25" s="206" t="s">
        <v>7992</v>
      </c>
      <c r="AR25" s="206" t="s">
        <v>7992</v>
      </c>
      <c r="AS25" s="206" t="s">
        <v>7992</v>
      </c>
      <c r="AT25" s="206" t="s">
        <v>7992</v>
      </c>
      <c r="AU25" s="206" t="s">
        <v>7992</v>
      </c>
      <c r="AV25" s="206" t="s">
        <v>7992</v>
      </c>
      <c r="AW25" s="167" t="s">
        <v>7992</v>
      </c>
      <c r="AX25" s="206" t="s">
        <v>7992</v>
      </c>
      <c r="AY25" s="206" t="s">
        <v>7992</v>
      </c>
      <c r="AZ25" s="206" t="s">
        <v>7992</v>
      </c>
      <c r="BA25" s="206" t="s">
        <v>7992</v>
      </c>
      <c r="BB25" s="206" t="s">
        <v>7992</v>
      </c>
      <c r="BC25" s="206" t="s">
        <v>7992</v>
      </c>
      <c r="BD25" s="206" t="s">
        <v>7992</v>
      </c>
      <c r="BE25" s="206" t="s">
        <v>7992</v>
      </c>
      <c r="BF25" s="206" t="s">
        <v>7992</v>
      </c>
      <c r="BG25" s="206" t="s">
        <v>7992</v>
      </c>
      <c r="BH25" s="206" t="s">
        <v>7992</v>
      </c>
      <c r="BI25" s="206" t="s">
        <v>7992</v>
      </c>
      <c r="BJ25" s="206" t="s">
        <v>7992</v>
      </c>
      <c r="BK25" s="206" t="s">
        <v>7992</v>
      </c>
      <c r="BL25" s="206" t="s">
        <v>7992</v>
      </c>
      <c r="BM25" s="206" t="s">
        <v>7992</v>
      </c>
      <c r="BN25" s="206" t="s">
        <v>7992</v>
      </c>
      <c r="BO25" s="206" t="s">
        <v>7992</v>
      </c>
      <c r="BP25" s="206" t="s">
        <v>7992</v>
      </c>
      <c r="BQ25" s="206" t="s">
        <v>7992</v>
      </c>
      <c r="BR25" s="206" t="s">
        <v>7992</v>
      </c>
      <c r="BS25" s="206" t="s">
        <v>7992</v>
      </c>
      <c r="BT25" s="206" t="s">
        <v>7992</v>
      </c>
      <c r="BU25" s="206" t="s">
        <v>7992</v>
      </c>
      <c r="BV25" s="206" t="s">
        <v>7992</v>
      </c>
      <c r="BW25" s="206" t="s">
        <v>7992</v>
      </c>
      <c r="BX25" s="206" t="s">
        <v>7992</v>
      </c>
      <c r="BY25" s="206" t="s">
        <v>7992</v>
      </c>
      <c r="BZ25" s="206" t="s">
        <v>7992</v>
      </c>
      <c r="CA25" s="206" t="s">
        <v>7992</v>
      </c>
      <c r="CB25" s="206" t="s">
        <v>7992</v>
      </c>
      <c r="CC25" s="206" t="s">
        <v>7992</v>
      </c>
      <c r="CD25" s="206" t="s">
        <v>7992</v>
      </c>
      <c r="CE25" s="206" t="s">
        <v>7992</v>
      </c>
      <c r="CF25" s="206" t="s">
        <v>7992</v>
      </c>
      <c r="CG25" s="206" t="s">
        <v>7992</v>
      </c>
      <c r="CH25" s="206" t="s">
        <v>7992</v>
      </c>
      <c r="CI25" s="206" t="s">
        <v>7992</v>
      </c>
      <c r="CJ25" s="206" t="s">
        <v>7992</v>
      </c>
      <c r="CK25" s="206" t="s">
        <v>7992</v>
      </c>
      <c r="CL25" s="206" t="s">
        <v>7992</v>
      </c>
      <c r="CM25" s="206" t="s">
        <v>7992</v>
      </c>
      <c r="CN25" s="206" t="s">
        <v>7992</v>
      </c>
      <c r="CO25" s="206" t="s">
        <v>7992</v>
      </c>
      <c r="CP25" s="206" t="s">
        <v>7992</v>
      </c>
      <c r="CQ25" s="206" t="s">
        <v>7992</v>
      </c>
      <c r="CR25" s="206" t="s">
        <v>7992</v>
      </c>
      <c r="CS25" s="206" t="s">
        <v>7992</v>
      </c>
      <c r="CT25" s="206" t="s">
        <v>7992</v>
      </c>
      <c r="CU25" s="206" t="s">
        <v>7992</v>
      </c>
      <c r="CV25" s="206" t="s">
        <v>7992</v>
      </c>
      <c r="CW25" s="206" t="s">
        <v>7992</v>
      </c>
      <c r="CX25" s="206" t="s">
        <v>7992</v>
      </c>
      <c r="CY25" s="206" t="s">
        <v>7992</v>
      </c>
      <c r="CZ25" s="206" t="s">
        <v>7992</v>
      </c>
      <c r="DA25" s="206" t="s">
        <v>7992</v>
      </c>
      <c r="DB25" s="206" t="s">
        <v>7992</v>
      </c>
      <c r="DC25" s="206" t="s">
        <v>7992</v>
      </c>
      <c r="DD25" s="206" t="s">
        <v>7992</v>
      </c>
      <c r="DE25" s="206" t="s">
        <v>7992</v>
      </c>
      <c r="DF25" s="206" t="s">
        <v>7992</v>
      </c>
      <c r="DG25" s="206" t="s">
        <v>7992</v>
      </c>
      <c r="DH25" s="206" t="s">
        <v>7992</v>
      </c>
      <c r="DI25" s="206" t="s">
        <v>7992</v>
      </c>
      <c r="DJ25" s="206" t="s">
        <v>7992</v>
      </c>
      <c r="DK25" s="206" t="s">
        <v>7992</v>
      </c>
      <c r="DL25" s="206" t="s">
        <v>7992</v>
      </c>
      <c r="DM25" s="206" t="s">
        <v>7992</v>
      </c>
      <c r="DN25" s="206" t="s">
        <v>7992</v>
      </c>
      <c r="DO25" s="206" t="s">
        <v>7992</v>
      </c>
      <c r="DP25" s="206" t="s">
        <v>7992</v>
      </c>
      <c r="DQ25" s="206" t="s">
        <v>7992</v>
      </c>
      <c r="DR25" s="206" t="s">
        <v>7992</v>
      </c>
      <c r="DS25" s="206" t="s">
        <v>7992</v>
      </c>
      <c r="DT25" s="206" t="s">
        <v>7992</v>
      </c>
      <c r="DU25" s="206" t="s">
        <v>7992</v>
      </c>
      <c r="DV25" s="206" t="s">
        <v>7992</v>
      </c>
      <c r="DW25" s="206" t="s">
        <v>7992</v>
      </c>
      <c r="DX25" s="206" t="s">
        <v>7992</v>
      </c>
      <c r="DY25" s="206" t="s">
        <v>7992</v>
      </c>
      <c r="DZ25" s="206" t="s">
        <v>7992</v>
      </c>
      <c r="EA25" s="206" t="s">
        <v>7992</v>
      </c>
      <c r="EB25" s="206" t="s">
        <v>7992</v>
      </c>
      <c r="EC25" s="206" t="s">
        <v>7992</v>
      </c>
      <c r="ED25" s="206" t="s">
        <v>7992</v>
      </c>
      <c r="EE25" s="206" t="s">
        <v>7992</v>
      </c>
      <c r="EF25" s="206" t="s">
        <v>7992</v>
      </c>
      <c r="EG25" s="206" t="s">
        <v>7992</v>
      </c>
      <c r="EH25" s="206" t="s">
        <v>7992</v>
      </c>
      <c r="EI25" s="206" t="s">
        <v>7992</v>
      </c>
      <c r="EJ25" s="206" t="s">
        <v>7992</v>
      </c>
      <c r="EK25" s="206" t="s">
        <v>7992</v>
      </c>
      <c r="EL25" s="206" t="s">
        <v>7992</v>
      </c>
      <c r="EM25" s="206" t="s">
        <v>7992</v>
      </c>
      <c r="EN25" s="206" t="s">
        <v>7992</v>
      </c>
      <c r="EO25" s="206" t="s">
        <v>7992</v>
      </c>
      <c r="EP25" s="206" t="s">
        <v>7992</v>
      </c>
      <c r="EQ25" s="206" t="s">
        <v>7992</v>
      </c>
      <c r="ER25" s="206" t="s">
        <v>7992</v>
      </c>
      <c r="ES25" s="206" t="s">
        <v>7992</v>
      </c>
      <c r="ET25" s="206" t="s">
        <v>7992</v>
      </c>
      <c r="EU25" s="206" t="s">
        <v>7992</v>
      </c>
      <c r="EV25" s="206" t="s">
        <v>7992</v>
      </c>
      <c r="EW25" s="206" t="s">
        <v>7992</v>
      </c>
      <c r="EX25" s="206" t="s">
        <v>7992</v>
      </c>
      <c r="EY25" s="206" t="s">
        <v>7992</v>
      </c>
      <c r="EZ25" s="206" t="s">
        <v>7992</v>
      </c>
      <c r="FA25" s="206" t="s">
        <v>7992</v>
      </c>
      <c r="FB25" s="206" t="s">
        <v>7992</v>
      </c>
      <c r="FC25" s="206" t="s">
        <v>7992</v>
      </c>
      <c r="FD25" s="206" t="s">
        <v>7992</v>
      </c>
      <c r="FE25" s="206" t="s">
        <v>7992</v>
      </c>
      <c r="FF25" s="206" t="s">
        <v>7992</v>
      </c>
      <c r="FG25" s="206" t="s">
        <v>7992</v>
      </c>
      <c r="FH25" s="206" t="s">
        <v>7992</v>
      </c>
      <c r="FI25" s="206" t="s">
        <v>7992</v>
      </c>
      <c r="FJ25" s="206" t="s">
        <v>7992</v>
      </c>
      <c r="FK25" s="206" t="s">
        <v>7992</v>
      </c>
      <c r="FL25" s="206" t="s">
        <v>7992</v>
      </c>
      <c r="FM25" s="206" t="s">
        <v>7992</v>
      </c>
      <c r="FN25" s="206" t="s">
        <v>7992</v>
      </c>
      <c r="FO25" s="206" t="s">
        <v>7992</v>
      </c>
      <c r="FP25" s="206" t="s">
        <v>7992</v>
      </c>
      <c r="FQ25" s="206" t="s">
        <v>7992</v>
      </c>
      <c r="FR25" s="206" t="s">
        <v>7992</v>
      </c>
      <c r="FS25" s="206" t="s">
        <v>7992</v>
      </c>
      <c r="FT25" s="206" t="s">
        <v>7992</v>
      </c>
      <c r="FU25" s="206" t="s">
        <v>7992</v>
      </c>
      <c r="FV25" s="206" t="s">
        <v>7992</v>
      </c>
      <c r="FW25" s="206" t="s">
        <v>7992</v>
      </c>
      <c r="FX25" s="206" t="s">
        <v>7992</v>
      </c>
      <c r="FY25" s="206" t="s">
        <v>7992</v>
      </c>
      <c r="FZ25" s="206" t="s">
        <v>7992</v>
      </c>
      <c r="GA25" s="206" t="s">
        <v>7992</v>
      </c>
      <c r="GB25" s="206" t="s">
        <v>7992</v>
      </c>
      <c r="GC25" s="206" t="s">
        <v>7992</v>
      </c>
      <c r="GD25" s="206" t="s">
        <v>7992</v>
      </c>
      <c r="GE25" s="206" t="s">
        <v>7992</v>
      </c>
      <c r="GF25" s="206" t="s">
        <v>7992</v>
      </c>
      <c r="GG25" s="206" t="s">
        <v>7992</v>
      </c>
      <c r="GH25" s="206" t="s">
        <v>7992</v>
      </c>
      <c r="GI25" s="206" t="s">
        <v>7992</v>
      </c>
      <c r="GJ25" s="206" t="s">
        <v>7992</v>
      </c>
      <c r="GK25" s="206" t="s">
        <v>7992</v>
      </c>
      <c r="GL25" s="206" t="s">
        <v>7992</v>
      </c>
      <c r="GM25" s="206" t="s">
        <v>7992</v>
      </c>
      <c r="GN25" s="206" t="s">
        <v>7992</v>
      </c>
      <c r="GO25" s="206" t="s">
        <v>7992</v>
      </c>
      <c r="GP25" s="206" t="s">
        <v>7992</v>
      </c>
      <c r="GQ25" s="206" t="s">
        <v>7992</v>
      </c>
      <c r="GR25" s="206" t="s">
        <v>7992</v>
      </c>
      <c r="GS25" s="206" t="s">
        <v>7992</v>
      </c>
      <c r="GT25" s="206" t="s">
        <v>7992</v>
      </c>
      <c r="GU25" s="206" t="s">
        <v>7992</v>
      </c>
      <c r="GV25" s="206" t="s">
        <v>7992</v>
      </c>
      <c r="GW25" s="206" t="s">
        <v>7992</v>
      </c>
      <c r="GX25" s="206" t="s">
        <v>7992</v>
      </c>
      <c r="GY25" s="206" t="s">
        <v>7992</v>
      </c>
      <c r="GZ25" s="206" t="s">
        <v>7992</v>
      </c>
      <c r="HA25" s="206" t="s">
        <v>7992</v>
      </c>
      <c r="HB25" s="206" t="s">
        <v>7992</v>
      </c>
      <c r="HC25" s="206" t="s">
        <v>7992</v>
      </c>
      <c r="HD25" s="206" t="s">
        <v>7992</v>
      </c>
      <c r="HE25" s="206" t="s">
        <v>7992</v>
      </c>
      <c r="HF25" s="206" t="s">
        <v>7992</v>
      </c>
      <c r="HG25" s="206" t="s">
        <v>7992</v>
      </c>
      <c r="HH25" s="206" t="s">
        <v>7992</v>
      </c>
      <c r="HI25" s="206" t="s">
        <v>7992</v>
      </c>
      <c r="HJ25" s="206" t="s">
        <v>7992</v>
      </c>
      <c r="HK25" s="206" t="s">
        <v>7992</v>
      </c>
      <c r="HL25" s="206" t="s">
        <v>7992</v>
      </c>
      <c r="HM25" s="206" t="s">
        <v>7992</v>
      </c>
      <c r="HN25" s="206" t="s">
        <v>7992</v>
      </c>
      <c r="HO25" s="206" t="s">
        <v>7992</v>
      </c>
      <c r="HP25" s="206" t="s">
        <v>7992</v>
      </c>
      <c r="HQ25" s="206" t="s">
        <v>7992</v>
      </c>
      <c r="HR25" s="206" t="s">
        <v>7992</v>
      </c>
      <c r="HS25" s="206" t="s">
        <v>7992</v>
      </c>
      <c r="HT25" s="206" t="s">
        <v>7992</v>
      </c>
      <c r="HU25" s="206" t="s">
        <v>7992</v>
      </c>
      <c r="HV25" s="206" t="s">
        <v>7992</v>
      </c>
      <c r="HW25" s="206" t="s">
        <v>7992</v>
      </c>
      <c r="HX25" s="206" t="s">
        <v>7992</v>
      </c>
      <c r="HY25" s="206" t="s">
        <v>7992</v>
      </c>
      <c r="HZ25" s="206" t="s">
        <v>7992</v>
      </c>
      <c r="IA25" s="206" t="s">
        <v>7992</v>
      </c>
      <c r="IB25" s="206" t="s">
        <v>7992</v>
      </c>
      <c r="IC25" s="206" t="s">
        <v>7992</v>
      </c>
      <c r="ID25" s="206" t="s">
        <v>7992</v>
      </c>
      <c r="IE25" s="206" t="s">
        <v>7992</v>
      </c>
      <c r="IF25" s="206" t="s">
        <v>7992</v>
      </c>
      <c r="IG25" s="206" t="s">
        <v>7992</v>
      </c>
      <c r="IH25" s="206" t="s">
        <v>7992</v>
      </c>
      <c r="II25" s="206" t="s">
        <v>7992</v>
      </c>
      <c r="IJ25" s="206" t="s">
        <v>7992</v>
      </c>
      <c r="IK25" s="206" t="s">
        <v>7992</v>
      </c>
      <c r="IL25" s="206" t="s">
        <v>7992</v>
      </c>
      <c r="IM25" s="206" t="s">
        <v>7992</v>
      </c>
      <c r="IN25" s="206" t="s">
        <v>7992</v>
      </c>
      <c r="IO25" s="206" t="s">
        <v>7992</v>
      </c>
      <c r="IP25" s="206" t="s">
        <v>7992</v>
      </c>
      <c r="IQ25" s="206" t="s">
        <v>7992</v>
      </c>
      <c r="IR25" s="206" t="s">
        <v>7992</v>
      </c>
      <c r="IS25" s="206" t="s">
        <v>7992</v>
      </c>
      <c r="IT25" s="206" t="s">
        <v>7992</v>
      </c>
      <c r="IU25" s="206" t="s">
        <v>7992</v>
      </c>
      <c r="IV25" s="206" t="s">
        <v>7992</v>
      </c>
      <c r="IW25" s="206" t="s">
        <v>7992</v>
      </c>
      <c r="IX25" s="206" t="s">
        <v>7992</v>
      </c>
      <c r="IY25" s="206" t="s">
        <v>7992</v>
      </c>
      <c r="IZ25" s="206" t="s">
        <v>7992</v>
      </c>
      <c r="JA25" s="206" t="s">
        <v>7992</v>
      </c>
      <c r="JB25" s="206" t="s">
        <v>7992</v>
      </c>
      <c r="JC25" s="206" t="s">
        <v>7992</v>
      </c>
      <c r="JD25" s="206" t="s">
        <v>7992</v>
      </c>
      <c r="JE25" s="206" t="s">
        <v>7992</v>
      </c>
      <c r="JF25" s="206" t="s">
        <v>7992</v>
      </c>
      <c r="JG25" s="206" t="s">
        <v>7992</v>
      </c>
      <c r="JH25" s="206" t="s">
        <v>7992</v>
      </c>
      <c r="JI25" s="206" t="s">
        <v>7992</v>
      </c>
      <c r="JJ25" s="206" t="s">
        <v>7992</v>
      </c>
      <c r="JK25" s="206" t="s">
        <v>7992</v>
      </c>
      <c r="JL25" s="206" t="s">
        <v>7992</v>
      </c>
      <c r="JM25" s="206" t="s">
        <v>7992</v>
      </c>
      <c r="JN25" s="206" t="s">
        <v>7992</v>
      </c>
      <c r="JO25" s="206" t="s">
        <v>7992</v>
      </c>
      <c r="JP25" s="206" t="s">
        <v>7992</v>
      </c>
      <c r="JQ25" s="206" t="s">
        <v>7992</v>
      </c>
      <c r="JR25" s="206" t="s">
        <v>7992</v>
      </c>
      <c r="JS25" s="206" t="s">
        <v>7992</v>
      </c>
      <c r="JT25" s="206" t="s">
        <v>7992</v>
      </c>
      <c r="JU25" s="206" t="s">
        <v>7992</v>
      </c>
      <c r="JV25" s="206" t="s">
        <v>7992</v>
      </c>
      <c r="JW25" s="206" t="s">
        <v>7992</v>
      </c>
      <c r="JX25" s="206" t="s">
        <v>7992</v>
      </c>
      <c r="JY25" s="206" t="s">
        <v>7992</v>
      </c>
      <c r="JZ25" s="206" t="s">
        <v>7992</v>
      </c>
      <c r="KA25" s="206" t="s">
        <v>7992</v>
      </c>
      <c r="KB25" s="206" t="s">
        <v>7992</v>
      </c>
      <c r="KC25" s="206" t="s">
        <v>7992</v>
      </c>
      <c r="KD25" s="206" t="s">
        <v>7992</v>
      </c>
      <c r="KE25" s="206" t="s">
        <v>7992</v>
      </c>
      <c r="KF25" s="206" t="s">
        <v>7992</v>
      </c>
      <c r="KG25" s="206" t="s">
        <v>7992</v>
      </c>
      <c r="KH25" s="206" t="s">
        <v>7992</v>
      </c>
      <c r="KI25" s="206" t="s">
        <v>7992</v>
      </c>
      <c r="KJ25" s="206" t="s">
        <v>7992</v>
      </c>
      <c r="KK25" s="206" t="s">
        <v>7992</v>
      </c>
      <c r="KL25" s="206" t="s">
        <v>7992</v>
      </c>
      <c r="KM25" s="206" t="s">
        <v>7992</v>
      </c>
      <c r="KN25" s="206" t="s">
        <v>7992</v>
      </c>
      <c r="KO25" s="206" t="s">
        <v>7992</v>
      </c>
      <c r="KP25" s="206" t="s">
        <v>7992</v>
      </c>
      <c r="KQ25" s="206" t="s">
        <v>7992</v>
      </c>
      <c r="KR25" s="206" t="s">
        <v>7992</v>
      </c>
      <c r="KS25" s="206" t="s">
        <v>7992</v>
      </c>
      <c r="KT25" s="206" t="s">
        <v>7992</v>
      </c>
      <c r="KU25" s="206" t="s">
        <v>7992</v>
      </c>
      <c r="KV25" s="206" t="s">
        <v>7992</v>
      </c>
      <c r="KW25" s="206" t="s">
        <v>7992</v>
      </c>
      <c r="KX25" s="206" t="s">
        <v>7992</v>
      </c>
      <c r="KY25" s="206" t="s">
        <v>7992</v>
      </c>
      <c r="KZ25" s="206" t="s">
        <v>7992</v>
      </c>
      <c r="LA25" s="206" t="s">
        <v>7992</v>
      </c>
      <c r="LB25" s="206" t="s">
        <v>7992</v>
      </c>
      <c r="LC25" s="206" t="s">
        <v>7992</v>
      </c>
      <c r="LD25" s="206" t="s">
        <v>7992</v>
      </c>
      <c r="LE25" s="206" t="s">
        <v>7992</v>
      </c>
      <c r="LF25" s="206" t="s">
        <v>7992</v>
      </c>
      <c r="LG25" s="206" t="s">
        <v>7992</v>
      </c>
      <c r="LH25" s="206" t="s">
        <v>7992</v>
      </c>
      <c r="LI25" s="206" t="s">
        <v>7992</v>
      </c>
      <c r="LJ25" s="206" t="s">
        <v>7992</v>
      </c>
      <c r="LK25" s="206" t="s">
        <v>7992</v>
      </c>
      <c r="LL25" s="206" t="s">
        <v>7992</v>
      </c>
      <c r="LM25" s="206" t="s">
        <v>7992</v>
      </c>
      <c r="LN25" s="206" t="s">
        <v>7992</v>
      </c>
      <c r="LO25" s="206" t="s">
        <v>7992</v>
      </c>
      <c r="LP25" s="206" t="s">
        <v>7992</v>
      </c>
      <c r="LQ25" s="206" t="s">
        <v>7992</v>
      </c>
      <c r="LR25" s="206" t="s">
        <v>7992</v>
      </c>
      <c r="LS25" s="206" t="s">
        <v>7992</v>
      </c>
      <c r="LT25" s="206" t="s">
        <v>7992</v>
      </c>
      <c r="LU25" s="206" t="s">
        <v>7992</v>
      </c>
      <c r="LV25" s="206" t="s">
        <v>7992</v>
      </c>
      <c r="LW25" s="206" t="s">
        <v>7992</v>
      </c>
      <c r="LX25" s="206" t="s">
        <v>7992</v>
      </c>
      <c r="LY25" s="206" t="s">
        <v>7992</v>
      </c>
      <c r="LZ25" s="206" t="s">
        <v>7992</v>
      </c>
      <c r="MA25" s="206" t="s">
        <v>7992</v>
      </c>
      <c r="MB25" s="206" t="s">
        <v>7992</v>
      </c>
      <c r="MC25" s="206" t="s">
        <v>7992</v>
      </c>
      <c r="MD25" s="206" t="s">
        <v>7992</v>
      </c>
      <c r="ME25" s="206" t="s">
        <v>7992</v>
      </c>
      <c r="MF25" s="206" t="s">
        <v>7992</v>
      </c>
      <c r="MG25" s="206" t="s">
        <v>7992</v>
      </c>
      <c r="MH25" s="206" t="s">
        <v>7992</v>
      </c>
      <c r="MI25" s="206" t="s">
        <v>7992</v>
      </c>
      <c r="MJ25" s="206" t="s">
        <v>7992</v>
      </c>
      <c r="MK25" s="206" t="s">
        <v>7992</v>
      </c>
      <c r="ML25" s="206" t="s">
        <v>7992</v>
      </c>
      <c r="MM25" s="206" t="s">
        <v>7992</v>
      </c>
      <c r="MN25" s="206" t="s">
        <v>7992</v>
      </c>
      <c r="MO25" s="206" t="s">
        <v>7992</v>
      </c>
      <c r="MP25" s="206" t="s">
        <v>7992</v>
      </c>
      <c r="MQ25" s="206" t="s">
        <v>7992</v>
      </c>
      <c r="MR25" s="206" t="s">
        <v>7992</v>
      </c>
      <c r="MS25" s="206" t="s">
        <v>7992</v>
      </c>
      <c r="MT25" s="206" t="s">
        <v>7992</v>
      </c>
      <c r="MU25" s="206" t="s">
        <v>7992</v>
      </c>
      <c r="MV25" s="206" t="s">
        <v>7992</v>
      </c>
      <c r="MW25" s="206" t="s">
        <v>7992</v>
      </c>
      <c r="MX25" s="206" t="s">
        <v>7992</v>
      </c>
      <c r="MY25" s="206" t="s">
        <v>7992</v>
      </c>
      <c r="MZ25" s="206" t="s">
        <v>7992</v>
      </c>
      <c r="NA25" s="206" t="s">
        <v>7992</v>
      </c>
      <c r="NB25" s="206" t="s">
        <v>7992</v>
      </c>
      <c r="NC25" s="206" t="s">
        <v>7992</v>
      </c>
      <c r="ND25" s="206" t="s">
        <v>7992</v>
      </c>
      <c r="NE25" s="206" t="s">
        <v>7992</v>
      </c>
      <c r="NF25" s="206" t="s">
        <v>7992</v>
      </c>
      <c r="NG25" s="206" t="s">
        <v>7992</v>
      </c>
      <c r="NH25" s="206" t="s">
        <v>7992</v>
      </c>
      <c r="NI25" s="206" t="s">
        <v>7992</v>
      </c>
      <c r="NJ25" s="206" t="s">
        <v>7992</v>
      </c>
      <c r="NK25" s="206" t="s">
        <v>7992</v>
      </c>
      <c r="NL25" s="206" t="s">
        <v>7992</v>
      </c>
      <c r="NM25" s="206" t="s">
        <v>7992</v>
      </c>
      <c r="NN25" s="206" t="s">
        <v>7992</v>
      </c>
      <c r="NO25" s="206" t="s">
        <v>7992</v>
      </c>
      <c r="NP25" s="206" t="s">
        <v>7992</v>
      </c>
      <c r="NQ25" s="206" t="s">
        <v>7992</v>
      </c>
      <c r="NR25" s="206" t="s">
        <v>7992</v>
      </c>
      <c r="NS25" s="206" t="s">
        <v>7992</v>
      </c>
      <c r="NT25" s="206" t="s">
        <v>7992</v>
      </c>
      <c r="NU25" s="206" t="s">
        <v>7992</v>
      </c>
      <c r="NV25" s="206" t="s">
        <v>7992</v>
      </c>
      <c r="NW25" s="206" t="s">
        <v>7992</v>
      </c>
      <c r="NX25" s="206" t="s">
        <v>7992</v>
      </c>
      <c r="NY25" s="206" t="s">
        <v>7992</v>
      </c>
      <c r="NZ25" s="206" t="s">
        <v>7992</v>
      </c>
      <c r="OA25" s="206" t="s">
        <v>7992</v>
      </c>
      <c r="OB25" s="206" t="s">
        <v>7992</v>
      </c>
      <c r="OC25" s="206" t="s">
        <v>7992</v>
      </c>
      <c r="OD25" s="206" t="s">
        <v>7992</v>
      </c>
      <c r="OE25" s="206" t="s">
        <v>7992</v>
      </c>
      <c r="OF25" s="206" t="s">
        <v>7992</v>
      </c>
      <c r="OG25" s="206" t="s">
        <v>7992</v>
      </c>
      <c r="OH25" s="206" t="s">
        <v>7992</v>
      </c>
      <c r="OI25" s="206" t="s">
        <v>7992</v>
      </c>
      <c r="OJ25" s="206" t="s">
        <v>7992</v>
      </c>
      <c r="OK25" s="206" t="s">
        <v>7992</v>
      </c>
      <c r="OL25" s="206" t="s">
        <v>7992</v>
      </c>
      <c r="OM25" s="206" t="s">
        <v>7992</v>
      </c>
      <c r="ON25" s="206" t="s">
        <v>7992</v>
      </c>
      <c r="OO25" s="206" t="s">
        <v>7992</v>
      </c>
      <c r="OP25" s="206" t="s">
        <v>7992</v>
      </c>
      <c r="OQ25" s="206" t="s">
        <v>7992</v>
      </c>
      <c r="OR25" s="206" t="s">
        <v>7992</v>
      </c>
      <c r="OS25" s="206" t="s">
        <v>7992</v>
      </c>
      <c r="OT25" s="206" t="s">
        <v>7992</v>
      </c>
      <c r="OU25" s="206" t="s">
        <v>7992</v>
      </c>
      <c r="OV25" s="206" t="s">
        <v>7992</v>
      </c>
      <c r="OW25" s="206" t="s">
        <v>7992</v>
      </c>
      <c r="OX25" s="206" t="s">
        <v>7992</v>
      </c>
      <c r="OY25" s="206" t="s">
        <v>7992</v>
      </c>
      <c r="OZ25" s="206" t="s">
        <v>7992</v>
      </c>
      <c r="PA25" s="206" t="s">
        <v>7992</v>
      </c>
      <c r="PB25" s="206" t="s">
        <v>7992</v>
      </c>
      <c r="PC25" s="206" t="s">
        <v>7992</v>
      </c>
      <c r="PD25" s="206" t="s">
        <v>7992</v>
      </c>
      <c r="PE25" s="206" t="s">
        <v>7992</v>
      </c>
      <c r="PF25" s="206" t="s">
        <v>7992</v>
      </c>
      <c r="PG25" s="206" t="s">
        <v>7992</v>
      </c>
      <c r="PH25" s="206" t="s">
        <v>7992</v>
      </c>
      <c r="PI25" s="206" t="s">
        <v>7992</v>
      </c>
      <c r="PJ25" s="206" t="s">
        <v>7992</v>
      </c>
      <c r="PK25" s="206" t="s">
        <v>7992</v>
      </c>
      <c r="PL25" s="206" t="s">
        <v>7992</v>
      </c>
      <c r="PM25" s="206" t="s">
        <v>7992</v>
      </c>
      <c r="PN25" s="206" t="s">
        <v>7992</v>
      </c>
      <c r="PO25" s="206" t="s">
        <v>7992</v>
      </c>
      <c r="PP25" s="206" t="s">
        <v>7992</v>
      </c>
      <c r="PQ25" s="206" t="s">
        <v>7992</v>
      </c>
      <c r="PR25" s="206" t="s">
        <v>7992</v>
      </c>
      <c r="PS25" s="206" t="s">
        <v>7992</v>
      </c>
      <c r="PT25" s="206" t="s">
        <v>7992</v>
      </c>
      <c r="PU25" s="206" t="s">
        <v>7992</v>
      </c>
      <c r="PV25" s="206" t="s">
        <v>7992</v>
      </c>
      <c r="PW25" s="206" t="s">
        <v>7992</v>
      </c>
      <c r="PX25" s="206" t="s">
        <v>7992</v>
      </c>
      <c r="PY25" s="206" t="s">
        <v>7992</v>
      </c>
      <c r="PZ25" s="206" t="s">
        <v>7992</v>
      </c>
      <c r="QA25" s="206" t="s">
        <v>7992</v>
      </c>
      <c r="QB25" s="206" t="s">
        <v>7992</v>
      </c>
      <c r="QC25" s="206" t="s">
        <v>7992</v>
      </c>
      <c r="QD25" s="206" t="s">
        <v>7992</v>
      </c>
      <c r="QE25" s="206" t="s">
        <v>7992</v>
      </c>
      <c r="QF25" s="206" t="s">
        <v>7992</v>
      </c>
      <c r="QG25" s="206" t="s">
        <v>7992</v>
      </c>
      <c r="QH25" s="206" t="s">
        <v>7992</v>
      </c>
      <c r="QI25" s="206" t="s">
        <v>7992</v>
      </c>
      <c r="QJ25" s="206" t="s">
        <v>7992</v>
      </c>
      <c r="QK25" s="206" t="s">
        <v>7992</v>
      </c>
      <c r="QL25" s="206" t="s">
        <v>7992</v>
      </c>
      <c r="QM25" s="206" t="s">
        <v>7992</v>
      </c>
      <c r="QN25" s="206" t="s">
        <v>7992</v>
      </c>
      <c r="QO25" s="206" t="s">
        <v>7992</v>
      </c>
      <c r="QP25" s="206" t="s">
        <v>7992</v>
      </c>
      <c r="QQ25" s="206" t="s">
        <v>7992</v>
      </c>
      <c r="QR25" s="206" t="s">
        <v>7992</v>
      </c>
      <c r="QS25" s="206" t="s">
        <v>7992</v>
      </c>
      <c r="QT25" s="206" t="s">
        <v>7992</v>
      </c>
      <c r="QU25" s="206" t="s">
        <v>7992</v>
      </c>
      <c r="QV25" s="206" t="s">
        <v>7992</v>
      </c>
      <c r="QW25" s="206" t="s">
        <v>7992</v>
      </c>
      <c r="QX25" s="206" t="s">
        <v>7992</v>
      </c>
      <c r="QY25" s="206" t="s">
        <v>7992</v>
      </c>
      <c r="QZ25" s="206" t="s">
        <v>7992</v>
      </c>
      <c r="RA25" s="206" t="s">
        <v>7992</v>
      </c>
      <c r="RB25" s="206" t="s">
        <v>7992</v>
      </c>
      <c r="RC25" s="206" t="s">
        <v>7992</v>
      </c>
      <c r="RD25" s="206" t="s">
        <v>7992</v>
      </c>
      <c r="RE25" s="206" t="s">
        <v>7992</v>
      </c>
      <c r="RF25" s="206" t="s">
        <v>7992</v>
      </c>
      <c r="RG25" s="206" t="s">
        <v>7992</v>
      </c>
      <c r="RH25" s="206" t="s">
        <v>7992</v>
      </c>
      <c r="RI25" s="206" t="s">
        <v>7992</v>
      </c>
      <c r="RJ25" s="206" t="s">
        <v>7992</v>
      </c>
      <c r="RK25" s="206" t="s">
        <v>7992</v>
      </c>
      <c r="RL25" s="206" t="s">
        <v>7992</v>
      </c>
      <c r="RM25" s="206" t="s">
        <v>7992</v>
      </c>
      <c r="RN25" s="206" t="s">
        <v>7992</v>
      </c>
      <c r="RO25" s="206" t="s">
        <v>7992</v>
      </c>
      <c r="RP25" s="206" t="s">
        <v>7992</v>
      </c>
      <c r="RQ25" s="206" t="s">
        <v>7992</v>
      </c>
      <c r="RR25" s="206" t="s">
        <v>7992</v>
      </c>
      <c r="RS25" s="206" t="s">
        <v>7992</v>
      </c>
      <c r="RT25" s="206" t="s">
        <v>7992</v>
      </c>
      <c r="RU25" s="206" t="s">
        <v>7992</v>
      </c>
      <c r="RV25" s="206" t="s">
        <v>7992</v>
      </c>
      <c r="RW25" s="206" t="s">
        <v>7992</v>
      </c>
      <c r="RX25" s="206" t="s">
        <v>7992</v>
      </c>
      <c r="RY25" s="206" t="s">
        <v>7992</v>
      </c>
      <c r="RZ25" s="206" t="s">
        <v>7992</v>
      </c>
      <c r="SA25" s="206" t="s">
        <v>7992</v>
      </c>
      <c r="SB25" s="206" t="s">
        <v>7992</v>
      </c>
      <c r="SC25" s="206" t="s">
        <v>7992</v>
      </c>
      <c r="SD25" s="206" t="s">
        <v>7992</v>
      </c>
      <c r="SE25" s="206" t="s">
        <v>7992</v>
      </c>
      <c r="SF25" s="206" t="s">
        <v>7992</v>
      </c>
      <c r="SG25" s="206" t="s">
        <v>7992</v>
      </c>
      <c r="SH25" s="206" t="s">
        <v>7992</v>
      </c>
      <c r="SI25" s="206" t="s">
        <v>7992</v>
      </c>
      <c r="SJ25" s="206" t="s">
        <v>7992</v>
      </c>
      <c r="SK25" s="206" t="s">
        <v>7992</v>
      </c>
      <c r="SL25" s="206" t="s">
        <v>7992</v>
      </c>
      <c r="SM25" s="206" t="s">
        <v>7992</v>
      </c>
      <c r="SN25" s="206" t="s">
        <v>7992</v>
      </c>
      <c r="SO25" s="206" t="s">
        <v>7992</v>
      </c>
      <c r="SP25" s="206" t="s">
        <v>7992</v>
      </c>
      <c r="SQ25" s="206" t="s">
        <v>7992</v>
      </c>
      <c r="SR25" s="206" t="s">
        <v>7992</v>
      </c>
      <c r="SS25" s="206" t="s">
        <v>7992</v>
      </c>
      <c r="ST25" s="206" t="s">
        <v>7992</v>
      </c>
      <c r="SU25" s="206" t="s">
        <v>7992</v>
      </c>
      <c r="SV25" s="206" t="s">
        <v>7992</v>
      </c>
      <c r="SW25" s="206" t="s">
        <v>7992</v>
      </c>
      <c r="SX25" s="206" t="s">
        <v>7992</v>
      </c>
      <c r="SY25" s="206" t="s">
        <v>7992</v>
      </c>
      <c r="SZ25" s="206" t="s">
        <v>7992</v>
      </c>
      <c r="TA25" s="206" t="s">
        <v>7992</v>
      </c>
      <c r="TB25" s="206" t="s">
        <v>7992</v>
      </c>
      <c r="TC25" s="206" t="s">
        <v>7992</v>
      </c>
      <c r="TD25" s="206" t="s">
        <v>7992</v>
      </c>
      <c r="TE25" s="206" t="s">
        <v>7992</v>
      </c>
      <c r="TF25" s="206" t="s">
        <v>7992</v>
      </c>
      <c r="TG25" s="206" t="s">
        <v>7992</v>
      </c>
      <c r="TH25" s="206" t="s">
        <v>7992</v>
      </c>
      <c r="TI25" s="206" t="s">
        <v>7992</v>
      </c>
      <c r="TJ25" s="206" t="s">
        <v>7992</v>
      </c>
      <c r="TK25" s="206" t="s">
        <v>7992</v>
      </c>
      <c r="TL25" s="206" t="s">
        <v>7992</v>
      </c>
      <c r="TM25" s="206" t="s">
        <v>7992</v>
      </c>
      <c r="TN25" s="206" t="s">
        <v>7992</v>
      </c>
      <c r="TO25" s="206" t="s">
        <v>7992</v>
      </c>
      <c r="TP25" s="206" t="s">
        <v>7992</v>
      </c>
      <c r="TQ25" s="206" t="s">
        <v>7992</v>
      </c>
      <c r="TR25" s="206" t="s">
        <v>7992</v>
      </c>
      <c r="TS25" s="206" t="s">
        <v>7992</v>
      </c>
      <c r="TT25" s="206" t="s">
        <v>7992</v>
      </c>
      <c r="TU25" s="206" t="s">
        <v>7992</v>
      </c>
      <c r="TV25" s="206" t="s">
        <v>7992</v>
      </c>
      <c r="TW25" s="206" t="s">
        <v>7992</v>
      </c>
      <c r="TX25" s="206" t="s">
        <v>7992</v>
      </c>
      <c r="TY25" s="206" t="s">
        <v>7992</v>
      </c>
      <c r="TZ25" s="206" t="s">
        <v>7992</v>
      </c>
      <c r="UA25" s="206" t="s">
        <v>7992</v>
      </c>
      <c r="UB25" s="206" t="s">
        <v>7992</v>
      </c>
      <c r="UC25" s="206" t="s">
        <v>7992</v>
      </c>
      <c r="UD25" s="206" t="s">
        <v>7992</v>
      </c>
      <c r="UE25" s="206" t="s">
        <v>7992</v>
      </c>
      <c r="UF25" s="206" t="s">
        <v>7992</v>
      </c>
      <c r="UG25" s="206" t="s">
        <v>7992</v>
      </c>
      <c r="UH25" s="206" t="s">
        <v>7992</v>
      </c>
      <c r="UI25" s="206" t="s">
        <v>7992</v>
      </c>
      <c r="UJ25" s="206" t="s">
        <v>7992</v>
      </c>
      <c r="UK25" s="206" t="s">
        <v>7992</v>
      </c>
      <c r="UL25" s="206" t="s">
        <v>7992</v>
      </c>
      <c r="UM25" s="206" t="s">
        <v>7992</v>
      </c>
      <c r="UN25" s="206" t="s">
        <v>7992</v>
      </c>
      <c r="UO25" s="206" t="s">
        <v>7992</v>
      </c>
      <c r="UP25" s="206" t="s">
        <v>7992</v>
      </c>
      <c r="UQ25" s="206" t="s">
        <v>7992</v>
      </c>
      <c r="UR25" s="206" t="s">
        <v>7992</v>
      </c>
      <c r="US25" s="206" t="s">
        <v>7992</v>
      </c>
      <c r="UT25" s="206" t="s">
        <v>7992</v>
      </c>
      <c r="UU25" s="206" t="s">
        <v>7992</v>
      </c>
      <c r="UV25" s="206" t="s">
        <v>7992</v>
      </c>
      <c r="UW25" s="206" t="s">
        <v>7992</v>
      </c>
      <c r="UX25" s="206" t="s">
        <v>7992</v>
      </c>
      <c r="UY25" s="206" t="s">
        <v>7992</v>
      </c>
      <c r="UZ25" s="206" t="s">
        <v>7992</v>
      </c>
      <c r="VA25" s="206" t="s">
        <v>7992</v>
      </c>
      <c r="VB25" s="206" t="s">
        <v>7992</v>
      </c>
      <c r="VC25" s="206" t="s">
        <v>7992</v>
      </c>
      <c r="VD25" s="206" t="s">
        <v>7992</v>
      </c>
      <c r="VE25" s="206" t="s">
        <v>7992</v>
      </c>
      <c r="VF25" s="206" t="s">
        <v>7992</v>
      </c>
      <c r="VG25" s="206" t="s">
        <v>7992</v>
      </c>
      <c r="VH25" s="206" t="s">
        <v>7992</v>
      </c>
      <c r="VI25" s="206" t="s">
        <v>7992</v>
      </c>
      <c r="VJ25" s="206" t="s">
        <v>7992</v>
      </c>
      <c r="VK25" s="206" t="s">
        <v>7992</v>
      </c>
      <c r="VL25" s="206" t="s">
        <v>7992</v>
      </c>
      <c r="VM25" s="206" t="s">
        <v>7992</v>
      </c>
      <c r="VN25" s="206" t="s">
        <v>7992</v>
      </c>
      <c r="VO25" s="206" t="s">
        <v>7992</v>
      </c>
      <c r="VP25" s="206" t="s">
        <v>7992</v>
      </c>
      <c r="VQ25" s="206" t="s">
        <v>7992</v>
      </c>
      <c r="VR25" s="206" t="s">
        <v>7992</v>
      </c>
      <c r="VS25" s="206" t="s">
        <v>7992</v>
      </c>
      <c r="VT25" s="206" t="s">
        <v>7992</v>
      </c>
      <c r="VU25" s="206" t="s">
        <v>7992</v>
      </c>
      <c r="VV25" s="206" t="s">
        <v>7992</v>
      </c>
      <c r="VW25" s="206" t="s">
        <v>7992</v>
      </c>
      <c r="VX25" s="206" t="s">
        <v>7992</v>
      </c>
      <c r="VY25" s="206" t="s">
        <v>7992</v>
      </c>
      <c r="VZ25" s="206" t="s">
        <v>7992</v>
      </c>
      <c r="WA25" s="206" t="s">
        <v>7992</v>
      </c>
      <c r="WB25" s="206" t="s">
        <v>7992</v>
      </c>
      <c r="WC25" s="206" t="s">
        <v>7992</v>
      </c>
      <c r="WD25" s="206" t="s">
        <v>7992</v>
      </c>
      <c r="WE25" s="206" t="s">
        <v>7992</v>
      </c>
      <c r="WF25" s="206" t="s">
        <v>7992</v>
      </c>
      <c r="WG25" s="206" t="s">
        <v>7992</v>
      </c>
      <c r="WH25" s="206" t="s">
        <v>7992</v>
      </c>
      <c r="WI25" s="206" t="s">
        <v>7992</v>
      </c>
      <c r="WJ25" s="206" t="s">
        <v>7992</v>
      </c>
      <c r="WK25" s="206" t="s">
        <v>7992</v>
      </c>
      <c r="WL25" s="206" t="s">
        <v>7992</v>
      </c>
      <c r="WM25" s="206" t="s">
        <v>7992</v>
      </c>
      <c r="WN25" s="206" t="s">
        <v>7992</v>
      </c>
      <c r="WO25" s="206" t="s">
        <v>7992</v>
      </c>
      <c r="WP25" s="206" t="s">
        <v>7992</v>
      </c>
      <c r="WQ25" s="206" t="s">
        <v>7992</v>
      </c>
      <c r="WR25" s="206" t="s">
        <v>7992</v>
      </c>
      <c r="WS25" s="206" t="s">
        <v>7992</v>
      </c>
      <c r="WT25" s="206" t="s">
        <v>7992</v>
      </c>
      <c r="WU25" s="206" t="s">
        <v>7992</v>
      </c>
      <c r="WV25" s="206" t="s">
        <v>7992</v>
      </c>
      <c r="WW25" s="206" t="s">
        <v>7992</v>
      </c>
      <c r="WX25" s="206" t="s">
        <v>7992</v>
      </c>
      <c r="WY25" s="206" t="s">
        <v>7992</v>
      </c>
      <c r="WZ25" s="206" t="s">
        <v>7992</v>
      </c>
      <c r="XA25" s="206" t="s">
        <v>7992</v>
      </c>
      <c r="XB25" s="206" t="s">
        <v>7992</v>
      </c>
      <c r="XC25" s="206" t="s">
        <v>7992</v>
      </c>
      <c r="XD25" s="206" t="s">
        <v>7992</v>
      </c>
      <c r="XE25" s="206" t="s">
        <v>7992</v>
      </c>
      <c r="XF25" s="206" t="s">
        <v>7992</v>
      </c>
      <c r="XG25" s="206" t="s">
        <v>7992</v>
      </c>
      <c r="XH25" s="206" t="s">
        <v>7992</v>
      </c>
      <c r="XI25" s="206" t="s">
        <v>7992</v>
      </c>
      <c r="XJ25" s="206" t="s">
        <v>7992</v>
      </c>
      <c r="XK25" s="206" t="s">
        <v>7992</v>
      </c>
      <c r="XL25" s="206" t="s">
        <v>7992</v>
      </c>
      <c r="XM25" s="206" t="s">
        <v>7992</v>
      </c>
      <c r="XN25" s="206" t="s">
        <v>7992</v>
      </c>
      <c r="XO25" s="206" t="s">
        <v>7992</v>
      </c>
      <c r="XP25" s="206" t="s">
        <v>7992</v>
      </c>
      <c r="XQ25" s="206" t="s">
        <v>7992</v>
      </c>
      <c r="XR25" s="206" t="s">
        <v>7992</v>
      </c>
      <c r="XS25" s="206" t="s">
        <v>7992</v>
      </c>
      <c r="XT25" s="206" t="s">
        <v>7992</v>
      </c>
      <c r="XU25" s="206" t="s">
        <v>7992</v>
      </c>
      <c r="XV25" s="206" t="s">
        <v>7992</v>
      </c>
      <c r="XW25" s="206" t="s">
        <v>7992</v>
      </c>
      <c r="XX25" s="206" t="s">
        <v>7992</v>
      </c>
      <c r="XY25" s="206" t="s">
        <v>7992</v>
      </c>
      <c r="XZ25" s="206" t="s">
        <v>7992</v>
      </c>
      <c r="YA25" s="206" t="s">
        <v>7992</v>
      </c>
      <c r="YB25" s="206" t="s">
        <v>7992</v>
      </c>
      <c r="YC25" s="206" t="s">
        <v>7992</v>
      </c>
      <c r="YD25" s="206" t="s">
        <v>7992</v>
      </c>
      <c r="YE25" s="206" t="s">
        <v>7992</v>
      </c>
      <c r="YF25" s="206" t="s">
        <v>7992</v>
      </c>
      <c r="YG25" s="206" t="s">
        <v>7992</v>
      </c>
      <c r="YH25" s="206" t="s">
        <v>7992</v>
      </c>
      <c r="YI25" s="206" t="s">
        <v>7992</v>
      </c>
      <c r="YJ25" s="206" t="s">
        <v>7992</v>
      </c>
      <c r="YK25" s="206" t="s">
        <v>7992</v>
      </c>
      <c r="YL25" s="206" t="s">
        <v>7992</v>
      </c>
      <c r="YM25" s="206" t="s">
        <v>7992</v>
      </c>
      <c r="YN25" s="206" t="s">
        <v>7992</v>
      </c>
      <c r="YO25" s="206" t="s">
        <v>7992</v>
      </c>
      <c r="YP25" s="206" t="s">
        <v>7992</v>
      </c>
      <c r="YQ25" s="206" t="s">
        <v>7992</v>
      </c>
      <c r="YR25" s="206" t="s">
        <v>7992</v>
      </c>
      <c r="YS25" s="206" t="s">
        <v>7992</v>
      </c>
      <c r="YT25" s="206" t="s">
        <v>7992</v>
      </c>
      <c r="YU25" s="206" t="s">
        <v>7992</v>
      </c>
      <c r="YV25" s="206" t="s">
        <v>7992</v>
      </c>
      <c r="YW25" s="206" t="s">
        <v>7992</v>
      </c>
      <c r="YX25" s="206" t="s">
        <v>7992</v>
      </c>
      <c r="YY25" s="206" t="s">
        <v>7992</v>
      </c>
      <c r="YZ25" s="206" t="s">
        <v>7992</v>
      </c>
      <c r="ZA25" s="206" t="s">
        <v>7992</v>
      </c>
      <c r="ZB25" s="206" t="s">
        <v>7992</v>
      </c>
      <c r="ZC25" s="206" t="s">
        <v>7992</v>
      </c>
      <c r="ZD25" s="206" t="s">
        <v>7992</v>
      </c>
      <c r="ZE25" s="206" t="s">
        <v>7992</v>
      </c>
      <c r="ZF25" s="206" t="s">
        <v>7992</v>
      </c>
      <c r="ZG25" s="206" t="s">
        <v>7992</v>
      </c>
      <c r="ZH25" s="206" t="s">
        <v>7992</v>
      </c>
      <c r="ZI25" s="206" t="s">
        <v>7992</v>
      </c>
      <c r="ZJ25" s="206" t="s">
        <v>7992</v>
      </c>
      <c r="ZK25" s="206" t="s">
        <v>7992</v>
      </c>
      <c r="ZL25" s="206" t="s">
        <v>7992</v>
      </c>
      <c r="ZM25" s="206" t="s">
        <v>7992</v>
      </c>
      <c r="ZN25" s="206" t="s">
        <v>7992</v>
      </c>
      <c r="ZO25" s="206" t="s">
        <v>7992</v>
      </c>
      <c r="ZP25" s="206" t="s">
        <v>7992</v>
      </c>
      <c r="ZQ25" s="206" t="s">
        <v>7992</v>
      </c>
      <c r="ZR25" s="206" t="s">
        <v>7992</v>
      </c>
      <c r="ZS25" s="206" t="s">
        <v>7992</v>
      </c>
      <c r="ZT25" s="206" t="s">
        <v>7992</v>
      </c>
      <c r="ZU25" s="206" t="s">
        <v>7992</v>
      </c>
      <c r="ZV25" s="206" t="s">
        <v>7992</v>
      </c>
      <c r="ZW25" s="206" t="s">
        <v>7992</v>
      </c>
      <c r="ZX25" s="206" t="s">
        <v>7992</v>
      </c>
      <c r="ZY25" s="206" t="s">
        <v>7992</v>
      </c>
      <c r="ZZ25" s="206" t="s">
        <v>7992</v>
      </c>
      <c r="AAA25" s="206" t="s">
        <v>7992</v>
      </c>
      <c r="AAB25" s="206" t="s">
        <v>7992</v>
      </c>
      <c r="AAC25" s="206" t="s">
        <v>7992</v>
      </c>
      <c r="AAD25" s="206" t="s">
        <v>7992</v>
      </c>
      <c r="AAE25" s="206" t="s">
        <v>7992</v>
      </c>
      <c r="AAF25" s="206" t="s">
        <v>7992</v>
      </c>
      <c r="AAG25" s="206" t="s">
        <v>7992</v>
      </c>
      <c r="AAH25" s="206" t="s">
        <v>7992</v>
      </c>
      <c r="AAI25" s="206" t="s">
        <v>7992</v>
      </c>
      <c r="AAJ25" s="206" t="s">
        <v>7992</v>
      </c>
      <c r="AAK25" s="206" t="s">
        <v>7992</v>
      </c>
      <c r="AAL25" s="206" t="s">
        <v>7992</v>
      </c>
      <c r="AAM25" s="206" t="s">
        <v>7992</v>
      </c>
      <c r="AAN25" s="206" t="s">
        <v>7992</v>
      </c>
      <c r="AAO25" s="206" t="s">
        <v>7992</v>
      </c>
      <c r="AAP25" s="206" t="s">
        <v>7992</v>
      </c>
      <c r="AAQ25" s="206" t="s">
        <v>7992</v>
      </c>
      <c r="AAR25" s="206" t="s">
        <v>7992</v>
      </c>
      <c r="AAS25" s="206" t="s">
        <v>7992</v>
      </c>
      <c r="AAT25" s="206" t="s">
        <v>7992</v>
      </c>
      <c r="AAU25" s="206" t="s">
        <v>7992</v>
      </c>
      <c r="AAV25" s="206" t="s">
        <v>7992</v>
      </c>
      <c r="AAW25" s="206" t="s">
        <v>7992</v>
      </c>
      <c r="AAX25" s="206" t="s">
        <v>7992</v>
      </c>
      <c r="AAY25" s="206" t="s">
        <v>7992</v>
      </c>
    </row>
    <row r="26" spans="1:727" s="206" customFormat="1" x14ac:dyDescent="0.25">
      <c r="A26" s="203" t="s">
        <v>3320</v>
      </c>
      <c r="B26" s="225" t="s">
        <v>7992</v>
      </c>
      <c r="C26" s="225" t="s">
        <v>7992</v>
      </c>
      <c r="D26" s="225" t="s">
        <v>7992</v>
      </c>
      <c r="E26" s="225" t="s">
        <v>7992</v>
      </c>
      <c r="F26" s="225" t="s">
        <v>7992</v>
      </c>
      <c r="G26" s="225" t="s">
        <v>7992</v>
      </c>
      <c r="H26" s="226" t="s">
        <v>7992</v>
      </c>
      <c r="I26" s="226" t="s">
        <v>7992</v>
      </c>
      <c r="J26" s="226" t="s">
        <v>7992</v>
      </c>
      <c r="K26" s="204" t="s">
        <v>7992</v>
      </c>
      <c r="L26" s="204" t="s">
        <v>7992</v>
      </c>
      <c r="M26" s="204" t="s">
        <v>7992</v>
      </c>
      <c r="N26" s="204" t="s">
        <v>7992</v>
      </c>
      <c r="O26" s="204" t="s">
        <v>7992</v>
      </c>
      <c r="P26" s="204" t="s">
        <v>7992</v>
      </c>
      <c r="Q26" s="204" t="s">
        <v>7992</v>
      </c>
      <c r="R26" s="204" t="s">
        <v>7992</v>
      </c>
      <c r="S26" s="204" t="s">
        <v>7992</v>
      </c>
      <c r="T26" s="204" t="s">
        <v>7992</v>
      </c>
      <c r="U26" s="204" t="s">
        <v>7992</v>
      </c>
      <c r="V26" s="204" t="s">
        <v>7992</v>
      </c>
      <c r="W26" s="204" t="s">
        <v>7992</v>
      </c>
      <c r="X26" s="204" t="s">
        <v>7992</v>
      </c>
      <c r="Y26" s="204" t="s">
        <v>7992</v>
      </c>
      <c r="Z26" s="204" t="s">
        <v>7992</v>
      </c>
      <c r="AA26" s="204" t="s">
        <v>7992</v>
      </c>
      <c r="AB26" s="204" t="s">
        <v>7992</v>
      </c>
      <c r="AC26" s="204" t="s">
        <v>7992</v>
      </c>
      <c r="AD26" s="204" t="s">
        <v>7992</v>
      </c>
      <c r="AE26" s="204" t="s">
        <v>7992</v>
      </c>
      <c r="AF26" s="204" t="s">
        <v>7992</v>
      </c>
      <c r="AG26" s="204" t="s">
        <v>7992</v>
      </c>
      <c r="AH26" s="204" t="s">
        <v>7992</v>
      </c>
      <c r="AI26" s="204" t="s">
        <v>7992</v>
      </c>
      <c r="AJ26" s="204" t="s">
        <v>7992</v>
      </c>
      <c r="AK26" s="204" t="s">
        <v>7992</v>
      </c>
      <c r="AL26" s="206" t="s">
        <v>7992</v>
      </c>
      <c r="AM26" s="206" t="s">
        <v>7992</v>
      </c>
      <c r="AN26" s="206" t="s">
        <v>7992</v>
      </c>
      <c r="AO26" s="206" t="s">
        <v>7992</v>
      </c>
      <c r="AP26" s="206" t="s">
        <v>7992</v>
      </c>
      <c r="AQ26" s="206" t="s">
        <v>7992</v>
      </c>
      <c r="AR26" s="206" t="s">
        <v>7992</v>
      </c>
      <c r="AS26" s="206" t="s">
        <v>7992</v>
      </c>
      <c r="AT26" s="206" t="s">
        <v>7992</v>
      </c>
      <c r="AU26" s="206" t="s">
        <v>7992</v>
      </c>
      <c r="AV26" s="206" t="s">
        <v>7992</v>
      </c>
      <c r="AW26" s="167" t="s">
        <v>7992</v>
      </c>
      <c r="AX26" s="206" t="s">
        <v>7992</v>
      </c>
      <c r="AY26" s="206" t="s">
        <v>7992</v>
      </c>
      <c r="AZ26" s="206" t="s">
        <v>7992</v>
      </c>
      <c r="BA26" s="206" t="s">
        <v>7992</v>
      </c>
      <c r="BB26" s="206" t="s">
        <v>7992</v>
      </c>
      <c r="BC26" s="206" t="s">
        <v>7992</v>
      </c>
      <c r="BD26" s="206" t="s">
        <v>7992</v>
      </c>
      <c r="BE26" s="206" t="s">
        <v>7992</v>
      </c>
      <c r="BF26" s="206" t="s">
        <v>7992</v>
      </c>
      <c r="BG26" s="206" t="s">
        <v>7992</v>
      </c>
      <c r="BH26" s="206" t="s">
        <v>7992</v>
      </c>
      <c r="BI26" s="206" t="s">
        <v>7992</v>
      </c>
      <c r="BJ26" s="206" t="s">
        <v>7992</v>
      </c>
      <c r="BK26" s="206" t="s">
        <v>7992</v>
      </c>
      <c r="BL26" s="206" t="s">
        <v>7992</v>
      </c>
      <c r="BM26" s="206" t="s">
        <v>7992</v>
      </c>
      <c r="BN26" s="206" t="s">
        <v>7992</v>
      </c>
      <c r="BO26" s="206" t="s">
        <v>7992</v>
      </c>
      <c r="BP26" s="206" t="s">
        <v>7992</v>
      </c>
      <c r="BQ26" s="206" t="s">
        <v>7992</v>
      </c>
      <c r="BR26" s="206" t="s">
        <v>7992</v>
      </c>
      <c r="BS26" s="206" t="s">
        <v>7992</v>
      </c>
      <c r="BT26" s="206" t="s">
        <v>7992</v>
      </c>
      <c r="BU26" s="206" t="s">
        <v>7992</v>
      </c>
      <c r="BV26" s="206" t="s">
        <v>7992</v>
      </c>
      <c r="BW26" s="206" t="s">
        <v>7992</v>
      </c>
      <c r="BX26" s="206" t="s">
        <v>7992</v>
      </c>
      <c r="BY26" s="206" t="s">
        <v>7992</v>
      </c>
      <c r="BZ26" s="206" t="s">
        <v>7992</v>
      </c>
      <c r="CA26" s="206" t="s">
        <v>7992</v>
      </c>
      <c r="CB26" s="206" t="s">
        <v>7992</v>
      </c>
      <c r="CC26" s="206" t="s">
        <v>7992</v>
      </c>
      <c r="CD26" s="206" t="s">
        <v>7992</v>
      </c>
      <c r="CE26" s="206" t="s">
        <v>7992</v>
      </c>
      <c r="CF26" s="206" t="s">
        <v>7992</v>
      </c>
      <c r="CG26" s="206" t="s">
        <v>7992</v>
      </c>
      <c r="CH26" s="206" t="s">
        <v>7992</v>
      </c>
      <c r="CI26" s="206" t="s">
        <v>7992</v>
      </c>
      <c r="CJ26" s="206" t="s">
        <v>7992</v>
      </c>
      <c r="CK26" s="206" t="s">
        <v>7992</v>
      </c>
      <c r="CL26" s="206" t="s">
        <v>7992</v>
      </c>
      <c r="CM26" s="206" t="s">
        <v>7992</v>
      </c>
      <c r="CN26" s="206" t="s">
        <v>7992</v>
      </c>
      <c r="CO26" s="206" t="s">
        <v>7992</v>
      </c>
      <c r="CP26" s="206" t="s">
        <v>7992</v>
      </c>
      <c r="CQ26" s="206" t="s">
        <v>7992</v>
      </c>
      <c r="CR26" s="206" t="s">
        <v>7992</v>
      </c>
      <c r="CS26" s="206" t="s">
        <v>7992</v>
      </c>
      <c r="CT26" s="206" t="s">
        <v>7992</v>
      </c>
      <c r="CU26" s="206" t="s">
        <v>7992</v>
      </c>
      <c r="CV26" s="206" t="s">
        <v>7992</v>
      </c>
      <c r="CW26" s="206" t="s">
        <v>7992</v>
      </c>
      <c r="CX26" s="206" t="s">
        <v>7992</v>
      </c>
      <c r="CY26" s="206" t="s">
        <v>7992</v>
      </c>
      <c r="CZ26" s="206" t="s">
        <v>7992</v>
      </c>
      <c r="DA26" s="206" t="s">
        <v>7992</v>
      </c>
      <c r="DB26" s="206" t="s">
        <v>7992</v>
      </c>
      <c r="DC26" s="206" t="s">
        <v>7992</v>
      </c>
      <c r="DD26" s="206" t="s">
        <v>7992</v>
      </c>
      <c r="DE26" s="206" t="s">
        <v>7992</v>
      </c>
      <c r="DF26" s="206" t="s">
        <v>7992</v>
      </c>
      <c r="DG26" s="206" t="s">
        <v>7992</v>
      </c>
      <c r="DH26" s="206" t="s">
        <v>7992</v>
      </c>
      <c r="DI26" s="206" t="s">
        <v>7992</v>
      </c>
      <c r="DJ26" s="206" t="s">
        <v>7992</v>
      </c>
      <c r="DK26" s="206" t="s">
        <v>7992</v>
      </c>
      <c r="DL26" s="206" t="s">
        <v>7992</v>
      </c>
      <c r="DM26" s="206" t="s">
        <v>7992</v>
      </c>
      <c r="DN26" s="206" t="s">
        <v>7992</v>
      </c>
      <c r="DO26" s="206" t="s">
        <v>7992</v>
      </c>
      <c r="DP26" s="206" t="s">
        <v>7992</v>
      </c>
      <c r="DQ26" s="206" t="s">
        <v>7992</v>
      </c>
      <c r="DR26" s="206" t="s">
        <v>7992</v>
      </c>
      <c r="DS26" s="206" t="s">
        <v>7992</v>
      </c>
      <c r="DT26" s="206" t="s">
        <v>7992</v>
      </c>
      <c r="DU26" s="206" t="s">
        <v>7992</v>
      </c>
      <c r="DV26" s="206" t="s">
        <v>7992</v>
      </c>
      <c r="DW26" s="206" t="s">
        <v>7992</v>
      </c>
      <c r="DX26" s="206" t="s">
        <v>7992</v>
      </c>
      <c r="DY26" s="206" t="s">
        <v>7992</v>
      </c>
      <c r="DZ26" s="206" t="s">
        <v>7992</v>
      </c>
      <c r="EA26" s="206" t="s">
        <v>7992</v>
      </c>
      <c r="EB26" s="206" t="s">
        <v>7992</v>
      </c>
      <c r="EC26" s="206" t="s">
        <v>7992</v>
      </c>
      <c r="ED26" s="206" t="s">
        <v>7992</v>
      </c>
      <c r="EE26" s="206" t="s">
        <v>7992</v>
      </c>
      <c r="EF26" s="206" t="s">
        <v>7992</v>
      </c>
      <c r="EG26" s="206" t="s">
        <v>7992</v>
      </c>
      <c r="EH26" s="206" t="s">
        <v>7992</v>
      </c>
      <c r="EI26" s="206" t="s">
        <v>7992</v>
      </c>
      <c r="EJ26" s="206" t="s">
        <v>7992</v>
      </c>
      <c r="EK26" s="206" t="s">
        <v>7992</v>
      </c>
      <c r="EL26" s="206" t="s">
        <v>7992</v>
      </c>
      <c r="EM26" s="206" t="s">
        <v>7992</v>
      </c>
      <c r="EN26" s="206" t="s">
        <v>7992</v>
      </c>
      <c r="EO26" s="206" t="s">
        <v>7992</v>
      </c>
      <c r="EP26" s="206" t="s">
        <v>7992</v>
      </c>
      <c r="EQ26" s="206" t="s">
        <v>7992</v>
      </c>
      <c r="ER26" s="206" t="s">
        <v>7992</v>
      </c>
      <c r="ES26" s="206" t="s">
        <v>7992</v>
      </c>
      <c r="ET26" s="206" t="s">
        <v>7992</v>
      </c>
      <c r="EU26" s="206" t="s">
        <v>7992</v>
      </c>
      <c r="EV26" s="206" t="s">
        <v>7992</v>
      </c>
      <c r="EW26" s="206" t="s">
        <v>7992</v>
      </c>
      <c r="EX26" s="206" t="s">
        <v>7992</v>
      </c>
      <c r="EY26" s="206" t="s">
        <v>7992</v>
      </c>
      <c r="EZ26" s="206" t="s">
        <v>7992</v>
      </c>
      <c r="FA26" s="206" t="s">
        <v>7992</v>
      </c>
      <c r="FB26" s="206" t="s">
        <v>7992</v>
      </c>
      <c r="FC26" s="206" t="s">
        <v>7992</v>
      </c>
      <c r="FD26" s="206" t="s">
        <v>7992</v>
      </c>
      <c r="FE26" s="206" t="s">
        <v>7992</v>
      </c>
      <c r="FF26" s="206" t="s">
        <v>7992</v>
      </c>
      <c r="FG26" s="206" t="s">
        <v>7992</v>
      </c>
      <c r="FH26" s="206" t="s">
        <v>7992</v>
      </c>
      <c r="FI26" s="206" t="s">
        <v>7992</v>
      </c>
      <c r="FJ26" s="206" t="s">
        <v>7992</v>
      </c>
      <c r="FK26" s="206" t="s">
        <v>7992</v>
      </c>
      <c r="FL26" s="206" t="s">
        <v>7992</v>
      </c>
      <c r="FM26" s="206" t="s">
        <v>7992</v>
      </c>
      <c r="FN26" s="206" t="s">
        <v>7992</v>
      </c>
      <c r="FO26" s="206" t="s">
        <v>7992</v>
      </c>
      <c r="FP26" s="206" t="s">
        <v>7992</v>
      </c>
      <c r="FQ26" s="206" t="s">
        <v>7992</v>
      </c>
      <c r="FR26" s="206" t="s">
        <v>7992</v>
      </c>
      <c r="FS26" s="206" t="s">
        <v>7992</v>
      </c>
      <c r="FT26" s="206" t="s">
        <v>7992</v>
      </c>
      <c r="FU26" s="206" t="s">
        <v>7992</v>
      </c>
      <c r="FV26" s="206" t="s">
        <v>7992</v>
      </c>
      <c r="FW26" s="206" t="s">
        <v>7992</v>
      </c>
      <c r="FX26" s="206" t="s">
        <v>7992</v>
      </c>
      <c r="FY26" s="206" t="s">
        <v>7992</v>
      </c>
      <c r="FZ26" s="206" t="s">
        <v>7992</v>
      </c>
      <c r="GA26" s="206" t="s">
        <v>7992</v>
      </c>
      <c r="GB26" s="206" t="s">
        <v>7992</v>
      </c>
      <c r="GC26" s="206" t="s">
        <v>7992</v>
      </c>
      <c r="GD26" s="206" t="s">
        <v>7992</v>
      </c>
      <c r="GE26" s="206" t="s">
        <v>7992</v>
      </c>
      <c r="GF26" s="206" t="s">
        <v>7992</v>
      </c>
      <c r="GG26" s="206" t="s">
        <v>7992</v>
      </c>
      <c r="GH26" s="206" t="s">
        <v>7992</v>
      </c>
      <c r="GI26" s="206" t="s">
        <v>7992</v>
      </c>
      <c r="GJ26" s="206" t="s">
        <v>7992</v>
      </c>
      <c r="GK26" s="206" t="s">
        <v>7992</v>
      </c>
      <c r="GL26" s="206" t="s">
        <v>7992</v>
      </c>
      <c r="GM26" s="206" t="s">
        <v>7992</v>
      </c>
      <c r="GN26" s="206" t="s">
        <v>7992</v>
      </c>
      <c r="GO26" s="206" t="s">
        <v>7992</v>
      </c>
      <c r="GP26" s="206" t="s">
        <v>7992</v>
      </c>
      <c r="GQ26" s="206" t="s">
        <v>7992</v>
      </c>
      <c r="GR26" s="206" t="s">
        <v>7992</v>
      </c>
      <c r="GS26" s="206" t="s">
        <v>7992</v>
      </c>
      <c r="GT26" s="206" t="s">
        <v>7992</v>
      </c>
      <c r="GU26" s="206" t="s">
        <v>7992</v>
      </c>
      <c r="GV26" s="206" t="s">
        <v>7992</v>
      </c>
      <c r="GW26" s="206" t="s">
        <v>7992</v>
      </c>
      <c r="GX26" s="206" t="s">
        <v>7992</v>
      </c>
      <c r="GY26" s="206" t="s">
        <v>7992</v>
      </c>
      <c r="GZ26" s="206" t="s">
        <v>7992</v>
      </c>
      <c r="HA26" s="206" t="s">
        <v>7992</v>
      </c>
      <c r="HB26" s="206" t="s">
        <v>7992</v>
      </c>
      <c r="HC26" s="206" t="s">
        <v>7992</v>
      </c>
      <c r="HD26" s="206" t="s">
        <v>7992</v>
      </c>
      <c r="HE26" s="206" t="s">
        <v>7992</v>
      </c>
      <c r="HF26" s="206" t="s">
        <v>7992</v>
      </c>
      <c r="HG26" s="206" t="s">
        <v>7992</v>
      </c>
      <c r="HH26" s="206" t="s">
        <v>7992</v>
      </c>
      <c r="HI26" s="206" t="s">
        <v>7992</v>
      </c>
      <c r="HJ26" s="206" t="s">
        <v>7992</v>
      </c>
      <c r="HK26" s="206" t="s">
        <v>7992</v>
      </c>
      <c r="HL26" s="206" t="s">
        <v>7992</v>
      </c>
      <c r="HM26" s="206" t="s">
        <v>7992</v>
      </c>
      <c r="HN26" s="206" t="s">
        <v>7992</v>
      </c>
      <c r="HO26" s="206" t="s">
        <v>7992</v>
      </c>
      <c r="HP26" s="206" t="s">
        <v>7992</v>
      </c>
      <c r="HQ26" s="206" t="s">
        <v>7992</v>
      </c>
      <c r="HR26" s="206" t="s">
        <v>7992</v>
      </c>
      <c r="HS26" s="206" t="s">
        <v>7992</v>
      </c>
      <c r="HT26" s="206" t="s">
        <v>7992</v>
      </c>
      <c r="HU26" s="206" t="s">
        <v>7992</v>
      </c>
      <c r="HV26" s="206" t="s">
        <v>7992</v>
      </c>
      <c r="HW26" s="206" t="s">
        <v>7992</v>
      </c>
      <c r="HX26" s="206" t="s">
        <v>7992</v>
      </c>
      <c r="HY26" s="206" t="s">
        <v>7992</v>
      </c>
      <c r="HZ26" s="206" t="s">
        <v>7992</v>
      </c>
      <c r="IA26" s="206" t="s">
        <v>7992</v>
      </c>
      <c r="IB26" s="206" t="s">
        <v>7992</v>
      </c>
      <c r="IC26" s="206" t="s">
        <v>7992</v>
      </c>
      <c r="ID26" s="206" t="s">
        <v>7992</v>
      </c>
      <c r="IE26" s="206" t="s">
        <v>7992</v>
      </c>
      <c r="IF26" s="206" t="s">
        <v>7992</v>
      </c>
      <c r="IG26" s="206" t="s">
        <v>7992</v>
      </c>
      <c r="IH26" s="206" t="s">
        <v>7992</v>
      </c>
      <c r="II26" s="206" t="s">
        <v>7992</v>
      </c>
      <c r="IJ26" s="206" t="s">
        <v>7992</v>
      </c>
      <c r="IK26" s="206" t="s">
        <v>7992</v>
      </c>
      <c r="IL26" s="206" t="s">
        <v>7992</v>
      </c>
      <c r="IM26" s="206" t="s">
        <v>7992</v>
      </c>
      <c r="IN26" s="206" t="s">
        <v>7992</v>
      </c>
      <c r="IO26" s="206" t="s">
        <v>7992</v>
      </c>
      <c r="IP26" s="206" t="s">
        <v>7992</v>
      </c>
      <c r="IQ26" s="206" t="s">
        <v>7992</v>
      </c>
      <c r="IR26" s="206" t="s">
        <v>7992</v>
      </c>
      <c r="IS26" s="206" t="s">
        <v>7992</v>
      </c>
      <c r="IT26" s="206" t="s">
        <v>7992</v>
      </c>
      <c r="IU26" s="206" t="s">
        <v>7992</v>
      </c>
      <c r="IV26" s="206" t="s">
        <v>7992</v>
      </c>
      <c r="IW26" s="206" t="s">
        <v>7992</v>
      </c>
      <c r="IX26" s="206" t="s">
        <v>7992</v>
      </c>
      <c r="IY26" s="206" t="s">
        <v>7992</v>
      </c>
      <c r="IZ26" s="206" t="s">
        <v>7992</v>
      </c>
      <c r="JA26" s="206" t="s">
        <v>7992</v>
      </c>
      <c r="JB26" s="206" t="s">
        <v>7992</v>
      </c>
      <c r="JC26" s="206" t="s">
        <v>7992</v>
      </c>
      <c r="JD26" s="206" t="s">
        <v>7992</v>
      </c>
      <c r="JE26" s="206" t="s">
        <v>7992</v>
      </c>
      <c r="JF26" s="206" t="s">
        <v>7992</v>
      </c>
      <c r="JG26" s="206" t="s">
        <v>7992</v>
      </c>
      <c r="JH26" s="206" t="s">
        <v>7992</v>
      </c>
      <c r="JI26" s="206" t="s">
        <v>7992</v>
      </c>
      <c r="JJ26" s="206" t="s">
        <v>7992</v>
      </c>
      <c r="JK26" s="206" t="s">
        <v>7992</v>
      </c>
      <c r="JL26" s="206" t="s">
        <v>7992</v>
      </c>
      <c r="JM26" s="206" t="s">
        <v>7992</v>
      </c>
      <c r="JN26" s="206" t="s">
        <v>7992</v>
      </c>
      <c r="JO26" s="206" t="s">
        <v>7992</v>
      </c>
      <c r="JP26" s="206" t="s">
        <v>7992</v>
      </c>
      <c r="JQ26" s="206" t="s">
        <v>7992</v>
      </c>
      <c r="JR26" s="206" t="s">
        <v>7992</v>
      </c>
      <c r="JS26" s="206" t="s">
        <v>7992</v>
      </c>
      <c r="JT26" s="206" t="s">
        <v>7992</v>
      </c>
      <c r="JU26" s="206" t="s">
        <v>7992</v>
      </c>
      <c r="JV26" s="206" t="s">
        <v>7992</v>
      </c>
      <c r="JW26" s="206" t="s">
        <v>7992</v>
      </c>
      <c r="JX26" s="206" t="s">
        <v>7992</v>
      </c>
      <c r="JY26" s="206" t="s">
        <v>7992</v>
      </c>
      <c r="JZ26" s="206" t="s">
        <v>7992</v>
      </c>
      <c r="KA26" s="206" t="s">
        <v>7992</v>
      </c>
      <c r="KB26" s="206" t="s">
        <v>7992</v>
      </c>
      <c r="KC26" s="206" t="s">
        <v>7992</v>
      </c>
      <c r="KD26" s="206" t="s">
        <v>7992</v>
      </c>
      <c r="KE26" s="206" t="s">
        <v>7992</v>
      </c>
      <c r="KF26" s="206" t="s">
        <v>7992</v>
      </c>
      <c r="KG26" s="206" t="s">
        <v>7992</v>
      </c>
      <c r="KH26" s="206" t="s">
        <v>7992</v>
      </c>
      <c r="KI26" s="206" t="s">
        <v>7992</v>
      </c>
      <c r="KJ26" s="206" t="s">
        <v>7992</v>
      </c>
      <c r="KK26" s="206" t="s">
        <v>7992</v>
      </c>
      <c r="KL26" s="206" t="s">
        <v>7992</v>
      </c>
      <c r="KM26" s="206" t="s">
        <v>7992</v>
      </c>
      <c r="KN26" s="206" t="s">
        <v>7992</v>
      </c>
      <c r="KO26" s="206" t="s">
        <v>7992</v>
      </c>
      <c r="KP26" s="206" t="s">
        <v>7992</v>
      </c>
      <c r="KQ26" s="206" t="s">
        <v>7992</v>
      </c>
      <c r="KR26" s="206" t="s">
        <v>7992</v>
      </c>
      <c r="KS26" s="206" t="s">
        <v>7992</v>
      </c>
      <c r="KT26" s="206" t="s">
        <v>7992</v>
      </c>
      <c r="KU26" s="206" t="s">
        <v>7992</v>
      </c>
      <c r="KV26" s="206" t="s">
        <v>7992</v>
      </c>
      <c r="KW26" s="206" t="s">
        <v>7992</v>
      </c>
      <c r="KX26" s="206" t="s">
        <v>7992</v>
      </c>
      <c r="KY26" s="206" t="s">
        <v>7992</v>
      </c>
      <c r="KZ26" s="206" t="s">
        <v>7992</v>
      </c>
      <c r="LA26" s="206" t="s">
        <v>7992</v>
      </c>
      <c r="LB26" s="206" t="s">
        <v>7992</v>
      </c>
      <c r="LC26" s="206" t="s">
        <v>7992</v>
      </c>
      <c r="LD26" s="206" t="s">
        <v>7992</v>
      </c>
      <c r="LE26" s="206" t="s">
        <v>7992</v>
      </c>
      <c r="LF26" s="206" t="s">
        <v>7992</v>
      </c>
      <c r="LG26" s="206" t="s">
        <v>7992</v>
      </c>
      <c r="LH26" s="206" t="s">
        <v>7992</v>
      </c>
      <c r="LI26" s="206" t="s">
        <v>7992</v>
      </c>
      <c r="LJ26" s="206" t="s">
        <v>7992</v>
      </c>
      <c r="LK26" s="206" t="s">
        <v>7992</v>
      </c>
      <c r="LL26" s="206" t="s">
        <v>7992</v>
      </c>
      <c r="LM26" s="206" t="s">
        <v>7992</v>
      </c>
      <c r="LN26" s="206" t="s">
        <v>7992</v>
      </c>
      <c r="LO26" s="206" t="s">
        <v>7992</v>
      </c>
      <c r="LP26" s="206" t="s">
        <v>7992</v>
      </c>
      <c r="LQ26" s="206" t="s">
        <v>7992</v>
      </c>
      <c r="LR26" s="206" t="s">
        <v>7992</v>
      </c>
      <c r="LS26" s="206" t="s">
        <v>7992</v>
      </c>
      <c r="LT26" s="206" t="s">
        <v>7992</v>
      </c>
      <c r="LU26" s="206" t="s">
        <v>7992</v>
      </c>
      <c r="LV26" s="206" t="s">
        <v>7992</v>
      </c>
      <c r="LW26" s="206" t="s">
        <v>7992</v>
      </c>
      <c r="LX26" s="206" t="s">
        <v>7992</v>
      </c>
      <c r="LY26" s="206" t="s">
        <v>7992</v>
      </c>
      <c r="LZ26" s="206" t="s">
        <v>7992</v>
      </c>
      <c r="MA26" s="206" t="s">
        <v>7992</v>
      </c>
      <c r="MB26" s="206" t="s">
        <v>7992</v>
      </c>
      <c r="MC26" s="206" t="s">
        <v>7992</v>
      </c>
      <c r="MD26" s="206" t="s">
        <v>7992</v>
      </c>
      <c r="ME26" s="206" t="s">
        <v>7992</v>
      </c>
      <c r="MF26" s="206" t="s">
        <v>7992</v>
      </c>
      <c r="MG26" s="206" t="s">
        <v>7992</v>
      </c>
      <c r="MH26" s="206" t="s">
        <v>7992</v>
      </c>
      <c r="MI26" s="206" t="s">
        <v>7992</v>
      </c>
      <c r="MJ26" s="206" t="s">
        <v>7992</v>
      </c>
      <c r="MK26" s="206" t="s">
        <v>7992</v>
      </c>
      <c r="ML26" s="206" t="s">
        <v>7992</v>
      </c>
      <c r="MM26" s="206" t="s">
        <v>7992</v>
      </c>
      <c r="MN26" s="206" t="s">
        <v>7992</v>
      </c>
      <c r="MO26" s="206" t="s">
        <v>7992</v>
      </c>
      <c r="MP26" s="206" t="s">
        <v>7992</v>
      </c>
      <c r="MQ26" s="206" t="s">
        <v>7992</v>
      </c>
      <c r="MR26" s="206" t="s">
        <v>7992</v>
      </c>
      <c r="MS26" s="206" t="s">
        <v>7992</v>
      </c>
      <c r="MT26" s="206" t="s">
        <v>7992</v>
      </c>
      <c r="MU26" s="206" t="s">
        <v>7992</v>
      </c>
      <c r="MV26" s="206" t="s">
        <v>7992</v>
      </c>
      <c r="MW26" s="206" t="s">
        <v>7992</v>
      </c>
      <c r="MX26" s="206" t="s">
        <v>7992</v>
      </c>
      <c r="MY26" s="206" t="s">
        <v>7992</v>
      </c>
      <c r="MZ26" s="206" t="s">
        <v>7992</v>
      </c>
      <c r="NA26" s="206" t="s">
        <v>7992</v>
      </c>
      <c r="NB26" s="206" t="s">
        <v>7992</v>
      </c>
      <c r="NC26" s="206" t="s">
        <v>7992</v>
      </c>
      <c r="ND26" s="206" t="s">
        <v>7992</v>
      </c>
      <c r="NE26" s="206" t="s">
        <v>7992</v>
      </c>
      <c r="NF26" s="206" t="s">
        <v>7992</v>
      </c>
      <c r="NG26" s="206" t="s">
        <v>7992</v>
      </c>
      <c r="NH26" s="206" t="s">
        <v>7992</v>
      </c>
      <c r="NI26" s="206" t="s">
        <v>7992</v>
      </c>
      <c r="NJ26" s="206" t="s">
        <v>7992</v>
      </c>
      <c r="NK26" s="206" t="s">
        <v>7992</v>
      </c>
      <c r="NL26" s="206" t="s">
        <v>7992</v>
      </c>
      <c r="NM26" s="206" t="s">
        <v>7992</v>
      </c>
      <c r="NN26" s="206" t="s">
        <v>7992</v>
      </c>
      <c r="NO26" s="206" t="s">
        <v>7992</v>
      </c>
      <c r="NP26" s="206" t="s">
        <v>7992</v>
      </c>
      <c r="NQ26" s="206" t="s">
        <v>7992</v>
      </c>
      <c r="NR26" s="206" t="s">
        <v>7992</v>
      </c>
      <c r="NS26" s="206" t="s">
        <v>7992</v>
      </c>
      <c r="NT26" s="206" t="s">
        <v>7992</v>
      </c>
      <c r="NU26" s="206" t="s">
        <v>7992</v>
      </c>
      <c r="NV26" s="206" t="s">
        <v>7992</v>
      </c>
      <c r="NW26" s="206" t="s">
        <v>7992</v>
      </c>
      <c r="NX26" s="206" t="s">
        <v>7992</v>
      </c>
      <c r="NY26" s="206" t="s">
        <v>7992</v>
      </c>
      <c r="NZ26" s="206" t="s">
        <v>7992</v>
      </c>
      <c r="OA26" s="206" t="s">
        <v>7992</v>
      </c>
      <c r="OB26" s="206" t="s">
        <v>7992</v>
      </c>
      <c r="OC26" s="206" t="s">
        <v>7992</v>
      </c>
      <c r="OD26" s="206" t="s">
        <v>7992</v>
      </c>
      <c r="OE26" s="206" t="s">
        <v>7992</v>
      </c>
      <c r="OF26" s="206" t="s">
        <v>7992</v>
      </c>
      <c r="OG26" s="206" t="s">
        <v>7992</v>
      </c>
      <c r="OH26" s="206" t="s">
        <v>7992</v>
      </c>
      <c r="OI26" s="206" t="s">
        <v>7992</v>
      </c>
      <c r="OJ26" s="206" t="s">
        <v>7992</v>
      </c>
      <c r="OK26" s="206" t="s">
        <v>7992</v>
      </c>
      <c r="OL26" s="206" t="s">
        <v>7992</v>
      </c>
      <c r="OM26" s="206" t="s">
        <v>7992</v>
      </c>
      <c r="ON26" s="206" t="s">
        <v>7992</v>
      </c>
      <c r="OO26" s="206" t="s">
        <v>7992</v>
      </c>
      <c r="OP26" s="206" t="s">
        <v>7992</v>
      </c>
      <c r="OQ26" s="206" t="s">
        <v>7992</v>
      </c>
      <c r="OR26" s="206" t="s">
        <v>7992</v>
      </c>
      <c r="OS26" s="206" t="s">
        <v>7992</v>
      </c>
      <c r="OT26" s="206" t="s">
        <v>7992</v>
      </c>
      <c r="OU26" s="206" t="s">
        <v>7992</v>
      </c>
      <c r="OV26" s="206" t="s">
        <v>7992</v>
      </c>
      <c r="OW26" s="206" t="s">
        <v>7992</v>
      </c>
      <c r="OX26" s="206" t="s">
        <v>7992</v>
      </c>
      <c r="OY26" s="206" t="s">
        <v>7992</v>
      </c>
      <c r="OZ26" s="206" t="s">
        <v>7992</v>
      </c>
      <c r="PA26" s="206" t="s">
        <v>7992</v>
      </c>
      <c r="PB26" s="206" t="s">
        <v>7992</v>
      </c>
      <c r="PC26" s="206" t="s">
        <v>7992</v>
      </c>
      <c r="PD26" s="206" t="s">
        <v>7992</v>
      </c>
      <c r="PE26" s="206" t="s">
        <v>7992</v>
      </c>
      <c r="PF26" s="206" t="s">
        <v>7992</v>
      </c>
      <c r="PG26" s="206" t="s">
        <v>7992</v>
      </c>
      <c r="PH26" s="206" t="s">
        <v>7992</v>
      </c>
      <c r="PI26" s="206" t="s">
        <v>7992</v>
      </c>
      <c r="PJ26" s="206" t="s">
        <v>7992</v>
      </c>
      <c r="PK26" s="206" t="s">
        <v>7992</v>
      </c>
      <c r="PL26" s="206" t="s">
        <v>7992</v>
      </c>
      <c r="PM26" s="206" t="s">
        <v>7992</v>
      </c>
      <c r="PN26" s="206" t="s">
        <v>7992</v>
      </c>
      <c r="PO26" s="206" t="s">
        <v>7992</v>
      </c>
      <c r="PP26" s="206" t="s">
        <v>7992</v>
      </c>
      <c r="PQ26" s="206" t="s">
        <v>7992</v>
      </c>
      <c r="PR26" s="206" t="s">
        <v>7992</v>
      </c>
      <c r="PS26" s="206" t="s">
        <v>7992</v>
      </c>
      <c r="PT26" s="206" t="s">
        <v>7992</v>
      </c>
      <c r="PU26" s="206" t="s">
        <v>7992</v>
      </c>
      <c r="PV26" s="206" t="s">
        <v>7992</v>
      </c>
      <c r="PW26" s="206" t="s">
        <v>7992</v>
      </c>
      <c r="PX26" s="206" t="s">
        <v>7992</v>
      </c>
      <c r="PY26" s="206" t="s">
        <v>7992</v>
      </c>
      <c r="PZ26" s="206" t="s">
        <v>7992</v>
      </c>
      <c r="QA26" s="206" t="s">
        <v>7992</v>
      </c>
      <c r="QB26" s="206" t="s">
        <v>7992</v>
      </c>
      <c r="QC26" s="206" t="s">
        <v>7992</v>
      </c>
      <c r="QD26" s="206" t="s">
        <v>7992</v>
      </c>
      <c r="QE26" s="206" t="s">
        <v>7992</v>
      </c>
      <c r="QF26" s="206" t="s">
        <v>7992</v>
      </c>
      <c r="QG26" s="206" t="s">
        <v>7992</v>
      </c>
      <c r="QH26" s="206" t="s">
        <v>7992</v>
      </c>
      <c r="QI26" s="206" t="s">
        <v>7992</v>
      </c>
      <c r="QJ26" s="206" t="s">
        <v>7992</v>
      </c>
      <c r="QK26" s="206" t="s">
        <v>7992</v>
      </c>
      <c r="QL26" s="206" t="s">
        <v>7992</v>
      </c>
      <c r="QM26" s="206" t="s">
        <v>7992</v>
      </c>
      <c r="QN26" s="206" t="s">
        <v>7992</v>
      </c>
      <c r="QO26" s="206" t="s">
        <v>7992</v>
      </c>
      <c r="QP26" s="206" t="s">
        <v>7992</v>
      </c>
      <c r="QQ26" s="206" t="s">
        <v>7992</v>
      </c>
      <c r="QR26" s="206" t="s">
        <v>7992</v>
      </c>
      <c r="QS26" s="206" t="s">
        <v>7992</v>
      </c>
      <c r="QT26" s="206" t="s">
        <v>7992</v>
      </c>
      <c r="QU26" s="206" t="s">
        <v>7992</v>
      </c>
      <c r="QV26" s="206" t="s">
        <v>7992</v>
      </c>
      <c r="QW26" s="206" t="s">
        <v>7992</v>
      </c>
      <c r="QX26" s="206" t="s">
        <v>7992</v>
      </c>
      <c r="QY26" s="206" t="s">
        <v>7992</v>
      </c>
      <c r="QZ26" s="206" t="s">
        <v>7992</v>
      </c>
      <c r="RA26" s="206" t="s">
        <v>7992</v>
      </c>
      <c r="RB26" s="206" t="s">
        <v>7992</v>
      </c>
      <c r="RC26" s="206" t="s">
        <v>7992</v>
      </c>
      <c r="RD26" s="206" t="s">
        <v>7992</v>
      </c>
      <c r="RE26" s="206" t="s">
        <v>7992</v>
      </c>
      <c r="RF26" s="206" t="s">
        <v>7992</v>
      </c>
      <c r="RG26" s="206" t="s">
        <v>7992</v>
      </c>
      <c r="RH26" s="206" t="s">
        <v>7992</v>
      </c>
      <c r="RI26" s="206" t="s">
        <v>7992</v>
      </c>
      <c r="RJ26" s="206" t="s">
        <v>7992</v>
      </c>
      <c r="RK26" s="206" t="s">
        <v>7992</v>
      </c>
      <c r="RL26" s="206" t="s">
        <v>7992</v>
      </c>
      <c r="RM26" s="206" t="s">
        <v>7992</v>
      </c>
      <c r="RN26" s="206" t="s">
        <v>7992</v>
      </c>
      <c r="RO26" s="206" t="s">
        <v>7992</v>
      </c>
      <c r="RP26" s="206" t="s">
        <v>7992</v>
      </c>
      <c r="RQ26" s="206" t="s">
        <v>7992</v>
      </c>
      <c r="RR26" s="206" t="s">
        <v>7992</v>
      </c>
      <c r="RS26" s="206" t="s">
        <v>7992</v>
      </c>
      <c r="RT26" s="206" t="s">
        <v>7992</v>
      </c>
      <c r="RU26" s="206" t="s">
        <v>7992</v>
      </c>
      <c r="RV26" s="206" t="s">
        <v>7992</v>
      </c>
      <c r="RW26" s="206" t="s">
        <v>7992</v>
      </c>
      <c r="RX26" s="206" t="s">
        <v>7992</v>
      </c>
      <c r="RY26" s="206" t="s">
        <v>7992</v>
      </c>
      <c r="RZ26" s="206" t="s">
        <v>7992</v>
      </c>
      <c r="SA26" s="206" t="s">
        <v>7992</v>
      </c>
      <c r="SB26" s="206" t="s">
        <v>7992</v>
      </c>
      <c r="SC26" s="206" t="s">
        <v>7992</v>
      </c>
      <c r="SD26" s="206" t="s">
        <v>7992</v>
      </c>
      <c r="SE26" s="206" t="s">
        <v>7992</v>
      </c>
      <c r="SF26" s="206" t="s">
        <v>7992</v>
      </c>
      <c r="SG26" s="206" t="s">
        <v>7992</v>
      </c>
      <c r="SH26" s="206" t="s">
        <v>7992</v>
      </c>
      <c r="SI26" s="206" t="s">
        <v>7992</v>
      </c>
      <c r="SJ26" s="206" t="s">
        <v>7992</v>
      </c>
      <c r="SK26" s="206" t="s">
        <v>7992</v>
      </c>
      <c r="SL26" s="206" t="s">
        <v>7992</v>
      </c>
      <c r="SM26" s="206" t="s">
        <v>7992</v>
      </c>
      <c r="SN26" s="206" t="s">
        <v>7992</v>
      </c>
      <c r="SO26" s="206" t="s">
        <v>7992</v>
      </c>
      <c r="SP26" s="206" t="s">
        <v>7992</v>
      </c>
      <c r="SQ26" s="206" t="s">
        <v>7992</v>
      </c>
      <c r="SR26" s="206" t="s">
        <v>7992</v>
      </c>
      <c r="SS26" s="206" t="s">
        <v>7992</v>
      </c>
      <c r="ST26" s="206" t="s">
        <v>7992</v>
      </c>
      <c r="SU26" s="206" t="s">
        <v>7992</v>
      </c>
      <c r="SV26" s="206" t="s">
        <v>7992</v>
      </c>
      <c r="SW26" s="206" t="s">
        <v>7992</v>
      </c>
      <c r="SX26" s="206" t="s">
        <v>7992</v>
      </c>
      <c r="SY26" s="206" t="s">
        <v>7992</v>
      </c>
      <c r="SZ26" s="206" t="s">
        <v>7992</v>
      </c>
      <c r="TA26" s="206" t="s">
        <v>7992</v>
      </c>
      <c r="TB26" s="206" t="s">
        <v>7992</v>
      </c>
      <c r="TC26" s="206" t="s">
        <v>7992</v>
      </c>
      <c r="TD26" s="206" t="s">
        <v>7992</v>
      </c>
      <c r="TE26" s="206" t="s">
        <v>7992</v>
      </c>
      <c r="TF26" s="206" t="s">
        <v>7992</v>
      </c>
      <c r="TG26" s="206" t="s">
        <v>7992</v>
      </c>
      <c r="TH26" s="206" t="s">
        <v>7992</v>
      </c>
      <c r="TI26" s="206" t="s">
        <v>7992</v>
      </c>
      <c r="TJ26" s="206" t="s">
        <v>7992</v>
      </c>
      <c r="TK26" s="206" t="s">
        <v>7992</v>
      </c>
      <c r="TL26" s="206" t="s">
        <v>7992</v>
      </c>
      <c r="TM26" s="206" t="s">
        <v>7992</v>
      </c>
      <c r="TN26" s="206" t="s">
        <v>7992</v>
      </c>
      <c r="TO26" s="206" t="s">
        <v>7992</v>
      </c>
      <c r="TP26" s="206" t="s">
        <v>7992</v>
      </c>
      <c r="TQ26" s="206" t="s">
        <v>7992</v>
      </c>
      <c r="TR26" s="206" t="s">
        <v>7992</v>
      </c>
      <c r="TS26" s="206" t="s">
        <v>7992</v>
      </c>
      <c r="TT26" s="206" t="s">
        <v>7992</v>
      </c>
      <c r="TU26" s="206" t="s">
        <v>7992</v>
      </c>
      <c r="TV26" s="206" t="s">
        <v>7992</v>
      </c>
      <c r="TW26" s="206" t="s">
        <v>7992</v>
      </c>
      <c r="TX26" s="206" t="s">
        <v>7992</v>
      </c>
      <c r="TY26" s="206" t="s">
        <v>7992</v>
      </c>
      <c r="TZ26" s="206" t="s">
        <v>7992</v>
      </c>
      <c r="UA26" s="206" t="s">
        <v>7992</v>
      </c>
      <c r="UB26" s="206" t="s">
        <v>7992</v>
      </c>
      <c r="UC26" s="206" t="s">
        <v>7992</v>
      </c>
      <c r="UD26" s="206" t="s">
        <v>7992</v>
      </c>
      <c r="UE26" s="206" t="s">
        <v>7992</v>
      </c>
      <c r="UF26" s="206" t="s">
        <v>7992</v>
      </c>
      <c r="UG26" s="206" t="s">
        <v>7992</v>
      </c>
      <c r="UH26" s="206" t="s">
        <v>7992</v>
      </c>
      <c r="UI26" s="206" t="s">
        <v>7992</v>
      </c>
      <c r="UJ26" s="206" t="s">
        <v>7992</v>
      </c>
      <c r="UK26" s="206" t="s">
        <v>7992</v>
      </c>
      <c r="UL26" s="206" t="s">
        <v>7992</v>
      </c>
      <c r="UM26" s="206" t="s">
        <v>7992</v>
      </c>
      <c r="UN26" s="206" t="s">
        <v>7992</v>
      </c>
      <c r="UO26" s="206" t="s">
        <v>7992</v>
      </c>
      <c r="UP26" s="206" t="s">
        <v>7992</v>
      </c>
      <c r="UQ26" s="206" t="s">
        <v>7992</v>
      </c>
      <c r="UR26" s="206" t="s">
        <v>7992</v>
      </c>
      <c r="US26" s="206" t="s">
        <v>7992</v>
      </c>
      <c r="UT26" s="206" t="s">
        <v>7992</v>
      </c>
      <c r="UU26" s="206" t="s">
        <v>7992</v>
      </c>
      <c r="UV26" s="206" t="s">
        <v>7992</v>
      </c>
      <c r="UW26" s="206" t="s">
        <v>7992</v>
      </c>
      <c r="UX26" s="206" t="s">
        <v>7992</v>
      </c>
      <c r="UY26" s="206" t="s">
        <v>7992</v>
      </c>
      <c r="UZ26" s="206" t="s">
        <v>7992</v>
      </c>
      <c r="VA26" s="206" t="s">
        <v>7992</v>
      </c>
      <c r="VB26" s="206" t="s">
        <v>7992</v>
      </c>
      <c r="VC26" s="206" t="s">
        <v>7992</v>
      </c>
      <c r="VD26" s="206" t="s">
        <v>7992</v>
      </c>
      <c r="VE26" s="206" t="s">
        <v>7992</v>
      </c>
      <c r="VF26" s="206" t="s">
        <v>7992</v>
      </c>
      <c r="VG26" s="206" t="s">
        <v>7992</v>
      </c>
      <c r="VH26" s="206" t="s">
        <v>7992</v>
      </c>
      <c r="VI26" s="206" t="s">
        <v>7992</v>
      </c>
      <c r="VJ26" s="206" t="s">
        <v>7992</v>
      </c>
      <c r="VK26" s="206" t="s">
        <v>7992</v>
      </c>
      <c r="VL26" s="206" t="s">
        <v>7992</v>
      </c>
      <c r="VM26" s="206" t="s">
        <v>7992</v>
      </c>
      <c r="VN26" s="206" t="s">
        <v>7992</v>
      </c>
      <c r="VO26" s="206" t="s">
        <v>7992</v>
      </c>
      <c r="VP26" s="206" t="s">
        <v>7992</v>
      </c>
      <c r="VQ26" s="206" t="s">
        <v>7992</v>
      </c>
      <c r="VR26" s="206" t="s">
        <v>7992</v>
      </c>
      <c r="VS26" s="206" t="s">
        <v>7992</v>
      </c>
      <c r="VT26" s="206" t="s">
        <v>7992</v>
      </c>
      <c r="VU26" s="206" t="s">
        <v>7992</v>
      </c>
      <c r="VV26" s="206" t="s">
        <v>7992</v>
      </c>
      <c r="VW26" s="206" t="s">
        <v>7992</v>
      </c>
      <c r="VX26" s="206" t="s">
        <v>7992</v>
      </c>
      <c r="VY26" s="206" t="s">
        <v>7992</v>
      </c>
      <c r="VZ26" s="206" t="s">
        <v>7992</v>
      </c>
      <c r="WA26" s="206" t="s">
        <v>7992</v>
      </c>
      <c r="WB26" s="206" t="s">
        <v>7992</v>
      </c>
      <c r="WC26" s="206" t="s">
        <v>7992</v>
      </c>
      <c r="WD26" s="206" t="s">
        <v>7992</v>
      </c>
      <c r="WE26" s="206" t="s">
        <v>7992</v>
      </c>
      <c r="WF26" s="206" t="s">
        <v>7992</v>
      </c>
      <c r="WG26" s="206" t="s">
        <v>7992</v>
      </c>
      <c r="WH26" s="206" t="s">
        <v>7992</v>
      </c>
      <c r="WI26" s="206" t="s">
        <v>7992</v>
      </c>
      <c r="WJ26" s="206" t="s">
        <v>7992</v>
      </c>
      <c r="WK26" s="206" t="s">
        <v>7992</v>
      </c>
      <c r="WL26" s="206" t="s">
        <v>7992</v>
      </c>
      <c r="WM26" s="206" t="s">
        <v>7992</v>
      </c>
      <c r="WN26" s="206" t="s">
        <v>7992</v>
      </c>
      <c r="WO26" s="206" t="s">
        <v>7992</v>
      </c>
      <c r="WP26" s="206" t="s">
        <v>7992</v>
      </c>
      <c r="WQ26" s="206" t="s">
        <v>7992</v>
      </c>
      <c r="WR26" s="206" t="s">
        <v>7992</v>
      </c>
      <c r="WS26" s="206" t="s">
        <v>7992</v>
      </c>
      <c r="WT26" s="206" t="s">
        <v>7992</v>
      </c>
      <c r="WU26" s="206" t="s">
        <v>7992</v>
      </c>
      <c r="WV26" s="206" t="s">
        <v>7992</v>
      </c>
      <c r="WW26" s="206" t="s">
        <v>7992</v>
      </c>
      <c r="WX26" s="206" t="s">
        <v>7992</v>
      </c>
      <c r="WY26" s="206" t="s">
        <v>7992</v>
      </c>
      <c r="WZ26" s="206" t="s">
        <v>7992</v>
      </c>
      <c r="XA26" s="206" t="s">
        <v>7992</v>
      </c>
      <c r="XB26" s="206" t="s">
        <v>7992</v>
      </c>
      <c r="XC26" s="206" t="s">
        <v>7992</v>
      </c>
      <c r="XD26" s="206" t="s">
        <v>7992</v>
      </c>
      <c r="XE26" s="206" t="s">
        <v>7992</v>
      </c>
      <c r="XF26" s="206" t="s">
        <v>7992</v>
      </c>
      <c r="XG26" s="206" t="s">
        <v>7992</v>
      </c>
      <c r="XH26" s="206" t="s">
        <v>7992</v>
      </c>
      <c r="XI26" s="206" t="s">
        <v>7992</v>
      </c>
      <c r="XJ26" s="206" t="s">
        <v>7992</v>
      </c>
      <c r="XK26" s="206" t="s">
        <v>7992</v>
      </c>
      <c r="XL26" s="206" t="s">
        <v>7992</v>
      </c>
      <c r="XM26" s="206" t="s">
        <v>7992</v>
      </c>
      <c r="XN26" s="206" t="s">
        <v>7992</v>
      </c>
      <c r="XO26" s="206" t="s">
        <v>7992</v>
      </c>
      <c r="XP26" s="206" t="s">
        <v>7992</v>
      </c>
      <c r="XQ26" s="206" t="s">
        <v>7992</v>
      </c>
      <c r="XR26" s="206" t="s">
        <v>7992</v>
      </c>
      <c r="XS26" s="206" t="s">
        <v>7992</v>
      </c>
      <c r="XT26" s="206" t="s">
        <v>7992</v>
      </c>
      <c r="XU26" s="206" t="s">
        <v>7992</v>
      </c>
      <c r="XV26" s="206" t="s">
        <v>7992</v>
      </c>
      <c r="XW26" s="206" t="s">
        <v>7992</v>
      </c>
      <c r="XX26" s="206" t="s">
        <v>7992</v>
      </c>
      <c r="XY26" s="206" t="s">
        <v>7992</v>
      </c>
      <c r="XZ26" s="206" t="s">
        <v>7992</v>
      </c>
      <c r="YA26" s="206" t="s">
        <v>7992</v>
      </c>
      <c r="YB26" s="206" t="s">
        <v>7992</v>
      </c>
      <c r="YC26" s="206" t="s">
        <v>7992</v>
      </c>
      <c r="YD26" s="206" t="s">
        <v>7992</v>
      </c>
      <c r="YE26" s="206" t="s">
        <v>7992</v>
      </c>
      <c r="YF26" s="206" t="s">
        <v>7992</v>
      </c>
      <c r="YG26" s="206" t="s">
        <v>7992</v>
      </c>
      <c r="YH26" s="206" t="s">
        <v>7992</v>
      </c>
      <c r="YI26" s="206" t="s">
        <v>7992</v>
      </c>
      <c r="YJ26" s="206" t="s">
        <v>7992</v>
      </c>
      <c r="YK26" s="206" t="s">
        <v>7992</v>
      </c>
      <c r="YL26" s="206" t="s">
        <v>7992</v>
      </c>
      <c r="YM26" s="206" t="s">
        <v>7992</v>
      </c>
      <c r="YN26" s="206" t="s">
        <v>7992</v>
      </c>
      <c r="YO26" s="206" t="s">
        <v>7992</v>
      </c>
      <c r="YP26" s="206" t="s">
        <v>7992</v>
      </c>
      <c r="YQ26" s="206" t="s">
        <v>7992</v>
      </c>
      <c r="YR26" s="206" t="s">
        <v>7992</v>
      </c>
      <c r="YS26" s="206" t="s">
        <v>7992</v>
      </c>
      <c r="YT26" s="206" t="s">
        <v>7992</v>
      </c>
      <c r="YU26" s="206" t="s">
        <v>7992</v>
      </c>
      <c r="YV26" s="206" t="s">
        <v>7992</v>
      </c>
      <c r="YW26" s="206" t="s">
        <v>7992</v>
      </c>
      <c r="YX26" s="206" t="s">
        <v>7992</v>
      </c>
      <c r="YY26" s="206" t="s">
        <v>7992</v>
      </c>
      <c r="YZ26" s="206" t="s">
        <v>7992</v>
      </c>
      <c r="ZA26" s="206" t="s">
        <v>7992</v>
      </c>
      <c r="ZB26" s="206" t="s">
        <v>7992</v>
      </c>
      <c r="ZC26" s="206" t="s">
        <v>7992</v>
      </c>
      <c r="ZD26" s="206" t="s">
        <v>7992</v>
      </c>
      <c r="ZE26" s="206" t="s">
        <v>7992</v>
      </c>
      <c r="ZF26" s="206" t="s">
        <v>7992</v>
      </c>
      <c r="ZG26" s="206" t="s">
        <v>7992</v>
      </c>
      <c r="ZH26" s="206" t="s">
        <v>7992</v>
      </c>
      <c r="ZI26" s="206" t="s">
        <v>7992</v>
      </c>
      <c r="ZJ26" s="206" t="s">
        <v>7992</v>
      </c>
      <c r="ZK26" s="206" t="s">
        <v>7992</v>
      </c>
      <c r="ZL26" s="206" t="s">
        <v>7992</v>
      </c>
      <c r="ZM26" s="206" t="s">
        <v>7992</v>
      </c>
      <c r="ZN26" s="206" t="s">
        <v>7992</v>
      </c>
      <c r="ZO26" s="206" t="s">
        <v>7992</v>
      </c>
      <c r="ZP26" s="206" t="s">
        <v>7992</v>
      </c>
      <c r="ZQ26" s="206" t="s">
        <v>7992</v>
      </c>
      <c r="ZR26" s="206" t="s">
        <v>7992</v>
      </c>
      <c r="ZS26" s="206" t="s">
        <v>7992</v>
      </c>
      <c r="ZT26" s="206" t="s">
        <v>7992</v>
      </c>
      <c r="ZU26" s="206" t="s">
        <v>7992</v>
      </c>
      <c r="ZV26" s="206" t="s">
        <v>7992</v>
      </c>
      <c r="ZW26" s="206" t="s">
        <v>7992</v>
      </c>
      <c r="ZX26" s="206" t="s">
        <v>7992</v>
      </c>
      <c r="ZY26" s="206" t="s">
        <v>7992</v>
      </c>
      <c r="ZZ26" s="206" t="s">
        <v>7992</v>
      </c>
      <c r="AAA26" s="206" t="s">
        <v>7992</v>
      </c>
      <c r="AAB26" s="206" t="s">
        <v>7992</v>
      </c>
      <c r="AAC26" s="206" t="s">
        <v>7992</v>
      </c>
      <c r="AAD26" s="206" t="s">
        <v>7992</v>
      </c>
      <c r="AAE26" s="206" t="s">
        <v>7992</v>
      </c>
      <c r="AAF26" s="206" t="s">
        <v>7992</v>
      </c>
      <c r="AAG26" s="206" t="s">
        <v>7992</v>
      </c>
      <c r="AAH26" s="206" t="s">
        <v>7992</v>
      </c>
      <c r="AAI26" s="206" t="s">
        <v>7992</v>
      </c>
      <c r="AAJ26" s="206" t="s">
        <v>7992</v>
      </c>
      <c r="AAK26" s="206" t="s">
        <v>7992</v>
      </c>
      <c r="AAL26" s="206" t="s">
        <v>7992</v>
      </c>
      <c r="AAM26" s="206" t="s">
        <v>7992</v>
      </c>
      <c r="AAN26" s="206" t="s">
        <v>7992</v>
      </c>
      <c r="AAO26" s="206" t="s">
        <v>7992</v>
      </c>
      <c r="AAP26" s="206" t="s">
        <v>7992</v>
      </c>
      <c r="AAQ26" s="206" t="s">
        <v>7992</v>
      </c>
      <c r="AAR26" s="206" t="s">
        <v>7992</v>
      </c>
      <c r="AAS26" s="206" t="s">
        <v>7992</v>
      </c>
      <c r="AAT26" s="206" t="s">
        <v>7992</v>
      </c>
      <c r="AAU26" s="206" t="s">
        <v>7992</v>
      </c>
      <c r="AAV26" s="206" t="s">
        <v>7992</v>
      </c>
      <c r="AAW26" s="206" t="s">
        <v>7992</v>
      </c>
      <c r="AAX26" s="206" t="s">
        <v>7992</v>
      </c>
      <c r="AAY26" s="206" t="s">
        <v>7992</v>
      </c>
    </row>
    <row r="27" spans="1:727" s="206" customFormat="1" x14ac:dyDescent="0.25">
      <c r="A27" s="203" t="s">
        <v>3321</v>
      </c>
      <c r="B27" s="226" t="s">
        <v>7992</v>
      </c>
      <c r="C27" s="226" t="s">
        <v>7992</v>
      </c>
      <c r="D27" s="226" t="s">
        <v>7992</v>
      </c>
      <c r="E27" s="226" t="s">
        <v>7992</v>
      </c>
      <c r="F27" s="225" t="s">
        <v>7992</v>
      </c>
      <c r="G27" s="226" t="s">
        <v>7992</v>
      </c>
      <c r="H27" s="226" t="s">
        <v>7992</v>
      </c>
      <c r="I27" s="226" t="s">
        <v>7992</v>
      </c>
      <c r="J27" s="226" t="s">
        <v>7992</v>
      </c>
      <c r="K27" s="204" t="s">
        <v>7992</v>
      </c>
      <c r="L27" s="204" t="s">
        <v>7992</v>
      </c>
      <c r="M27" s="204" t="s">
        <v>7992</v>
      </c>
      <c r="N27" s="204" t="s">
        <v>7992</v>
      </c>
      <c r="O27" s="204" t="s">
        <v>7992</v>
      </c>
      <c r="P27" s="204" t="s">
        <v>7992</v>
      </c>
      <c r="Q27" s="204" t="s">
        <v>7992</v>
      </c>
      <c r="R27" s="204" t="s">
        <v>7992</v>
      </c>
      <c r="S27" s="204" t="s">
        <v>7992</v>
      </c>
      <c r="T27" s="204" t="s">
        <v>7992</v>
      </c>
      <c r="U27" s="204" t="s">
        <v>7992</v>
      </c>
      <c r="V27" s="204" t="s">
        <v>7992</v>
      </c>
      <c r="W27" s="204" t="s">
        <v>7992</v>
      </c>
      <c r="X27" s="204" t="s">
        <v>7992</v>
      </c>
      <c r="Y27" s="204" t="s">
        <v>7992</v>
      </c>
      <c r="Z27" s="204" t="s">
        <v>7992</v>
      </c>
      <c r="AA27" s="204" t="s">
        <v>7992</v>
      </c>
      <c r="AB27" s="204" t="s">
        <v>7992</v>
      </c>
      <c r="AC27" s="204" t="s">
        <v>7992</v>
      </c>
      <c r="AD27" s="204" t="s">
        <v>7992</v>
      </c>
      <c r="AE27" s="204" t="s">
        <v>7992</v>
      </c>
      <c r="AF27" s="204" t="s">
        <v>7992</v>
      </c>
      <c r="AG27" s="204" t="s">
        <v>7992</v>
      </c>
      <c r="AH27" s="204" t="s">
        <v>7992</v>
      </c>
      <c r="AI27" s="204" t="s">
        <v>7992</v>
      </c>
      <c r="AJ27" s="204" t="s">
        <v>7992</v>
      </c>
      <c r="AK27" s="204" t="s">
        <v>7992</v>
      </c>
      <c r="AL27" s="206" t="s">
        <v>7992</v>
      </c>
      <c r="AM27" s="206" t="s">
        <v>7992</v>
      </c>
      <c r="AN27" s="206" t="s">
        <v>7992</v>
      </c>
      <c r="AO27" s="206" t="s">
        <v>7992</v>
      </c>
      <c r="AP27" s="206" t="s">
        <v>7992</v>
      </c>
      <c r="AQ27" s="206" t="s">
        <v>7992</v>
      </c>
      <c r="AR27" s="206" t="s">
        <v>7992</v>
      </c>
      <c r="AS27" s="206" t="s">
        <v>7992</v>
      </c>
      <c r="AT27" s="206" t="s">
        <v>7992</v>
      </c>
      <c r="AU27" s="206" t="s">
        <v>7992</v>
      </c>
      <c r="AV27" s="206" t="s">
        <v>7992</v>
      </c>
      <c r="AW27" s="167" t="s">
        <v>7992</v>
      </c>
      <c r="AX27" s="206" t="s">
        <v>7992</v>
      </c>
      <c r="AY27" s="206" t="s">
        <v>7992</v>
      </c>
      <c r="AZ27" s="206" t="s">
        <v>7992</v>
      </c>
      <c r="BA27" s="206" t="s">
        <v>7992</v>
      </c>
      <c r="BB27" s="206" t="s">
        <v>7992</v>
      </c>
      <c r="BC27" s="206" t="s">
        <v>7992</v>
      </c>
      <c r="BD27" s="206" t="s">
        <v>7992</v>
      </c>
      <c r="BE27" s="206" t="s">
        <v>7992</v>
      </c>
      <c r="BF27" s="206" t="s">
        <v>7992</v>
      </c>
      <c r="BG27" s="206" t="s">
        <v>7992</v>
      </c>
      <c r="BH27" s="206" t="s">
        <v>7992</v>
      </c>
      <c r="BI27" s="206" t="s">
        <v>7992</v>
      </c>
      <c r="BJ27" s="206" t="s">
        <v>7992</v>
      </c>
      <c r="BK27" s="206" t="s">
        <v>7992</v>
      </c>
      <c r="BL27" s="206" t="s">
        <v>7992</v>
      </c>
      <c r="BM27" s="206" t="s">
        <v>7992</v>
      </c>
      <c r="BN27" s="206" t="s">
        <v>7992</v>
      </c>
      <c r="BO27" s="206" t="s">
        <v>7992</v>
      </c>
      <c r="BP27" s="206" t="s">
        <v>7992</v>
      </c>
      <c r="BQ27" s="206" t="s">
        <v>7992</v>
      </c>
      <c r="BR27" s="206" t="s">
        <v>7992</v>
      </c>
      <c r="BS27" s="206" t="s">
        <v>7992</v>
      </c>
      <c r="BT27" s="206" t="s">
        <v>7992</v>
      </c>
      <c r="BU27" s="206" t="s">
        <v>7992</v>
      </c>
      <c r="BV27" s="206" t="s">
        <v>7992</v>
      </c>
      <c r="BW27" s="206" t="s">
        <v>7992</v>
      </c>
      <c r="BX27" s="206" t="s">
        <v>7992</v>
      </c>
      <c r="BY27" s="206" t="s">
        <v>7992</v>
      </c>
      <c r="BZ27" s="206" t="s">
        <v>7992</v>
      </c>
      <c r="CA27" s="206" t="s">
        <v>7992</v>
      </c>
      <c r="CB27" s="206" t="s">
        <v>7992</v>
      </c>
      <c r="CC27" s="206" t="s">
        <v>7992</v>
      </c>
      <c r="CD27" s="206" t="s">
        <v>7992</v>
      </c>
      <c r="CE27" s="206" t="s">
        <v>7992</v>
      </c>
      <c r="CF27" s="206" t="s">
        <v>7992</v>
      </c>
      <c r="CG27" s="206" t="s">
        <v>7992</v>
      </c>
      <c r="CH27" s="206" t="s">
        <v>7992</v>
      </c>
      <c r="CI27" s="206" t="s">
        <v>7992</v>
      </c>
      <c r="CJ27" s="206" t="s">
        <v>7992</v>
      </c>
      <c r="CK27" s="206" t="s">
        <v>7992</v>
      </c>
      <c r="CL27" s="206" t="s">
        <v>7992</v>
      </c>
      <c r="CM27" s="206" t="s">
        <v>7992</v>
      </c>
      <c r="CN27" s="206" t="s">
        <v>7992</v>
      </c>
      <c r="CO27" s="206" t="s">
        <v>7992</v>
      </c>
      <c r="CP27" s="206" t="s">
        <v>7992</v>
      </c>
      <c r="CQ27" s="206" t="s">
        <v>7992</v>
      </c>
      <c r="CR27" s="206" t="s">
        <v>7992</v>
      </c>
      <c r="CS27" s="206" t="s">
        <v>7992</v>
      </c>
      <c r="CT27" s="206" t="s">
        <v>7992</v>
      </c>
      <c r="CU27" s="206" t="s">
        <v>7992</v>
      </c>
      <c r="CV27" s="206" t="s">
        <v>7992</v>
      </c>
      <c r="CW27" s="206" t="s">
        <v>7992</v>
      </c>
      <c r="CX27" s="206" t="s">
        <v>7992</v>
      </c>
      <c r="CY27" s="206" t="s">
        <v>7992</v>
      </c>
      <c r="CZ27" s="206" t="s">
        <v>7992</v>
      </c>
      <c r="DA27" s="206" t="s">
        <v>7992</v>
      </c>
      <c r="DB27" s="206" t="s">
        <v>7992</v>
      </c>
      <c r="DC27" s="206" t="s">
        <v>7992</v>
      </c>
      <c r="DD27" s="206" t="s">
        <v>7992</v>
      </c>
      <c r="DE27" s="206" t="s">
        <v>7992</v>
      </c>
      <c r="DF27" s="206" t="s">
        <v>7992</v>
      </c>
      <c r="DG27" s="206" t="s">
        <v>7992</v>
      </c>
      <c r="DH27" s="206" t="s">
        <v>7992</v>
      </c>
      <c r="DI27" s="206" t="s">
        <v>7992</v>
      </c>
      <c r="DJ27" s="206" t="s">
        <v>7992</v>
      </c>
      <c r="DK27" s="206" t="s">
        <v>7992</v>
      </c>
      <c r="DL27" s="206" t="s">
        <v>7992</v>
      </c>
      <c r="DM27" s="206" t="s">
        <v>7992</v>
      </c>
      <c r="DN27" s="206" t="s">
        <v>7992</v>
      </c>
      <c r="DO27" s="206" t="s">
        <v>7992</v>
      </c>
      <c r="DP27" s="206" t="s">
        <v>7992</v>
      </c>
      <c r="DQ27" s="206" t="s">
        <v>7992</v>
      </c>
      <c r="DR27" s="206" t="s">
        <v>7992</v>
      </c>
      <c r="DS27" s="206" t="s">
        <v>7992</v>
      </c>
      <c r="DT27" s="206" t="s">
        <v>7992</v>
      </c>
      <c r="DU27" s="206" t="s">
        <v>7992</v>
      </c>
      <c r="DV27" s="206" t="s">
        <v>7992</v>
      </c>
      <c r="DW27" s="206" t="s">
        <v>7992</v>
      </c>
      <c r="DX27" s="206" t="s">
        <v>7992</v>
      </c>
      <c r="DY27" s="206" t="s">
        <v>7992</v>
      </c>
      <c r="DZ27" s="206" t="s">
        <v>7992</v>
      </c>
      <c r="EA27" s="206" t="s">
        <v>7992</v>
      </c>
      <c r="EB27" s="206" t="s">
        <v>7992</v>
      </c>
      <c r="EC27" s="206" t="s">
        <v>7992</v>
      </c>
      <c r="ED27" s="206" t="s">
        <v>7992</v>
      </c>
      <c r="EE27" s="206" t="s">
        <v>7992</v>
      </c>
      <c r="EF27" s="206" t="s">
        <v>7992</v>
      </c>
      <c r="EG27" s="206" t="s">
        <v>7992</v>
      </c>
      <c r="EH27" s="206" t="s">
        <v>7992</v>
      </c>
      <c r="EI27" s="206" t="s">
        <v>7992</v>
      </c>
      <c r="EJ27" s="206" t="s">
        <v>7992</v>
      </c>
      <c r="EK27" s="206" t="s">
        <v>7992</v>
      </c>
      <c r="EL27" s="206" t="s">
        <v>7992</v>
      </c>
      <c r="EM27" s="206" t="s">
        <v>7992</v>
      </c>
      <c r="EN27" s="206" t="s">
        <v>7992</v>
      </c>
      <c r="EO27" s="206" t="s">
        <v>7992</v>
      </c>
      <c r="EP27" s="206" t="s">
        <v>7992</v>
      </c>
      <c r="EQ27" s="206" t="s">
        <v>7992</v>
      </c>
      <c r="ER27" s="206" t="s">
        <v>7992</v>
      </c>
      <c r="ES27" s="206" t="s">
        <v>7992</v>
      </c>
      <c r="ET27" s="206" t="s">
        <v>7992</v>
      </c>
      <c r="EU27" s="206" t="s">
        <v>7992</v>
      </c>
      <c r="EV27" s="206" t="s">
        <v>7992</v>
      </c>
      <c r="EW27" s="206" t="s">
        <v>7992</v>
      </c>
      <c r="EX27" s="206" t="s">
        <v>7992</v>
      </c>
      <c r="EY27" s="206" t="s">
        <v>7992</v>
      </c>
      <c r="EZ27" s="206" t="s">
        <v>7992</v>
      </c>
      <c r="FA27" s="206" t="s">
        <v>7992</v>
      </c>
      <c r="FB27" s="206" t="s">
        <v>7992</v>
      </c>
      <c r="FC27" s="206" t="s">
        <v>7992</v>
      </c>
      <c r="FD27" s="206" t="s">
        <v>7992</v>
      </c>
      <c r="FE27" s="206" t="s">
        <v>7992</v>
      </c>
      <c r="FF27" s="206" t="s">
        <v>7992</v>
      </c>
      <c r="FG27" s="206" t="s">
        <v>7992</v>
      </c>
      <c r="FH27" s="206" t="s">
        <v>7992</v>
      </c>
      <c r="FI27" s="206" t="s">
        <v>7992</v>
      </c>
      <c r="FJ27" s="206" t="s">
        <v>7992</v>
      </c>
      <c r="FK27" s="206" t="s">
        <v>7992</v>
      </c>
      <c r="FL27" s="206" t="s">
        <v>7992</v>
      </c>
      <c r="FM27" s="206" t="s">
        <v>7992</v>
      </c>
      <c r="FN27" s="206" t="s">
        <v>7992</v>
      </c>
      <c r="FO27" s="206" t="s">
        <v>7992</v>
      </c>
      <c r="FP27" s="206" t="s">
        <v>7992</v>
      </c>
      <c r="FQ27" s="206" t="s">
        <v>7992</v>
      </c>
      <c r="FR27" s="206" t="s">
        <v>7992</v>
      </c>
      <c r="FS27" s="206" t="s">
        <v>7992</v>
      </c>
      <c r="FT27" s="206" t="s">
        <v>7992</v>
      </c>
      <c r="FU27" s="206" t="s">
        <v>7992</v>
      </c>
      <c r="FV27" s="206" t="s">
        <v>7992</v>
      </c>
      <c r="FW27" s="206" t="s">
        <v>7992</v>
      </c>
      <c r="FX27" s="206" t="s">
        <v>7992</v>
      </c>
      <c r="FY27" s="206" t="s">
        <v>7992</v>
      </c>
      <c r="FZ27" s="206" t="s">
        <v>7992</v>
      </c>
      <c r="GA27" s="206" t="s">
        <v>7992</v>
      </c>
      <c r="GB27" s="206" t="s">
        <v>7992</v>
      </c>
      <c r="GC27" s="206" t="s">
        <v>7992</v>
      </c>
      <c r="GD27" s="206" t="s">
        <v>7992</v>
      </c>
      <c r="GE27" s="206" t="s">
        <v>7992</v>
      </c>
      <c r="GF27" s="206" t="s">
        <v>7992</v>
      </c>
      <c r="GG27" s="206" t="s">
        <v>7992</v>
      </c>
      <c r="GH27" s="206" t="s">
        <v>7992</v>
      </c>
      <c r="GI27" s="206" t="s">
        <v>7992</v>
      </c>
      <c r="GJ27" s="206" t="s">
        <v>7992</v>
      </c>
      <c r="GK27" s="206" t="s">
        <v>7992</v>
      </c>
      <c r="GL27" s="206" t="s">
        <v>7992</v>
      </c>
      <c r="GM27" s="206" t="s">
        <v>7992</v>
      </c>
      <c r="GN27" s="206" t="s">
        <v>7992</v>
      </c>
      <c r="GO27" s="206" t="s">
        <v>7992</v>
      </c>
      <c r="GP27" s="206" t="s">
        <v>7992</v>
      </c>
      <c r="GQ27" s="206" t="s">
        <v>7992</v>
      </c>
      <c r="GR27" s="206" t="s">
        <v>7992</v>
      </c>
      <c r="GS27" s="206" t="s">
        <v>7992</v>
      </c>
      <c r="GT27" s="206" t="s">
        <v>7992</v>
      </c>
      <c r="GU27" s="206" t="s">
        <v>7992</v>
      </c>
      <c r="GV27" s="206" t="s">
        <v>7992</v>
      </c>
      <c r="GW27" s="206" t="s">
        <v>7992</v>
      </c>
      <c r="GX27" s="206" t="s">
        <v>7992</v>
      </c>
      <c r="GY27" s="206" t="s">
        <v>7992</v>
      </c>
      <c r="GZ27" s="206" t="s">
        <v>7992</v>
      </c>
      <c r="HA27" s="206" t="s">
        <v>7992</v>
      </c>
      <c r="HB27" s="206" t="s">
        <v>7992</v>
      </c>
      <c r="HC27" s="206" t="s">
        <v>7992</v>
      </c>
      <c r="HD27" s="206" t="s">
        <v>7992</v>
      </c>
      <c r="HE27" s="206" t="s">
        <v>7992</v>
      </c>
      <c r="HF27" s="206" t="s">
        <v>7992</v>
      </c>
      <c r="HG27" s="206" t="s">
        <v>7992</v>
      </c>
      <c r="HH27" s="206" t="s">
        <v>7992</v>
      </c>
      <c r="HI27" s="206" t="s">
        <v>7992</v>
      </c>
      <c r="HJ27" s="206" t="s">
        <v>7992</v>
      </c>
      <c r="HK27" s="206" t="s">
        <v>7992</v>
      </c>
      <c r="HL27" s="206" t="s">
        <v>7992</v>
      </c>
      <c r="HM27" s="206" t="s">
        <v>7992</v>
      </c>
      <c r="HN27" s="206" t="s">
        <v>7992</v>
      </c>
      <c r="HO27" s="206" t="s">
        <v>7992</v>
      </c>
      <c r="HP27" s="206" t="s">
        <v>7992</v>
      </c>
      <c r="HQ27" s="206" t="s">
        <v>7992</v>
      </c>
      <c r="HR27" s="206" t="s">
        <v>7992</v>
      </c>
      <c r="HS27" s="206" t="s">
        <v>7992</v>
      </c>
      <c r="HT27" s="206" t="s">
        <v>7992</v>
      </c>
      <c r="HU27" s="206" t="s">
        <v>7992</v>
      </c>
      <c r="HV27" s="206" t="s">
        <v>7992</v>
      </c>
      <c r="HW27" s="206" t="s">
        <v>7992</v>
      </c>
      <c r="HX27" s="206" t="s">
        <v>7992</v>
      </c>
      <c r="HY27" s="206" t="s">
        <v>7992</v>
      </c>
      <c r="HZ27" s="206" t="s">
        <v>7992</v>
      </c>
      <c r="IA27" s="206" t="s">
        <v>7992</v>
      </c>
      <c r="IB27" s="206" t="s">
        <v>7992</v>
      </c>
      <c r="IC27" s="206" t="s">
        <v>7992</v>
      </c>
      <c r="ID27" s="206" t="s">
        <v>7992</v>
      </c>
      <c r="IE27" s="206" t="s">
        <v>7992</v>
      </c>
      <c r="IF27" s="206" t="s">
        <v>7992</v>
      </c>
      <c r="IG27" s="206" t="s">
        <v>7992</v>
      </c>
      <c r="IH27" s="206" t="s">
        <v>7992</v>
      </c>
      <c r="II27" s="206" t="s">
        <v>7992</v>
      </c>
      <c r="IJ27" s="206" t="s">
        <v>7992</v>
      </c>
      <c r="IK27" s="206" t="s">
        <v>7992</v>
      </c>
      <c r="IL27" s="206" t="s">
        <v>7992</v>
      </c>
      <c r="IM27" s="206" t="s">
        <v>7992</v>
      </c>
      <c r="IN27" s="206" t="s">
        <v>7992</v>
      </c>
      <c r="IO27" s="206" t="s">
        <v>7992</v>
      </c>
      <c r="IP27" s="206" t="s">
        <v>7992</v>
      </c>
      <c r="IQ27" s="206" t="s">
        <v>7992</v>
      </c>
      <c r="IR27" s="206" t="s">
        <v>7992</v>
      </c>
      <c r="IS27" s="206" t="s">
        <v>7992</v>
      </c>
      <c r="IT27" s="206" t="s">
        <v>7992</v>
      </c>
      <c r="IU27" s="206" t="s">
        <v>7992</v>
      </c>
      <c r="IV27" s="206" t="s">
        <v>7992</v>
      </c>
      <c r="IW27" s="206" t="s">
        <v>7992</v>
      </c>
      <c r="IX27" s="206" t="s">
        <v>7992</v>
      </c>
      <c r="IY27" s="206" t="s">
        <v>7992</v>
      </c>
      <c r="IZ27" s="206" t="s">
        <v>7992</v>
      </c>
      <c r="JA27" s="206" t="s">
        <v>7992</v>
      </c>
      <c r="JB27" s="206" t="s">
        <v>7992</v>
      </c>
      <c r="JC27" s="206" t="s">
        <v>7992</v>
      </c>
      <c r="JD27" s="206" t="s">
        <v>7992</v>
      </c>
      <c r="JE27" s="206" t="s">
        <v>7992</v>
      </c>
      <c r="JF27" s="206" t="s">
        <v>7992</v>
      </c>
      <c r="JG27" s="206" t="s">
        <v>7992</v>
      </c>
      <c r="JH27" s="206" t="s">
        <v>7992</v>
      </c>
      <c r="JI27" s="206" t="s">
        <v>7992</v>
      </c>
      <c r="JJ27" s="206" t="s">
        <v>7992</v>
      </c>
      <c r="JK27" s="206" t="s">
        <v>7992</v>
      </c>
      <c r="JL27" s="206" t="s">
        <v>7992</v>
      </c>
      <c r="JM27" s="206" t="s">
        <v>7992</v>
      </c>
      <c r="JN27" s="206" t="s">
        <v>7992</v>
      </c>
      <c r="JO27" s="206" t="s">
        <v>7992</v>
      </c>
      <c r="JP27" s="206" t="s">
        <v>7992</v>
      </c>
      <c r="JQ27" s="206" t="s">
        <v>7992</v>
      </c>
      <c r="JR27" s="206" t="s">
        <v>7992</v>
      </c>
      <c r="JS27" s="206" t="s">
        <v>7992</v>
      </c>
      <c r="JT27" s="206" t="s">
        <v>7992</v>
      </c>
      <c r="JU27" s="206" t="s">
        <v>7992</v>
      </c>
      <c r="JV27" s="206" t="s">
        <v>7992</v>
      </c>
      <c r="JW27" s="206" t="s">
        <v>7992</v>
      </c>
      <c r="JX27" s="206" t="s">
        <v>7992</v>
      </c>
      <c r="JY27" s="206" t="s">
        <v>7992</v>
      </c>
      <c r="JZ27" s="206" t="s">
        <v>7992</v>
      </c>
      <c r="KA27" s="206" t="s">
        <v>7992</v>
      </c>
      <c r="KB27" s="206" t="s">
        <v>7992</v>
      </c>
      <c r="KC27" s="206" t="s">
        <v>7992</v>
      </c>
      <c r="KD27" s="206" t="s">
        <v>7992</v>
      </c>
      <c r="KE27" s="206" t="s">
        <v>7992</v>
      </c>
      <c r="KF27" s="206" t="s">
        <v>7992</v>
      </c>
      <c r="KG27" s="206" t="s">
        <v>7992</v>
      </c>
      <c r="KH27" s="206" t="s">
        <v>7992</v>
      </c>
      <c r="KI27" s="206" t="s">
        <v>7992</v>
      </c>
      <c r="KJ27" s="206" t="s">
        <v>7992</v>
      </c>
      <c r="KK27" s="206" t="s">
        <v>7992</v>
      </c>
      <c r="KL27" s="206" t="s">
        <v>7992</v>
      </c>
      <c r="KM27" s="206" t="s">
        <v>7992</v>
      </c>
      <c r="KN27" s="206" t="s">
        <v>7992</v>
      </c>
      <c r="KO27" s="206" t="s">
        <v>7992</v>
      </c>
      <c r="KP27" s="206" t="s">
        <v>7992</v>
      </c>
      <c r="KQ27" s="206" t="s">
        <v>7992</v>
      </c>
      <c r="KR27" s="206" t="s">
        <v>7992</v>
      </c>
      <c r="KS27" s="206" t="s">
        <v>7992</v>
      </c>
      <c r="KT27" s="206" t="s">
        <v>7992</v>
      </c>
      <c r="KU27" s="206" t="s">
        <v>7992</v>
      </c>
      <c r="KV27" s="206" t="s">
        <v>7992</v>
      </c>
      <c r="KW27" s="206" t="s">
        <v>7992</v>
      </c>
      <c r="KX27" s="206" t="s">
        <v>7992</v>
      </c>
      <c r="KY27" s="206" t="s">
        <v>7992</v>
      </c>
      <c r="KZ27" s="206" t="s">
        <v>7992</v>
      </c>
      <c r="LA27" s="206" t="s">
        <v>7992</v>
      </c>
      <c r="LB27" s="206" t="s">
        <v>7992</v>
      </c>
      <c r="LC27" s="206" t="s">
        <v>7992</v>
      </c>
      <c r="LD27" s="206" t="s">
        <v>7992</v>
      </c>
      <c r="LE27" s="206" t="s">
        <v>7992</v>
      </c>
      <c r="LF27" s="206" t="s">
        <v>7992</v>
      </c>
      <c r="LG27" s="206" t="s">
        <v>7992</v>
      </c>
      <c r="LH27" s="206" t="s">
        <v>7992</v>
      </c>
      <c r="LI27" s="206" t="s">
        <v>7992</v>
      </c>
      <c r="LJ27" s="206" t="s">
        <v>7992</v>
      </c>
      <c r="LK27" s="206" t="s">
        <v>7992</v>
      </c>
      <c r="LL27" s="206" t="s">
        <v>7992</v>
      </c>
      <c r="LM27" s="206" t="s">
        <v>7992</v>
      </c>
      <c r="LN27" s="206" t="s">
        <v>7992</v>
      </c>
      <c r="LO27" s="206" t="s">
        <v>7992</v>
      </c>
      <c r="LP27" s="206" t="s">
        <v>7992</v>
      </c>
      <c r="LQ27" s="206" t="s">
        <v>7992</v>
      </c>
      <c r="LR27" s="206" t="s">
        <v>7992</v>
      </c>
      <c r="LS27" s="206" t="s">
        <v>7992</v>
      </c>
      <c r="LT27" s="206" t="s">
        <v>7992</v>
      </c>
      <c r="LU27" s="206" t="s">
        <v>7992</v>
      </c>
      <c r="LV27" s="206" t="s">
        <v>7992</v>
      </c>
      <c r="LW27" s="206" t="s">
        <v>7992</v>
      </c>
      <c r="LX27" s="206" t="s">
        <v>7992</v>
      </c>
      <c r="LY27" s="206" t="s">
        <v>7992</v>
      </c>
      <c r="LZ27" s="206" t="s">
        <v>7992</v>
      </c>
      <c r="MA27" s="206" t="s">
        <v>7992</v>
      </c>
      <c r="MB27" s="206" t="s">
        <v>7992</v>
      </c>
      <c r="MC27" s="206" t="s">
        <v>7992</v>
      </c>
      <c r="MD27" s="206" t="s">
        <v>7992</v>
      </c>
      <c r="ME27" s="206" t="s">
        <v>7992</v>
      </c>
      <c r="MF27" s="206" t="s">
        <v>7992</v>
      </c>
      <c r="MG27" s="206" t="s">
        <v>7992</v>
      </c>
      <c r="MH27" s="206" t="s">
        <v>7992</v>
      </c>
      <c r="MI27" s="206" t="s">
        <v>7992</v>
      </c>
      <c r="MJ27" s="206" t="s">
        <v>7992</v>
      </c>
      <c r="MK27" s="206" t="s">
        <v>7992</v>
      </c>
      <c r="ML27" s="206" t="s">
        <v>7992</v>
      </c>
      <c r="MM27" s="206" t="s">
        <v>7992</v>
      </c>
      <c r="MN27" s="206" t="s">
        <v>7992</v>
      </c>
      <c r="MO27" s="206" t="s">
        <v>7992</v>
      </c>
      <c r="MP27" s="206" t="s">
        <v>7992</v>
      </c>
      <c r="MQ27" s="206" t="s">
        <v>7992</v>
      </c>
      <c r="MR27" s="206" t="s">
        <v>7992</v>
      </c>
      <c r="MS27" s="206" t="s">
        <v>7992</v>
      </c>
      <c r="MT27" s="206" t="s">
        <v>7992</v>
      </c>
      <c r="MU27" s="206" t="s">
        <v>7992</v>
      </c>
      <c r="MV27" s="206" t="s">
        <v>7992</v>
      </c>
      <c r="MW27" s="206" t="s">
        <v>7992</v>
      </c>
      <c r="MX27" s="206" t="s">
        <v>7992</v>
      </c>
      <c r="MY27" s="206" t="s">
        <v>7992</v>
      </c>
      <c r="MZ27" s="206" t="s">
        <v>7992</v>
      </c>
      <c r="NA27" s="206" t="s">
        <v>7992</v>
      </c>
      <c r="NB27" s="206" t="s">
        <v>7992</v>
      </c>
      <c r="NC27" s="206" t="s">
        <v>7992</v>
      </c>
      <c r="ND27" s="206" t="s">
        <v>7992</v>
      </c>
      <c r="NE27" s="206" t="s">
        <v>7992</v>
      </c>
      <c r="NF27" s="206" t="s">
        <v>7992</v>
      </c>
      <c r="NG27" s="206" t="s">
        <v>7992</v>
      </c>
      <c r="NH27" s="206" t="s">
        <v>7992</v>
      </c>
      <c r="NI27" s="206" t="s">
        <v>7992</v>
      </c>
      <c r="NJ27" s="206" t="s">
        <v>7992</v>
      </c>
      <c r="NK27" s="206" t="s">
        <v>7992</v>
      </c>
      <c r="NL27" s="206" t="s">
        <v>7992</v>
      </c>
      <c r="NM27" s="206" t="s">
        <v>7992</v>
      </c>
      <c r="NN27" s="206" t="s">
        <v>7992</v>
      </c>
      <c r="NO27" s="206" t="s">
        <v>7992</v>
      </c>
      <c r="NP27" s="206" t="s">
        <v>7992</v>
      </c>
      <c r="NQ27" s="206" t="s">
        <v>7992</v>
      </c>
      <c r="NR27" s="206" t="s">
        <v>7992</v>
      </c>
      <c r="NS27" s="206" t="s">
        <v>7992</v>
      </c>
      <c r="NT27" s="206" t="s">
        <v>7992</v>
      </c>
      <c r="NU27" s="206" t="s">
        <v>7992</v>
      </c>
      <c r="NV27" s="206" t="s">
        <v>7992</v>
      </c>
      <c r="NW27" s="206" t="s">
        <v>7992</v>
      </c>
      <c r="NX27" s="206" t="s">
        <v>7992</v>
      </c>
      <c r="NY27" s="206" t="s">
        <v>7992</v>
      </c>
      <c r="NZ27" s="206" t="s">
        <v>7992</v>
      </c>
      <c r="OA27" s="206" t="s">
        <v>7992</v>
      </c>
      <c r="OB27" s="206" t="s">
        <v>7992</v>
      </c>
      <c r="OC27" s="206" t="s">
        <v>7992</v>
      </c>
      <c r="OD27" s="206" t="s">
        <v>7992</v>
      </c>
      <c r="OE27" s="206" t="s">
        <v>7992</v>
      </c>
      <c r="OF27" s="206" t="s">
        <v>7992</v>
      </c>
      <c r="OG27" s="206" t="s">
        <v>7992</v>
      </c>
      <c r="OH27" s="206" t="s">
        <v>7992</v>
      </c>
      <c r="OI27" s="206" t="s">
        <v>7992</v>
      </c>
      <c r="OJ27" s="206" t="s">
        <v>7992</v>
      </c>
      <c r="OK27" s="206" t="s">
        <v>7992</v>
      </c>
      <c r="OL27" s="206" t="s">
        <v>7992</v>
      </c>
      <c r="OM27" s="206" t="s">
        <v>7992</v>
      </c>
      <c r="ON27" s="206" t="s">
        <v>7992</v>
      </c>
      <c r="OO27" s="206" t="s">
        <v>7992</v>
      </c>
      <c r="OP27" s="206" t="s">
        <v>7992</v>
      </c>
      <c r="OQ27" s="206" t="s">
        <v>7992</v>
      </c>
      <c r="OR27" s="206" t="s">
        <v>7992</v>
      </c>
      <c r="OS27" s="206" t="s">
        <v>7992</v>
      </c>
      <c r="OT27" s="206" t="s">
        <v>7992</v>
      </c>
      <c r="OU27" s="206" t="s">
        <v>7992</v>
      </c>
      <c r="OV27" s="206" t="s">
        <v>7992</v>
      </c>
      <c r="OW27" s="206" t="s">
        <v>7992</v>
      </c>
      <c r="OX27" s="206" t="s">
        <v>7992</v>
      </c>
      <c r="OY27" s="206" t="s">
        <v>7992</v>
      </c>
      <c r="OZ27" s="206" t="s">
        <v>7992</v>
      </c>
      <c r="PA27" s="206" t="s">
        <v>7992</v>
      </c>
      <c r="PB27" s="206" t="s">
        <v>7992</v>
      </c>
      <c r="PC27" s="206" t="s">
        <v>7992</v>
      </c>
      <c r="PD27" s="206" t="s">
        <v>7992</v>
      </c>
      <c r="PE27" s="206" t="s">
        <v>7992</v>
      </c>
      <c r="PF27" s="206" t="s">
        <v>7992</v>
      </c>
      <c r="PG27" s="206" t="s">
        <v>7992</v>
      </c>
      <c r="PH27" s="206" t="s">
        <v>7992</v>
      </c>
      <c r="PI27" s="206" t="s">
        <v>7992</v>
      </c>
      <c r="PJ27" s="206" t="s">
        <v>7992</v>
      </c>
      <c r="PK27" s="206" t="s">
        <v>7992</v>
      </c>
      <c r="PL27" s="206" t="s">
        <v>7992</v>
      </c>
      <c r="PM27" s="206" t="s">
        <v>7992</v>
      </c>
      <c r="PN27" s="206" t="s">
        <v>7992</v>
      </c>
      <c r="PO27" s="206" t="s">
        <v>7992</v>
      </c>
      <c r="PP27" s="206" t="s">
        <v>7992</v>
      </c>
      <c r="PQ27" s="206" t="s">
        <v>7992</v>
      </c>
      <c r="PR27" s="206" t="s">
        <v>7992</v>
      </c>
      <c r="PS27" s="206" t="s">
        <v>7992</v>
      </c>
      <c r="PT27" s="206" t="s">
        <v>7992</v>
      </c>
      <c r="PU27" s="206" t="s">
        <v>7992</v>
      </c>
      <c r="PV27" s="206" t="s">
        <v>7992</v>
      </c>
      <c r="PW27" s="206" t="s">
        <v>7992</v>
      </c>
      <c r="PX27" s="206" t="s">
        <v>7992</v>
      </c>
      <c r="PY27" s="206" t="s">
        <v>7992</v>
      </c>
      <c r="PZ27" s="206" t="s">
        <v>7992</v>
      </c>
      <c r="QA27" s="206" t="s">
        <v>7992</v>
      </c>
      <c r="QB27" s="206" t="s">
        <v>7992</v>
      </c>
      <c r="QC27" s="206" t="s">
        <v>7992</v>
      </c>
      <c r="QD27" s="206" t="s">
        <v>7992</v>
      </c>
      <c r="QE27" s="206" t="s">
        <v>7992</v>
      </c>
      <c r="QF27" s="206" t="s">
        <v>7992</v>
      </c>
      <c r="QG27" s="206" t="s">
        <v>7992</v>
      </c>
      <c r="QH27" s="206" t="s">
        <v>7992</v>
      </c>
      <c r="QI27" s="206" t="s">
        <v>7992</v>
      </c>
      <c r="QJ27" s="206" t="s">
        <v>7992</v>
      </c>
      <c r="QK27" s="206" t="s">
        <v>7992</v>
      </c>
      <c r="QL27" s="206" t="s">
        <v>7992</v>
      </c>
      <c r="QM27" s="206" t="s">
        <v>7992</v>
      </c>
      <c r="QN27" s="206" t="s">
        <v>7992</v>
      </c>
      <c r="QO27" s="206" t="s">
        <v>7992</v>
      </c>
      <c r="QP27" s="206" t="s">
        <v>7992</v>
      </c>
      <c r="QQ27" s="206" t="s">
        <v>7992</v>
      </c>
      <c r="QR27" s="206" t="s">
        <v>7992</v>
      </c>
      <c r="QS27" s="206" t="s">
        <v>7992</v>
      </c>
      <c r="QT27" s="206" t="s">
        <v>7992</v>
      </c>
      <c r="QU27" s="206" t="s">
        <v>7992</v>
      </c>
      <c r="QV27" s="206" t="s">
        <v>7992</v>
      </c>
      <c r="QW27" s="206" t="s">
        <v>7992</v>
      </c>
      <c r="QX27" s="206" t="s">
        <v>7992</v>
      </c>
      <c r="QY27" s="206" t="s">
        <v>7992</v>
      </c>
      <c r="QZ27" s="206" t="s">
        <v>7992</v>
      </c>
      <c r="RA27" s="206" t="s">
        <v>7992</v>
      </c>
      <c r="RB27" s="206" t="s">
        <v>7992</v>
      </c>
      <c r="RC27" s="206" t="s">
        <v>7992</v>
      </c>
      <c r="RD27" s="206" t="s">
        <v>7992</v>
      </c>
      <c r="RE27" s="206" t="s">
        <v>7992</v>
      </c>
      <c r="RF27" s="206" t="s">
        <v>7992</v>
      </c>
      <c r="RG27" s="206" t="s">
        <v>7992</v>
      </c>
      <c r="RH27" s="206" t="s">
        <v>7992</v>
      </c>
      <c r="RI27" s="206" t="s">
        <v>7992</v>
      </c>
      <c r="RJ27" s="206" t="s">
        <v>7992</v>
      </c>
      <c r="RK27" s="206" t="s">
        <v>7992</v>
      </c>
      <c r="RL27" s="206" t="s">
        <v>7992</v>
      </c>
      <c r="RM27" s="206" t="s">
        <v>7992</v>
      </c>
      <c r="RN27" s="206" t="s">
        <v>7992</v>
      </c>
      <c r="RO27" s="206" t="s">
        <v>7992</v>
      </c>
      <c r="RP27" s="206" t="s">
        <v>7992</v>
      </c>
      <c r="RQ27" s="206" t="s">
        <v>7992</v>
      </c>
      <c r="RR27" s="206" t="s">
        <v>7992</v>
      </c>
      <c r="RS27" s="206" t="s">
        <v>7992</v>
      </c>
      <c r="RT27" s="206" t="s">
        <v>7992</v>
      </c>
      <c r="RU27" s="206" t="s">
        <v>7992</v>
      </c>
      <c r="RV27" s="206" t="s">
        <v>7992</v>
      </c>
      <c r="RW27" s="206" t="s">
        <v>7992</v>
      </c>
      <c r="RX27" s="206" t="s">
        <v>7992</v>
      </c>
      <c r="RY27" s="206" t="s">
        <v>7992</v>
      </c>
      <c r="RZ27" s="206" t="s">
        <v>7992</v>
      </c>
      <c r="SA27" s="206" t="s">
        <v>7992</v>
      </c>
      <c r="SB27" s="206" t="s">
        <v>7992</v>
      </c>
      <c r="SC27" s="206" t="s">
        <v>7992</v>
      </c>
      <c r="SD27" s="206" t="s">
        <v>7992</v>
      </c>
      <c r="SE27" s="206" t="s">
        <v>7992</v>
      </c>
      <c r="SF27" s="206" t="s">
        <v>7992</v>
      </c>
      <c r="SG27" s="206" t="s">
        <v>7992</v>
      </c>
      <c r="SH27" s="206" t="s">
        <v>7992</v>
      </c>
      <c r="SI27" s="206" t="s">
        <v>7992</v>
      </c>
      <c r="SJ27" s="206" t="s">
        <v>7992</v>
      </c>
      <c r="SK27" s="206" t="s">
        <v>7992</v>
      </c>
      <c r="SL27" s="206" t="s">
        <v>7992</v>
      </c>
      <c r="SM27" s="206" t="s">
        <v>7992</v>
      </c>
      <c r="SN27" s="206" t="s">
        <v>7992</v>
      </c>
      <c r="SO27" s="206" t="s">
        <v>7992</v>
      </c>
      <c r="SP27" s="206" t="s">
        <v>7992</v>
      </c>
      <c r="SQ27" s="206" t="s">
        <v>7992</v>
      </c>
      <c r="SR27" s="206" t="s">
        <v>7992</v>
      </c>
      <c r="SS27" s="206" t="s">
        <v>7992</v>
      </c>
      <c r="ST27" s="206" t="s">
        <v>7992</v>
      </c>
      <c r="SU27" s="206" t="s">
        <v>7992</v>
      </c>
      <c r="SV27" s="206" t="s">
        <v>7992</v>
      </c>
      <c r="SW27" s="206" t="s">
        <v>7992</v>
      </c>
      <c r="SX27" s="206" t="s">
        <v>7992</v>
      </c>
      <c r="SY27" s="206" t="s">
        <v>7992</v>
      </c>
      <c r="SZ27" s="206" t="s">
        <v>7992</v>
      </c>
      <c r="TA27" s="206" t="s">
        <v>7992</v>
      </c>
      <c r="TB27" s="206" t="s">
        <v>7992</v>
      </c>
      <c r="TC27" s="206" t="s">
        <v>7992</v>
      </c>
      <c r="TD27" s="206" t="s">
        <v>7992</v>
      </c>
      <c r="TE27" s="206" t="s">
        <v>7992</v>
      </c>
      <c r="TF27" s="206" t="s">
        <v>7992</v>
      </c>
      <c r="TG27" s="206" t="s">
        <v>7992</v>
      </c>
      <c r="TH27" s="206" t="s">
        <v>7992</v>
      </c>
      <c r="TI27" s="206" t="s">
        <v>7992</v>
      </c>
      <c r="TJ27" s="206" t="s">
        <v>7992</v>
      </c>
      <c r="TK27" s="206" t="s">
        <v>7992</v>
      </c>
      <c r="TL27" s="206" t="s">
        <v>7992</v>
      </c>
      <c r="TM27" s="206" t="s">
        <v>7992</v>
      </c>
      <c r="TN27" s="206" t="s">
        <v>7992</v>
      </c>
      <c r="TO27" s="206" t="s">
        <v>7992</v>
      </c>
      <c r="TP27" s="206" t="s">
        <v>7992</v>
      </c>
      <c r="TQ27" s="206" t="s">
        <v>7992</v>
      </c>
      <c r="TR27" s="206" t="s">
        <v>7992</v>
      </c>
      <c r="TS27" s="206" t="s">
        <v>7992</v>
      </c>
      <c r="TT27" s="206" t="s">
        <v>7992</v>
      </c>
      <c r="TU27" s="206" t="s">
        <v>7992</v>
      </c>
      <c r="TV27" s="206" t="s">
        <v>7992</v>
      </c>
      <c r="TW27" s="206" t="s">
        <v>7992</v>
      </c>
      <c r="TX27" s="206" t="s">
        <v>7992</v>
      </c>
      <c r="TY27" s="206" t="s">
        <v>7992</v>
      </c>
      <c r="TZ27" s="206" t="s">
        <v>7992</v>
      </c>
      <c r="UA27" s="206" t="s">
        <v>7992</v>
      </c>
      <c r="UB27" s="206" t="s">
        <v>7992</v>
      </c>
      <c r="UC27" s="206" t="s">
        <v>7992</v>
      </c>
      <c r="UD27" s="206" t="s">
        <v>7992</v>
      </c>
      <c r="UE27" s="206" t="s">
        <v>7992</v>
      </c>
      <c r="UF27" s="206" t="s">
        <v>7992</v>
      </c>
      <c r="UG27" s="206" t="s">
        <v>7992</v>
      </c>
      <c r="UH27" s="206" t="s">
        <v>7992</v>
      </c>
      <c r="UI27" s="206" t="s">
        <v>7992</v>
      </c>
      <c r="UJ27" s="206" t="s">
        <v>7992</v>
      </c>
      <c r="UK27" s="206" t="s">
        <v>7992</v>
      </c>
      <c r="UL27" s="206" t="s">
        <v>7992</v>
      </c>
      <c r="UM27" s="206" t="s">
        <v>7992</v>
      </c>
      <c r="UN27" s="206" t="s">
        <v>7992</v>
      </c>
      <c r="UO27" s="206" t="s">
        <v>7992</v>
      </c>
      <c r="UP27" s="206" t="s">
        <v>7992</v>
      </c>
      <c r="UQ27" s="206" t="s">
        <v>7992</v>
      </c>
      <c r="UR27" s="206" t="s">
        <v>7992</v>
      </c>
      <c r="US27" s="206" t="s">
        <v>7992</v>
      </c>
      <c r="UT27" s="206" t="s">
        <v>7992</v>
      </c>
      <c r="UU27" s="206" t="s">
        <v>7992</v>
      </c>
      <c r="UV27" s="206" t="s">
        <v>7992</v>
      </c>
      <c r="UW27" s="206" t="s">
        <v>7992</v>
      </c>
      <c r="UX27" s="206" t="s">
        <v>7992</v>
      </c>
      <c r="UY27" s="206" t="s">
        <v>7992</v>
      </c>
      <c r="UZ27" s="206" t="s">
        <v>7992</v>
      </c>
      <c r="VA27" s="206" t="s">
        <v>7992</v>
      </c>
      <c r="VB27" s="206" t="s">
        <v>7992</v>
      </c>
      <c r="VC27" s="206" t="s">
        <v>7992</v>
      </c>
      <c r="VD27" s="206" t="s">
        <v>7992</v>
      </c>
      <c r="VE27" s="206" t="s">
        <v>7992</v>
      </c>
      <c r="VF27" s="206" t="s">
        <v>7992</v>
      </c>
      <c r="VG27" s="206" t="s">
        <v>7992</v>
      </c>
      <c r="VH27" s="206" t="s">
        <v>7992</v>
      </c>
      <c r="VI27" s="206" t="s">
        <v>7992</v>
      </c>
      <c r="VJ27" s="206" t="s">
        <v>7992</v>
      </c>
      <c r="VK27" s="206" t="s">
        <v>7992</v>
      </c>
      <c r="VL27" s="206" t="s">
        <v>7992</v>
      </c>
      <c r="VM27" s="206" t="s">
        <v>7992</v>
      </c>
      <c r="VN27" s="206" t="s">
        <v>7992</v>
      </c>
      <c r="VO27" s="206" t="s">
        <v>7992</v>
      </c>
      <c r="VP27" s="206" t="s">
        <v>7992</v>
      </c>
      <c r="VQ27" s="206" t="s">
        <v>7992</v>
      </c>
      <c r="VR27" s="206" t="s">
        <v>7992</v>
      </c>
      <c r="VS27" s="206" t="s">
        <v>7992</v>
      </c>
      <c r="VT27" s="206" t="s">
        <v>7992</v>
      </c>
      <c r="VU27" s="206" t="s">
        <v>7992</v>
      </c>
      <c r="VV27" s="206" t="s">
        <v>7992</v>
      </c>
      <c r="VW27" s="206" t="s">
        <v>7992</v>
      </c>
      <c r="VX27" s="206" t="s">
        <v>7992</v>
      </c>
      <c r="VY27" s="206" t="s">
        <v>7992</v>
      </c>
      <c r="VZ27" s="206" t="s">
        <v>7992</v>
      </c>
      <c r="WA27" s="206" t="s">
        <v>7992</v>
      </c>
      <c r="WB27" s="206" t="s">
        <v>7992</v>
      </c>
      <c r="WC27" s="206" t="s">
        <v>7992</v>
      </c>
      <c r="WD27" s="206" t="s">
        <v>7992</v>
      </c>
      <c r="WE27" s="206" t="s">
        <v>7992</v>
      </c>
      <c r="WF27" s="206" t="s">
        <v>7992</v>
      </c>
      <c r="WG27" s="206" t="s">
        <v>7992</v>
      </c>
      <c r="WH27" s="206" t="s">
        <v>7992</v>
      </c>
      <c r="WI27" s="206" t="s">
        <v>7992</v>
      </c>
      <c r="WJ27" s="206" t="s">
        <v>7992</v>
      </c>
      <c r="WK27" s="206" t="s">
        <v>7992</v>
      </c>
      <c r="WL27" s="206" t="s">
        <v>7992</v>
      </c>
      <c r="WM27" s="206" t="s">
        <v>7992</v>
      </c>
      <c r="WN27" s="206" t="s">
        <v>7992</v>
      </c>
      <c r="WO27" s="206" t="s">
        <v>7992</v>
      </c>
      <c r="WP27" s="206" t="s">
        <v>7992</v>
      </c>
      <c r="WQ27" s="206" t="s">
        <v>7992</v>
      </c>
      <c r="WR27" s="206" t="s">
        <v>7992</v>
      </c>
      <c r="WS27" s="206" t="s">
        <v>7992</v>
      </c>
      <c r="WT27" s="206" t="s">
        <v>7992</v>
      </c>
      <c r="WU27" s="206" t="s">
        <v>7992</v>
      </c>
      <c r="WV27" s="206" t="s">
        <v>7992</v>
      </c>
      <c r="WW27" s="206" t="s">
        <v>7992</v>
      </c>
      <c r="WX27" s="206" t="s">
        <v>7992</v>
      </c>
      <c r="WY27" s="206" t="s">
        <v>7992</v>
      </c>
      <c r="WZ27" s="206" t="s">
        <v>7992</v>
      </c>
      <c r="XA27" s="206" t="s">
        <v>7992</v>
      </c>
      <c r="XB27" s="206" t="s">
        <v>7992</v>
      </c>
      <c r="XC27" s="206" t="s">
        <v>7992</v>
      </c>
      <c r="XD27" s="206" t="s">
        <v>7992</v>
      </c>
      <c r="XE27" s="206" t="s">
        <v>7992</v>
      </c>
      <c r="XF27" s="206" t="s">
        <v>7992</v>
      </c>
      <c r="XG27" s="206" t="s">
        <v>7992</v>
      </c>
      <c r="XH27" s="206" t="s">
        <v>7992</v>
      </c>
      <c r="XI27" s="206" t="s">
        <v>7992</v>
      </c>
      <c r="XJ27" s="206" t="s">
        <v>7992</v>
      </c>
      <c r="XK27" s="206" t="s">
        <v>7992</v>
      </c>
      <c r="XL27" s="206" t="s">
        <v>7992</v>
      </c>
      <c r="XM27" s="206" t="s">
        <v>7992</v>
      </c>
      <c r="XN27" s="206" t="s">
        <v>7992</v>
      </c>
      <c r="XO27" s="206" t="s">
        <v>7992</v>
      </c>
      <c r="XP27" s="206" t="s">
        <v>7992</v>
      </c>
      <c r="XQ27" s="206" t="s">
        <v>7992</v>
      </c>
      <c r="XR27" s="206" t="s">
        <v>7992</v>
      </c>
      <c r="XS27" s="206" t="s">
        <v>7992</v>
      </c>
      <c r="XT27" s="206" t="s">
        <v>7992</v>
      </c>
      <c r="XU27" s="206" t="s">
        <v>7992</v>
      </c>
      <c r="XV27" s="206" t="s">
        <v>7992</v>
      </c>
      <c r="XW27" s="206" t="s">
        <v>7992</v>
      </c>
      <c r="XX27" s="206" t="s">
        <v>7992</v>
      </c>
      <c r="XY27" s="206" t="s">
        <v>7992</v>
      </c>
      <c r="XZ27" s="206" t="s">
        <v>7992</v>
      </c>
      <c r="YA27" s="206" t="s">
        <v>7992</v>
      </c>
      <c r="YB27" s="206" t="s">
        <v>7992</v>
      </c>
      <c r="YC27" s="206" t="s">
        <v>7992</v>
      </c>
      <c r="YD27" s="206" t="s">
        <v>7992</v>
      </c>
      <c r="YE27" s="206" t="s">
        <v>7992</v>
      </c>
      <c r="YF27" s="206" t="s">
        <v>7992</v>
      </c>
      <c r="YG27" s="206" t="s">
        <v>7992</v>
      </c>
      <c r="YH27" s="206" t="s">
        <v>7992</v>
      </c>
      <c r="YI27" s="206" t="s">
        <v>7992</v>
      </c>
      <c r="YJ27" s="206" t="s">
        <v>7992</v>
      </c>
      <c r="YK27" s="206" t="s">
        <v>7992</v>
      </c>
      <c r="YL27" s="206" t="s">
        <v>7992</v>
      </c>
      <c r="YM27" s="206" t="s">
        <v>7992</v>
      </c>
      <c r="YN27" s="206" t="s">
        <v>7992</v>
      </c>
      <c r="YO27" s="206" t="s">
        <v>7992</v>
      </c>
      <c r="YP27" s="206" t="s">
        <v>7992</v>
      </c>
      <c r="YQ27" s="206" t="s">
        <v>7992</v>
      </c>
      <c r="YR27" s="206" t="s">
        <v>7992</v>
      </c>
      <c r="YS27" s="206" t="s">
        <v>7992</v>
      </c>
      <c r="YT27" s="206" t="s">
        <v>7992</v>
      </c>
      <c r="YU27" s="206" t="s">
        <v>7992</v>
      </c>
      <c r="YV27" s="206" t="s">
        <v>7992</v>
      </c>
      <c r="YW27" s="206" t="s">
        <v>7992</v>
      </c>
      <c r="YX27" s="206" t="s">
        <v>7992</v>
      </c>
      <c r="YY27" s="206" t="s">
        <v>7992</v>
      </c>
      <c r="YZ27" s="206" t="s">
        <v>7992</v>
      </c>
      <c r="ZA27" s="206" t="s">
        <v>7992</v>
      </c>
      <c r="ZB27" s="206" t="s">
        <v>7992</v>
      </c>
      <c r="ZC27" s="206" t="s">
        <v>7992</v>
      </c>
      <c r="ZD27" s="206" t="s">
        <v>7992</v>
      </c>
      <c r="ZE27" s="206" t="s">
        <v>7992</v>
      </c>
      <c r="ZF27" s="206" t="s">
        <v>7992</v>
      </c>
      <c r="ZG27" s="206" t="s">
        <v>7992</v>
      </c>
      <c r="ZH27" s="206" t="s">
        <v>7992</v>
      </c>
      <c r="ZI27" s="206" t="s">
        <v>7992</v>
      </c>
      <c r="ZJ27" s="206" t="s">
        <v>7992</v>
      </c>
      <c r="ZK27" s="206" t="s">
        <v>7992</v>
      </c>
      <c r="ZL27" s="206" t="s">
        <v>7992</v>
      </c>
      <c r="ZM27" s="206" t="s">
        <v>7992</v>
      </c>
      <c r="ZN27" s="206" t="s">
        <v>7992</v>
      </c>
      <c r="ZO27" s="206" t="s">
        <v>7992</v>
      </c>
      <c r="ZP27" s="206" t="s">
        <v>7992</v>
      </c>
      <c r="ZQ27" s="206" t="s">
        <v>7992</v>
      </c>
      <c r="ZR27" s="206" t="s">
        <v>7992</v>
      </c>
      <c r="ZS27" s="206" t="s">
        <v>7992</v>
      </c>
      <c r="ZT27" s="206" t="s">
        <v>7992</v>
      </c>
      <c r="ZU27" s="206" t="s">
        <v>7992</v>
      </c>
      <c r="ZV27" s="206" t="s">
        <v>7992</v>
      </c>
      <c r="ZW27" s="206" t="s">
        <v>7992</v>
      </c>
      <c r="ZX27" s="206" t="s">
        <v>7992</v>
      </c>
      <c r="ZY27" s="206" t="s">
        <v>7992</v>
      </c>
      <c r="ZZ27" s="206" t="s">
        <v>7992</v>
      </c>
      <c r="AAA27" s="206" t="s">
        <v>7992</v>
      </c>
      <c r="AAB27" s="206" t="s">
        <v>7992</v>
      </c>
      <c r="AAC27" s="206" t="s">
        <v>7992</v>
      </c>
      <c r="AAD27" s="206" t="s">
        <v>7992</v>
      </c>
      <c r="AAE27" s="206" t="s">
        <v>7992</v>
      </c>
      <c r="AAF27" s="206" t="s">
        <v>7992</v>
      </c>
      <c r="AAG27" s="206" t="s">
        <v>7992</v>
      </c>
      <c r="AAH27" s="206" t="s">
        <v>7992</v>
      </c>
      <c r="AAI27" s="206" t="s">
        <v>7992</v>
      </c>
      <c r="AAJ27" s="206" t="s">
        <v>7992</v>
      </c>
      <c r="AAK27" s="206" t="s">
        <v>7992</v>
      </c>
      <c r="AAL27" s="206" t="s">
        <v>7992</v>
      </c>
      <c r="AAM27" s="206" t="s">
        <v>7992</v>
      </c>
      <c r="AAN27" s="206" t="s">
        <v>7992</v>
      </c>
      <c r="AAO27" s="206" t="s">
        <v>7992</v>
      </c>
      <c r="AAP27" s="206" t="s">
        <v>7992</v>
      </c>
      <c r="AAQ27" s="206" t="s">
        <v>7992</v>
      </c>
      <c r="AAR27" s="206" t="s">
        <v>7992</v>
      </c>
      <c r="AAS27" s="206" t="s">
        <v>7992</v>
      </c>
      <c r="AAT27" s="206" t="s">
        <v>7992</v>
      </c>
      <c r="AAU27" s="206" t="s">
        <v>7992</v>
      </c>
      <c r="AAV27" s="206" t="s">
        <v>7992</v>
      </c>
      <c r="AAW27" s="206" t="s">
        <v>7992</v>
      </c>
      <c r="AAX27" s="206" t="s">
        <v>7992</v>
      </c>
      <c r="AAY27" s="206" t="s">
        <v>7992</v>
      </c>
    </row>
    <row r="28" spans="1:727" s="206" customFormat="1" x14ac:dyDescent="0.25">
      <c r="A28" s="203" t="s">
        <v>3325</v>
      </c>
      <c r="B28" s="225" t="s">
        <v>7992</v>
      </c>
      <c r="C28" s="225" t="s">
        <v>7992</v>
      </c>
      <c r="D28" s="225" t="s">
        <v>7992</v>
      </c>
      <c r="E28" s="225" t="s">
        <v>7992</v>
      </c>
      <c r="F28" s="225" t="s">
        <v>7992</v>
      </c>
      <c r="G28" s="225" t="s">
        <v>7992</v>
      </c>
      <c r="H28" s="226" t="s">
        <v>7992</v>
      </c>
      <c r="I28" s="226" t="s">
        <v>7992</v>
      </c>
      <c r="J28" s="226" t="s">
        <v>7992</v>
      </c>
      <c r="K28" s="204" t="s">
        <v>7992</v>
      </c>
      <c r="L28" s="204" t="s">
        <v>7992</v>
      </c>
      <c r="M28" s="204" t="s">
        <v>7992</v>
      </c>
      <c r="N28" s="204" t="s">
        <v>7992</v>
      </c>
      <c r="O28" s="204" t="s">
        <v>7992</v>
      </c>
      <c r="P28" s="204" t="s">
        <v>7992</v>
      </c>
      <c r="Q28" s="204" t="s">
        <v>7992</v>
      </c>
      <c r="R28" s="204" t="s">
        <v>7992</v>
      </c>
      <c r="S28" s="204" t="s">
        <v>7992</v>
      </c>
      <c r="T28" s="204" t="s">
        <v>7992</v>
      </c>
      <c r="U28" s="204" t="s">
        <v>7992</v>
      </c>
      <c r="V28" s="204" t="s">
        <v>7992</v>
      </c>
      <c r="W28" s="204" t="s">
        <v>7992</v>
      </c>
      <c r="X28" s="204" t="s">
        <v>7992</v>
      </c>
      <c r="Y28" s="204" t="s">
        <v>7992</v>
      </c>
      <c r="Z28" s="204" t="s">
        <v>7992</v>
      </c>
      <c r="AA28" s="204" t="s">
        <v>7992</v>
      </c>
      <c r="AB28" s="204" t="s">
        <v>7992</v>
      </c>
      <c r="AC28" s="204" t="s">
        <v>7992</v>
      </c>
      <c r="AD28" s="204" t="s">
        <v>7992</v>
      </c>
      <c r="AE28" s="204" t="s">
        <v>7992</v>
      </c>
      <c r="AF28" s="204" t="s">
        <v>7992</v>
      </c>
      <c r="AG28" s="204" t="s">
        <v>7992</v>
      </c>
      <c r="AH28" s="204" t="s">
        <v>7992</v>
      </c>
      <c r="AI28" s="204" t="s">
        <v>7992</v>
      </c>
      <c r="AJ28" s="204" t="s">
        <v>7992</v>
      </c>
      <c r="AK28" s="204" t="s">
        <v>7992</v>
      </c>
      <c r="AL28" s="206" t="s">
        <v>7992</v>
      </c>
      <c r="AM28" s="206" t="s">
        <v>7992</v>
      </c>
      <c r="AN28" s="206" t="s">
        <v>7992</v>
      </c>
      <c r="AO28" s="206" t="s">
        <v>7992</v>
      </c>
      <c r="AP28" s="206" t="s">
        <v>7992</v>
      </c>
      <c r="AQ28" s="206" t="s">
        <v>7992</v>
      </c>
      <c r="AR28" s="206" t="s">
        <v>7992</v>
      </c>
      <c r="AS28" s="206" t="s">
        <v>7992</v>
      </c>
      <c r="AT28" s="206" t="s">
        <v>7992</v>
      </c>
      <c r="AU28" s="206" t="s">
        <v>7992</v>
      </c>
      <c r="AV28" s="206" t="s">
        <v>7992</v>
      </c>
      <c r="AW28" s="167" t="s">
        <v>7992</v>
      </c>
      <c r="AX28" s="206" t="s">
        <v>7992</v>
      </c>
      <c r="AY28" s="206" t="s">
        <v>7992</v>
      </c>
      <c r="AZ28" s="206" t="s">
        <v>7992</v>
      </c>
      <c r="BA28" s="206" t="s">
        <v>7992</v>
      </c>
      <c r="BB28" s="206" t="s">
        <v>7992</v>
      </c>
      <c r="BC28" s="206" t="s">
        <v>7992</v>
      </c>
      <c r="BD28" s="206" t="s">
        <v>7992</v>
      </c>
      <c r="BE28" s="206" t="s">
        <v>7992</v>
      </c>
      <c r="BF28" s="206" t="s">
        <v>7992</v>
      </c>
      <c r="BG28" s="206" t="s">
        <v>7992</v>
      </c>
      <c r="BH28" s="206" t="s">
        <v>7992</v>
      </c>
      <c r="BI28" s="206" t="s">
        <v>7992</v>
      </c>
      <c r="BJ28" s="206" t="s">
        <v>7992</v>
      </c>
      <c r="BK28" s="206" t="s">
        <v>7992</v>
      </c>
      <c r="BL28" s="206" t="s">
        <v>7992</v>
      </c>
      <c r="BM28" s="206" t="s">
        <v>7992</v>
      </c>
      <c r="BN28" s="206" t="s">
        <v>7992</v>
      </c>
      <c r="BO28" s="206" t="s">
        <v>7992</v>
      </c>
      <c r="BP28" s="206" t="s">
        <v>7992</v>
      </c>
      <c r="BQ28" s="206" t="s">
        <v>7992</v>
      </c>
      <c r="BR28" s="206" t="s">
        <v>7992</v>
      </c>
      <c r="BS28" s="206" t="s">
        <v>7992</v>
      </c>
      <c r="BT28" s="206" t="s">
        <v>7992</v>
      </c>
      <c r="BU28" s="206" t="s">
        <v>7992</v>
      </c>
      <c r="BV28" s="206" t="s">
        <v>7992</v>
      </c>
      <c r="BW28" s="206" t="s">
        <v>7992</v>
      </c>
      <c r="BX28" s="206" t="s">
        <v>7992</v>
      </c>
      <c r="BY28" s="206" t="s">
        <v>7992</v>
      </c>
      <c r="BZ28" s="206" t="s">
        <v>7992</v>
      </c>
      <c r="CA28" s="206" t="s">
        <v>7992</v>
      </c>
      <c r="CB28" s="206" t="s">
        <v>7992</v>
      </c>
      <c r="CC28" s="206" t="s">
        <v>7992</v>
      </c>
      <c r="CD28" s="206" t="s">
        <v>7992</v>
      </c>
      <c r="CE28" s="206" t="s">
        <v>7992</v>
      </c>
      <c r="CF28" s="206" t="s">
        <v>7992</v>
      </c>
      <c r="CG28" s="206" t="s">
        <v>7992</v>
      </c>
      <c r="CH28" s="206" t="s">
        <v>7992</v>
      </c>
      <c r="CI28" s="206" t="s">
        <v>7992</v>
      </c>
      <c r="CJ28" s="206" t="s">
        <v>7992</v>
      </c>
      <c r="CK28" s="206" t="s">
        <v>7992</v>
      </c>
      <c r="CL28" s="206" t="s">
        <v>7992</v>
      </c>
      <c r="CM28" s="206" t="s">
        <v>7992</v>
      </c>
      <c r="CN28" s="206" t="s">
        <v>7992</v>
      </c>
      <c r="CO28" s="206" t="s">
        <v>7992</v>
      </c>
      <c r="CP28" s="206" t="s">
        <v>7992</v>
      </c>
      <c r="CQ28" s="206" t="s">
        <v>7992</v>
      </c>
      <c r="CR28" s="206" t="s">
        <v>7992</v>
      </c>
      <c r="CS28" s="206" t="s">
        <v>7992</v>
      </c>
      <c r="CT28" s="206" t="s">
        <v>7992</v>
      </c>
      <c r="CU28" s="206" t="s">
        <v>7992</v>
      </c>
      <c r="CV28" s="206" t="s">
        <v>7992</v>
      </c>
      <c r="CW28" s="206" t="s">
        <v>7992</v>
      </c>
      <c r="CX28" s="206" t="s">
        <v>7992</v>
      </c>
      <c r="CY28" s="206" t="s">
        <v>7992</v>
      </c>
      <c r="CZ28" s="206" t="s">
        <v>7992</v>
      </c>
      <c r="DA28" s="206" t="s">
        <v>7992</v>
      </c>
      <c r="DB28" s="206" t="s">
        <v>7992</v>
      </c>
      <c r="DC28" s="206" t="s">
        <v>7992</v>
      </c>
      <c r="DD28" s="206" t="s">
        <v>7992</v>
      </c>
      <c r="DE28" s="206" t="s">
        <v>7992</v>
      </c>
      <c r="DF28" s="206" t="s">
        <v>7992</v>
      </c>
      <c r="DG28" s="206" t="s">
        <v>7992</v>
      </c>
      <c r="DH28" s="206" t="s">
        <v>7992</v>
      </c>
      <c r="DI28" s="206" t="s">
        <v>7992</v>
      </c>
      <c r="DJ28" s="206" t="s">
        <v>7992</v>
      </c>
      <c r="DK28" s="206" t="s">
        <v>7992</v>
      </c>
      <c r="DL28" s="206" t="s">
        <v>7992</v>
      </c>
      <c r="DM28" s="206" t="s">
        <v>7992</v>
      </c>
      <c r="DN28" s="206" t="s">
        <v>7992</v>
      </c>
      <c r="DO28" s="206" t="s">
        <v>7992</v>
      </c>
      <c r="DP28" s="206" t="s">
        <v>7992</v>
      </c>
      <c r="DQ28" s="206" t="s">
        <v>7992</v>
      </c>
      <c r="DR28" s="206" t="s">
        <v>7992</v>
      </c>
      <c r="DS28" s="206" t="s">
        <v>7992</v>
      </c>
      <c r="DT28" s="206" t="s">
        <v>7992</v>
      </c>
      <c r="DU28" s="206" t="s">
        <v>7992</v>
      </c>
      <c r="DV28" s="206" t="s">
        <v>7992</v>
      </c>
      <c r="DW28" s="206" t="s">
        <v>7992</v>
      </c>
      <c r="DX28" s="206" t="s">
        <v>7992</v>
      </c>
      <c r="DY28" s="206" t="s">
        <v>7992</v>
      </c>
      <c r="DZ28" s="206" t="s">
        <v>7992</v>
      </c>
      <c r="EA28" s="206" t="s">
        <v>7992</v>
      </c>
      <c r="EB28" s="206" t="s">
        <v>7992</v>
      </c>
      <c r="EC28" s="206" t="s">
        <v>7992</v>
      </c>
      <c r="ED28" s="206" t="s">
        <v>7992</v>
      </c>
      <c r="EE28" s="206" t="s">
        <v>7992</v>
      </c>
      <c r="EF28" s="206" t="s">
        <v>7992</v>
      </c>
      <c r="EG28" s="206" t="s">
        <v>7992</v>
      </c>
      <c r="EH28" s="206" t="s">
        <v>7992</v>
      </c>
      <c r="EI28" s="206" t="s">
        <v>7992</v>
      </c>
      <c r="EJ28" s="206" t="s">
        <v>7992</v>
      </c>
      <c r="EK28" s="206" t="s">
        <v>7992</v>
      </c>
      <c r="EL28" s="206" t="s">
        <v>7992</v>
      </c>
      <c r="EM28" s="206" t="s">
        <v>7992</v>
      </c>
      <c r="EN28" s="206" t="s">
        <v>7992</v>
      </c>
      <c r="EO28" s="206" t="s">
        <v>7992</v>
      </c>
      <c r="EP28" s="206" t="s">
        <v>7992</v>
      </c>
      <c r="EQ28" s="206" t="s">
        <v>7992</v>
      </c>
      <c r="ER28" s="206" t="s">
        <v>7992</v>
      </c>
      <c r="ES28" s="206" t="s">
        <v>7992</v>
      </c>
      <c r="ET28" s="206" t="s">
        <v>7992</v>
      </c>
      <c r="EU28" s="206" t="s">
        <v>7992</v>
      </c>
      <c r="EV28" s="206" t="s">
        <v>7992</v>
      </c>
      <c r="EW28" s="206" t="s">
        <v>7992</v>
      </c>
      <c r="EX28" s="206" t="s">
        <v>7992</v>
      </c>
      <c r="EY28" s="206" t="s">
        <v>7992</v>
      </c>
      <c r="EZ28" s="206" t="s">
        <v>7992</v>
      </c>
      <c r="FA28" s="206" t="s">
        <v>7992</v>
      </c>
      <c r="FB28" s="206" t="s">
        <v>7992</v>
      </c>
      <c r="FC28" s="206" t="s">
        <v>7992</v>
      </c>
      <c r="FD28" s="206" t="s">
        <v>7992</v>
      </c>
      <c r="FE28" s="206" t="s">
        <v>7992</v>
      </c>
      <c r="FF28" s="206" t="s">
        <v>7992</v>
      </c>
      <c r="FG28" s="206" t="s">
        <v>7992</v>
      </c>
      <c r="FH28" s="206" t="s">
        <v>7992</v>
      </c>
      <c r="FI28" s="206" t="s">
        <v>7992</v>
      </c>
      <c r="FJ28" s="206" t="s">
        <v>7992</v>
      </c>
      <c r="FK28" s="206" t="s">
        <v>7992</v>
      </c>
      <c r="FL28" s="206" t="s">
        <v>7992</v>
      </c>
      <c r="FM28" s="206" t="s">
        <v>7992</v>
      </c>
      <c r="FN28" s="206" t="s">
        <v>7992</v>
      </c>
      <c r="FO28" s="206" t="s">
        <v>7992</v>
      </c>
      <c r="FP28" s="206" t="s">
        <v>7992</v>
      </c>
      <c r="FQ28" s="206" t="s">
        <v>7992</v>
      </c>
      <c r="FR28" s="206" t="s">
        <v>7992</v>
      </c>
      <c r="FS28" s="206" t="s">
        <v>7992</v>
      </c>
      <c r="FT28" s="206" t="s">
        <v>7992</v>
      </c>
      <c r="FU28" s="206" t="s">
        <v>7992</v>
      </c>
      <c r="FV28" s="206" t="s">
        <v>7992</v>
      </c>
      <c r="FW28" s="206" t="s">
        <v>7992</v>
      </c>
      <c r="FX28" s="206" t="s">
        <v>7992</v>
      </c>
      <c r="FY28" s="206" t="s">
        <v>7992</v>
      </c>
      <c r="FZ28" s="206" t="s">
        <v>7992</v>
      </c>
      <c r="GA28" s="206" t="s">
        <v>7992</v>
      </c>
      <c r="GB28" s="206" t="s">
        <v>7992</v>
      </c>
      <c r="GC28" s="206" t="s">
        <v>7992</v>
      </c>
      <c r="GD28" s="206" t="s">
        <v>7992</v>
      </c>
      <c r="GE28" s="206" t="s">
        <v>7992</v>
      </c>
      <c r="GF28" s="206" t="s">
        <v>7992</v>
      </c>
      <c r="GG28" s="206" t="s">
        <v>7992</v>
      </c>
      <c r="GH28" s="206" t="s">
        <v>7992</v>
      </c>
      <c r="GI28" s="206" t="s">
        <v>7992</v>
      </c>
      <c r="GJ28" s="206" t="s">
        <v>7992</v>
      </c>
      <c r="GK28" s="206" t="s">
        <v>7992</v>
      </c>
      <c r="GL28" s="206" t="s">
        <v>7992</v>
      </c>
      <c r="GM28" s="206" t="s">
        <v>7992</v>
      </c>
      <c r="GN28" s="206" t="s">
        <v>7992</v>
      </c>
      <c r="GO28" s="206" t="s">
        <v>7992</v>
      </c>
      <c r="GP28" s="206" t="s">
        <v>7992</v>
      </c>
      <c r="GQ28" s="206" t="s">
        <v>7992</v>
      </c>
      <c r="GR28" s="206" t="s">
        <v>7992</v>
      </c>
      <c r="GS28" s="206" t="s">
        <v>7992</v>
      </c>
      <c r="GT28" s="206" t="s">
        <v>7992</v>
      </c>
      <c r="GU28" s="206" t="s">
        <v>7992</v>
      </c>
      <c r="GV28" s="206" t="s">
        <v>7992</v>
      </c>
      <c r="GW28" s="206" t="s">
        <v>7992</v>
      </c>
      <c r="GX28" s="206" t="s">
        <v>7992</v>
      </c>
      <c r="GY28" s="206" t="s">
        <v>7992</v>
      </c>
      <c r="GZ28" s="206" t="s">
        <v>7992</v>
      </c>
      <c r="HA28" s="206" t="s">
        <v>7992</v>
      </c>
      <c r="HB28" s="206" t="s">
        <v>7992</v>
      </c>
      <c r="HC28" s="206" t="s">
        <v>7992</v>
      </c>
      <c r="HD28" s="206" t="s">
        <v>7992</v>
      </c>
      <c r="HE28" s="206" t="s">
        <v>7992</v>
      </c>
      <c r="HF28" s="206" t="s">
        <v>7992</v>
      </c>
      <c r="HG28" s="206" t="s">
        <v>7992</v>
      </c>
      <c r="HH28" s="206" t="s">
        <v>7992</v>
      </c>
      <c r="HI28" s="206" t="s">
        <v>7992</v>
      </c>
      <c r="HJ28" s="206" t="s">
        <v>7992</v>
      </c>
      <c r="HK28" s="206" t="s">
        <v>7992</v>
      </c>
      <c r="HL28" s="206" t="s">
        <v>7992</v>
      </c>
      <c r="HM28" s="206" t="s">
        <v>7992</v>
      </c>
      <c r="HN28" s="206" t="s">
        <v>7992</v>
      </c>
      <c r="HO28" s="206" t="s">
        <v>7992</v>
      </c>
      <c r="HP28" s="206" t="s">
        <v>7992</v>
      </c>
      <c r="HQ28" s="206" t="s">
        <v>7992</v>
      </c>
      <c r="HR28" s="206" t="s">
        <v>7992</v>
      </c>
      <c r="HS28" s="206" t="s">
        <v>7992</v>
      </c>
      <c r="HT28" s="206" t="s">
        <v>7992</v>
      </c>
      <c r="HU28" s="206" t="s">
        <v>7992</v>
      </c>
      <c r="HV28" s="206" t="s">
        <v>7992</v>
      </c>
      <c r="HW28" s="206" t="s">
        <v>7992</v>
      </c>
      <c r="HX28" s="206" t="s">
        <v>7992</v>
      </c>
      <c r="HY28" s="206" t="s">
        <v>7992</v>
      </c>
      <c r="HZ28" s="206" t="s">
        <v>7992</v>
      </c>
      <c r="IA28" s="206" t="s">
        <v>7992</v>
      </c>
      <c r="IB28" s="206" t="s">
        <v>7992</v>
      </c>
      <c r="IC28" s="206" t="s">
        <v>7992</v>
      </c>
      <c r="ID28" s="206" t="s">
        <v>7992</v>
      </c>
      <c r="IE28" s="206" t="s">
        <v>7992</v>
      </c>
      <c r="IF28" s="206" t="s">
        <v>7992</v>
      </c>
      <c r="IG28" s="206" t="s">
        <v>7992</v>
      </c>
      <c r="IH28" s="206" t="s">
        <v>7992</v>
      </c>
      <c r="II28" s="206" t="s">
        <v>7992</v>
      </c>
      <c r="IJ28" s="206" t="s">
        <v>7992</v>
      </c>
      <c r="IK28" s="206" t="s">
        <v>7992</v>
      </c>
      <c r="IL28" s="206" t="s">
        <v>7992</v>
      </c>
      <c r="IM28" s="206" t="s">
        <v>7992</v>
      </c>
      <c r="IN28" s="206" t="s">
        <v>7992</v>
      </c>
      <c r="IO28" s="206" t="s">
        <v>7992</v>
      </c>
      <c r="IP28" s="206" t="s">
        <v>7992</v>
      </c>
      <c r="IQ28" s="206" t="s">
        <v>7992</v>
      </c>
      <c r="IR28" s="206" t="s">
        <v>7992</v>
      </c>
      <c r="IS28" s="206" t="s">
        <v>7992</v>
      </c>
      <c r="IT28" s="206" t="s">
        <v>7992</v>
      </c>
      <c r="IU28" s="206" t="s">
        <v>7992</v>
      </c>
      <c r="IV28" s="206" t="s">
        <v>7992</v>
      </c>
      <c r="IW28" s="206" t="s">
        <v>7992</v>
      </c>
      <c r="IX28" s="206" t="s">
        <v>7992</v>
      </c>
      <c r="IY28" s="206" t="s">
        <v>7992</v>
      </c>
      <c r="IZ28" s="206" t="s">
        <v>7992</v>
      </c>
      <c r="JA28" s="206" t="s">
        <v>7992</v>
      </c>
      <c r="JB28" s="206" t="s">
        <v>7992</v>
      </c>
      <c r="JC28" s="206" t="s">
        <v>7992</v>
      </c>
      <c r="JD28" s="206" t="s">
        <v>7992</v>
      </c>
      <c r="JE28" s="206" t="s">
        <v>7992</v>
      </c>
      <c r="JF28" s="206" t="s">
        <v>7992</v>
      </c>
      <c r="JG28" s="206" t="s">
        <v>7992</v>
      </c>
      <c r="JH28" s="206" t="s">
        <v>7992</v>
      </c>
      <c r="JI28" s="206" t="s">
        <v>7992</v>
      </c>
      <c r="JJ28" s="206" t="s">
        <v>7992</v>
      </c>
      <c r="JK28" s="206" t="s">
        <v>7992</v>
      </c>
      <c r="JL28" s="206" t="s">
        <v>7992</v>
      </c>
      <c r="JM28" s="206" t="s">
        <v>7992</v>
      </c>
      <c r="JN28" s="206" t="s">
        <v>7992</v>
      </c>
      <c r="JO28" s="206" t="s">
        <v>7992</v>
      </c>
      <c r="JP28" s="206" t="s">
        <v>7992</v>
      </c>
      <c r="JQ28" s="206" t="s">
        <v>7992</v>
      </c>
      <c r="JR28" s="206" t="s">
        <v>7992</v>
      </c>
      <c r="JS28" s="206" t="s">
        <v>7992</v>
      </c>
      <c r="JT28" s="206" t="s">
        <v>7992</v>
      </c>
      <c r="JU28" s="206" t="s">
        <v>7992</v>
      </c>
      <c r="JV28" s="206" t="s">
        <v>7992</v>
      </c>
      <c r="JW28" s="206" t="s">
        <v>7992</v>
      </c>
      <c r="JX28" s="206" t="s">
        <v>7992</v>
      </c>
      <c r="JY28" s="206" t="s">
        <v>7992</v>
      </c>
      <c r="JZ28" s="206" t="s">
        <v>7992</v>
      </c>
      <c r="KA28" s="206" t="s">
        <v>7992</v>
      </c>
      <c r="KB28" s="206" t="s">
        <v>7992</v>
      </c>
      <c r="KC28" s="206" t="s">
        <v>7992</v>
      </c>
      <c r="KD28" s="206" t="s">
        <v>7992</v>
      </c>
      <c r="KE28" s="206" t="s">
        <v>7992</v>
      </c>
      <c r="KF28" s="206" t="s">
        <v>7992</v>
      </c>
      <c r="KG28" s="206" t="s">
        <v>7992</v>
      </c>
      <c r="KH28" s="206" t="s">
        <v>7992</v>
      </c>
      <c r="KI28" s="206" t="s">
        <v>7992</v>
      </c>
      <c r="KJ28" s="206" t="s">
        <v>7992</v>
      </c>
      <c r="KK28" s="206" t="s">
        <v>7992</v>
      </c>
      <c r="KL28" s="206" t="s">
        <v>7992</v>
      </c>
      <c r="KM28" s="206" t="s">
        <v>7992</v>
      </c>
      <c r="KN28" s="206" t="s">
        <v>7992</v>
      </c>
      <c r="KO28" s="206" t="s">
        <v>7992</v>
      </c>
      <c r="KP28" s="206" t="s">
        <v>7992</v>
      </c>
      <c r="KQ28" s="206" t="s">
        <v>7992</v>
      </c>
      <c r="KR28" s="206" t="s">
        <v>7992</v>
      </c>
      <c r="KS28" s="206" t="s">
        <v>7992</v>
      </c>
      <c r="KT28" s="206" t="s">
        <v>7992</v>
      </c>
      <c r="KU28" s="206" t="s">
        <v>7992</v>
      </c>
      <c r="KV28" s="206" t="s">
        <v>7992</v>
      </c>
      <c r="KW28" s="206" t="s">
        <v>7992</v>
      </c>
      <c r="KX28" s="206" t="s">
        <v>7992</v>
      </c>
      <c r="KY28" s="206" t="s">
        <v>7992</v>
      </c>
      <c r="KZ28" s="206" t="s">
        <v>7992</v>
      </c>
      <c r="LA28" s="206" t="s">
        <v>7992</v>
      </c>
      <c r="LB28" s="206" t="s">
        <v>7992</v>
      </c>
      <c r="LC28" s="206" t="s">
        <v>7992</v>
      </c>
      <c r="LD28" s="206" t="s">
        <v>7992</v>
      </c>
      <c r="LE28" s="206" t="s">
        <v>7992</v>
      </c>
      <c r="LF28" s="206" t="s">
        <v>7992</v>
      </c>
      <c r="LG28" s="206" t="s">
        <v>7992</v>
      </c>
      <c r="LH28" s="206" t="s">
        <v>7992</v>
      </c>
      <c r="LI28" s="206" t="s">
        <v>7992</v>
      </c>
      <c r="LJ28" s="206" t="s">
        <v>7992</v>
      </c>
      <c r="LK28" s="206" t="s">
        <v>7992</v>
      </c>
      <c r="LL28" s="206" t="s">
        <v>7992</v>
      </c>
      <c r="LM28" s="206" t="s">
        <v>7992</v>
      </c>
      <c r="LN28" s="206" t="s">
        <v>7992</v>
      </c>
      <c r="LO28" s="206" t="s">
        <v>7992</v>
      </c>
      <c r="LP28" s="206" t="s">
        <v>7992</v>
      </c>
      <c r="LQ28" s="206" t="s">
        <v>7992</v>
      </c>
      <c r="LR28" s="206" t="s">
        <v>7992</v>
      </c>
      <c r="LS28" s="206" t="s">
        <v>7992</v>
      </c>
      <c r="LT28" s="206" t="s">
        <v>7992</v>
      </c>
      <c r="LU28" s="206" t="s">
        <v>7992</v>
      </c>
      <c r="LV28" s="206" t="s">
        <v>7992</v>
      </c>
      <c r="LW28" s="206" t="s">
        <v>7992</v>
      </c>
      <c r="LX28" s="206" t="s">
        <v>7992</v>
      </c>
      <c r="LY28" s="206" t="s">
        <v>7992</v>
      </c>
      <c r="LZ28" s="206" t="s">
        <v>7992</v>
      </c>
      <c r="MA28" s="206" t="s">
        <v>7992</v>
      </c>
      <c r="MB28" s="206" t="s">
        <v>7992</v>
      </c>
      <c r="MC28" s="206" t="s">
        <v>7992</v>
      </c>
      <c r="MD28" s="206" t="s">
        <v>7992</v>
      </c>
      <c r="ME28" s="206" t="s">
        <v>7992</v>
      </c>
      <c r="MF28" s="206" t="s">
        <v>7992</v>
      </c>
      <c r="MG28" s="206" t="s">
        <v>7992</v>
      </c>
      <c r="MH28" s="206" t="s">
        <v>7992</v>
      </c>
      <c r="MI28" s="206" t="s">
        <v>7992</v>
      </c>
      <c r="MJ28" s="206" t="s">
        <v>7992</v>
      </c>
      <c r="MK28" s="206" t="s">
        <v>7992</v>
      </c>
      <c r="ML28" s="206" t="s">
        <v>7992</v>
      </c>
      <c r="MM28" s="206" t="s">
        <v>7992</v>
      </c>
      <c r="MN28" s="206" t="s">
        <v>7992</v>
      </c>
      <c r="MO28" s="206" t="s">
        <v>7992</v>
      </c>
      <c r="MP28" s="206" t="s">
        <v>7992</v>
      </c>
      <c r="MQ28" s="206" t="s">
        <v>7992</v>
      </c>
      <c r="MR28" s="206" t="s">
        <v>7992</v>
      </c>
      <c r="MS28" s="206" t="s">
        <v>7992</v>
      </c>
      <c r="MT28" s="206" t="s">
        <v>7992</v>
      </c>
      <c r="MU28" s="206" t="s">
        <v>7992</v>
      </c>
      <c r="MV28" s="206" t="s">
        <v>7992</v>
      </c>
      <c r="MW28" s="206" t="s">
        <v>7992</v>
      </c>
      <c r="MX28" s="206" t="s">
        <v>7992</v>
      </c>
      <c r="MY28" s="206" t="s">
        <v>7992</v>
      </c>
      <c r="MZ28" s="206" t="s">
        <v>7992</v>
      </c>
      <c r="NA28" s="206" t="s">
        <v>7992</v>
      </c>
      <c r="NB28" s="206" t="s">
        <v>7992</v>
      </c>
      <c r="NC28" s="206" t="s">
        <v>7992</v>
      </c>
      <c r="ND28" s="206" t="s">
        <v>7992</v>
      </c>
      <c r="NE28" s="206" t="s">
        <v>7992</v>
      </c>
      <c r="NF28" s="206" t="s">
        <v>7992</v>
      </c>
      <c r="NG28" s="206" t="s">
        <v>7992</v>
      </c>
      <c r="NH28" s="206" t="s">
        <v>7992</v>
      </c>
      <c r="NI28" s="206" t="s">
        <v>7992</v>
      </c>
      <c r="NJ28" s="206" t="s">
        <v>7992</v>
      </c>
      <c r="NK28" s="206" t="s">
        <v>7992</v>
      </c>
      <c r="NL28" s="206" t="s">
        <v>7992</v>
      </c>
      <c r="NM28" s="206" t="s">
        <v>7992</v>
      </c>
      <c r="NN28" s="206" t="s">
        <v>7992</v>
      </c>
      <c r="NO28" s="206" t="s">
        <v>7992</v>
      </c>
      <c r="NP28" s="206" t="s">
        <v>7992</v>
      </c>
      <c r="NQ28" s="206" t="s">
        <v>7992</v>
      </c>
      <c r="NR28" s="206" t="s">
        <v>7992</v>
      </c>
      <c r="NS28" s="206" t="s">
        <v>7992</v>
      </c>
      <c r="NT28" s="206" t="s">
        <v>7992</v>
      </c>
      <c r="NU28" s="206" t="s">
        <v>7992</v>
      </c>
      <c r="NV28" s="206" t="s">
        <v>7992</v>
      </c>
      <c r="NW28" s="206" t="s">
        <v>7992</v>
      </c>
      <c r="NX28" s="206" t="s">
        <v>7992</v>
      </c>
      <c r="NY28" s="206" t="s">
        <v>7992</v>
      </c>
      <c r="NZ28" s="206" t="s">
        <v>7992</v>
      </c>
      <c r="OA28" s="206" t="s">
        <v>7992</v>
      </c>
      <c r="OB28" s="206" t="s">
        <v>7992</v>
      </c>
      <c r="OC28" s="206" t="s">
        <v>7992</v>
      </c>
      <c r="OD28" s="206" t="s">
        <v>7992</v>
      </c>
      <c r="OE28" s="206" t="s">
        <v>7992</v>
      </c>
      <c r="OF28" s="206" t="s">
        <v>7992</v>
      </c>
      <c r="OG28" s="206" t="s">
        <v>7992</v>
      </c>
      <c r="OH28" s="206" t="s">
        <v>7992</v>
      </c>
      <c r="OI28" s="206" t="s">
        <v>7992</v>
      </c>
      <c r="OJ28" s="206" t="s">
        <v>7992</v>
      </c>
      <c r="OK28" s="206" t="s">
        <v>7992</v>
      </c>
      <c r="OL28" s="206" t="s">
        <v>7992</v>
      </c>
      <c r="OM28" s="206" t="s">
        <v>7992</v>
      </c>
      <c r="ON28" s="206" t="s">
        <v>7992</v>
      </c>
      <c r="OO28" s="206" t="s">
        <v>7992</v>
      </c>
      <c r="OP28" s="206" t="s">
        <v>7992</v>
      </c>
      <c r="OQ28" s="206" t="s">
        <v>7992</v>
      </c>
      <c r="OR28" s="206" t="s">
        <v>7992</v>
      </c>
      <c r="OS28" s="206" t="s">
        <v>7992</v>
      </c>
      <c r="OT28" s="206" t="s">
        <v>7992</v>
      </c>
      <c r="OU28" s="206" t="s">
        <v>7992</v>
      </c>
      <c r="OV28" s="206" t="s">
        <v>7992</v>
      </c>
      <c r="OW28" s="206" t="s">
        <v>7992</v>
      </c>
      <c r="OX28" s="206" t="s">
        <v>7992</v>
      </c>
      <c r="OY28" s="206" t="s">
        <v>7992</v>
      </c>
      <c r="OZ28" s="206" t="s">
        <v>7992</v>
      </c>
      <c r="PA28" s="206" t="s">
        <v>7992</v>
      </c>
      <c r="PB28" s="206" t="s">
        <v>7992</v>
      </c>
      <c r="PC28" s="206" t="s">
        <v>7992</v>
      </c>
      <c r="PD28" s="206" t="s">
        <v>7992</v>
      </c>
      <c r="PE28" s="206" t="s">
        <v>7992</v>
      </c>
      <c r="PF28" s="206" t="s">
        <v>7992</v>
      </c>
      <c r="PG28" s="206" t="s">
        <v>7992</v>
      </c>
      <c r="PH28" s="206" t="s">
        <v>7992</v>
      </c>
      <c r="PI28" s="206" t="s">
        <v>7992</v>
      </c>
      <c r="PJ28" s="206" t="s">
        <v>7992</v>
      </c>
      <c r="PK28" s="206" t="s">
        <v>7992</v>
      </c>
      <c r="PL28" s="206" t="s">
        <v>7992</v>
      </c>
      <c r="PM28" s="206" t="s">
        <v>7992</v>
      </c>
      <c r="PN28" s="206" t="s">
        <v>7992</v>
      </c>
      <c r="PO28" s="206" t="s">
        <v>7992</v>
      </c>
      <c r="PP28" s="206" t="s">
        <v>7992</v>
      </c>
      <c r="PQ28" s="206" t="s">
        <v>7992</v>
      </c>
      <c r="PR28" s="206" t="s">
        <v>7992</v>
      </c>
      <c r="PS28" s="206" t="s">
        <v>7992</v>
      </c>
      <c r="PT28" s="206" t="s">
        <v>7992</v>
      </c>
      <c r="PU28" s="206" t="s">
        <v>7992</v>
      </c>
      <c r="PV28" s="206" t="s">
        <v>7992</v>
      </c>
      <c r="PW28" s="206" t="s">
        <v>7992</v>
      </c>
      <c r="PX28" s="206" t="s">
        <v>7992</v>
      </c>
      <c r="PY28" s="206" t="s">
        <v>7992</v>
      </c>
      <c r="PZ28" s="206" t="s">
        <v>7992</v>
      </c>
      <c r="QA28" s="206" t="s">
        <v>7992</v>
      </c>
      <c r="QB28" s="206" t="s">
        <v>7992</v>
      </c>
      <c r="QC28" s="206" t="s">
        <v>7992</v>
      </c>
      <c r="QD28" s="206" t="s">
        <v>7992</v>
      </c>
      <c r="QE28" s="206" t="s">
        <v>7992</v>
      </c>
      <c r="QF28" s="206" t="s">
        <v>7992</v>
      </c>
      <c r="QG28" s="206" t="s">
        <v>7992</v>
      </c>
      <c r="QH28" s="206" t="s">
        <v>7992</v>
      </c>
      <c r="QI28" s="206" t="s">
        <v>7992</v>
      </c>
      <c r="QJ28" s="206" t="s">
        <v>7992</v>
      </c>
      <c r="QK28" s="206" t="s">
        <v>7992</v>
      </c>
      <c r="QL28" s="206" t="s">
        <v>7992</v>
      </c>
      <c r="QM28" s="206" t="s">
        <v>7992</v>
      </c>
      <c r="QN28" s="206" t="s">
        <v>7992</v>
      </c>
      <c r="QO28" s="206" t="s">
        <v>7992</v>
      </c>
      <c r="QP28" s="206" t="s">
        <v>7992</v>
      </c>
      <c r="QQ28" s="206" t="s">
        <v>7992</v>
      </c>
      <c r="QR28" s="206" t="s">
        <v>7992</v>
      </c>
      <c r="QS28" s="206" t="s">
        <v>7992</v>
      </c>
      <c r="QT28" s="206" t="s">
        <v>7992</v>
      </c>
      <c r="QU28" s="206" t="s">
        <v>7992</v>
      </c>
      <c r="QV28" s="206" t="s">
        <v>7992</v>
      </c>
      <c r="QW28" s="206" t="s">
        <v>7992</v>
      </c>
      <c r="QX28" s="206" t="s">
        <v>7992</v>
      </c>
      <c r="QY28" s="206" t="s">
        <v>7992</v>
      </c>
      <c r="QZ28" s="206" t="s">
        <v>7992</v>
      </c>
      <c r="RA28" s="206" t="s">
        <v>7992</v>
      </c>
      <c r="RB28" s="206" t="s">
        <v>7992</v>
      </c>
      <c r="RC28" s="206" t="s">
        <v>7992</v>
      </c>
      <c r="RD28" s="206" t="s">
        <v>7992</v>
      </c>
      <c r="RE28" s="206" t="s">
        <v>7992</v>
      </c>
      <c r="RF28" s="206" t="s">
        <v>7992</v>
      </c>
      <c r="RG28" s="206" t="s">
        <v>7992</v>
      </c>
      <c r="RH28" s="206" t="s">
        <v>7992</v>
      </c>
      <c r="RI28" s="206" t="s">
        <v>7992</v>
      </c>
      <c r="RJ28" s="206" t="s">
        <v>7992</v>
      </c>
      <c r="RK28" s="206" t="s">
        <v>7992</v>
      </c>
      <c r="RL28" s="206" t="s">
        <v>7992</v>
      </c>
      <c r="RM28" s="206" t="s">
        <v>7992</v>
      </c>
      <c r="RN28" s="206" t="s">
        <v>7992</v>
      </c>
      <c r="RO28" s="206" t="s">
        <v>7992</v>
      </c>
      <c r="RP28" s="206" t="s">
        <v>7992</v>
      </c>
      <c r="RQ28" s="206" t="s">
        <v>7992</v>
      </c>
      <c r="RR28" s="206" t="s">
        <v>7992</v>
      </c>
      <c r="RS28" s="206" t="s">
        <v>7992</v>
      </c>
      <c r="RT28" s="206" t="s">
        <v>7992</v>
      </c>
      <c r="RU28" s="206" t="s">
        <v>7992</v>
      </c>
      <c r="RV28" s="206" t="s">
        <v>7992</v>
      </c>
      <c r="RW28" s="206" t="s">
        <v>7992</v>
      </c>
      <c r="RX28" s="206" t="s">
        <v>7992</v>
      </c>
      <c r="RY28" s="206" t="s">
        <v>7992</v>
      </c>
      <c r="RZ28" s="206" t="s">
        <v>7992</v>
      </c>
      <c r="SA28" s="206" t="s">
        <v>7992</v>
      </c>
      <c r="SB28" s="206" t="s">
        <v>7992</v>
      </c>
      <c r="SC28" s="206" t="s">
        <v>7992</v>
      </c>
      <c r="SD28" s="206" t="s">
        <v>7992</v>
      </c>
      <c r="SE28" s="206" t="s">
        <v>7992</v>
      </c>
      <c r="SF28" s="206" t="s">
        <v>7992</v>
      </c>
      <c r="SG28" s="206" t="s">
        <v>7992</v>
      </c>
      <c r="SH28" s="206" t="s">
        <v>7992</v>
      </c>
      <c r="SI28" s="206" t="s">
        <v>7992</v>
      </c>
      <c r="SJ28" s="206" t="s">
        <v>7992</v>
      </c>
      <c r="SK28" s="206" t="s">
        <v>7992</v>
      </c>
      <c r="SL28" s="206" t="s">
        <v>7992</v>
      </c>
      <c r="SM28" s="206" t="s">
        <v>7992</v>
      </c>
      <c r="SN28" s="206" t="s">
        <v>7992</v>
      </c>
      <c r="SO28" s="206" t="s">
        <v>7992</v>
      </c>
      <c r="SP28" s="206" t="s">
        <v>7992</v>
      </c>
      <c r="SQ28" s="206" t="s">
        <v>7992</v>
      </c>
      <c r="SR28" s="206" t="s">
        <v>7992</v>
      </c>
      <c r="SS28" s="206" t="s">
        <v>7992</v>
      </c>
      <c r="ST28" s="206" t="s">
        <v>7992</v>
      </c>
      <c r="SU28" s="206" t="s">
        <v>7992</v>
      </c>
      <c r="SV28" s="206" t="s">
        <v>7992</v>
      </c>
      <c r="SW28" s="206" t="s">
        <v>7992</v>
      </c>
      <c r="SX28" s="206" t="s">
        <v>7992</v>
      </c>
      <c r="SY28" s="206" t="s">
        <v>7992</v>
      </c>
      <c r="SZ28" s="206" t="s">
        <v>7992</v>
      </c>
      <c r="TA28" s="206" t="s">
        <v>7992</v>
      </c>
      <c r="TB28" s="206" t="s">
        <v>7992</v>
      </c>
      <c r="TC28" s="206" t="s">
        <v>7992</v>
      </c>
      <c r="TD28" s="206" t="s">
        <v>7992</v>
      </c>
      <c r="TE28" s="206" t="s">
        <v>7992</v>
      </c>
      <c r="TF28" s="206" t="s">
        <v>7992</v>
      </c>
      <c r="TG28" s="206" t="s">
        <v>7992</v>
      </c>
      <c r="TH28" s="206" t="s">
        <v>7992</v>
      </c>
      <c r="TI28" s="206" t="s">
        <v>7992</v>
      </c>
      <c r="TJ28" s="206" t="s">
        <v>7992</v>
      </c>
      <c r="TK28" s="206" t="s">
        <v>7992</v>
      </c>
      <c r="TL28" s="206" t="s">
        <v>7992</v>
      </c>
      <c r="TM28" s="206" t="s">
        <v>7992</v>
      </c>
      <c r="TN28" s="206" t="s">
        <v>7992</v>
      </c>
      <c r="TO28" s="206" t="s">
        <v>7992</v>
      </c>
      <c r="TP28" s="206" t="s">
        <v>7992</v>
      </c>
      <c r="TQ28" s="206" t="s">
        <v>7992</v>
      </c>
      <c r="TR28" s="206" t="s">
        <v>7992</v>
      </c>
      <c r="TS28" s="206" t="s">
        <v>7992</v>
      </c>
      <c r="TT28" s="206" t="s">
        <v>7992</v>
      </c>
      <c r="TU28" s="206" t="s">
        <v>7992</v>
      </c>
      <c r="TV28" s="206" t="s">
        <v>7992</v>
      </c>
      <c r="TW28" s="206" t="s">
        <v>7992</v>
      </c>
      <c r="TX28" s="206" t="s">
        <v>7992</v>
      </c>
      <c r="TY28" s="206" t="s">
        <v>7992</v>
      </c>
      <c r="TZ28" s="206" t="s">
        <v>7992</v>
      </c>
      <c r="UA28" s="206" t="s">
        <v>7992</v>
      </c>
      <c r="UB28" s="206" t="s">
        <v>7992</v>
      </c>
      <c r="UC28" s="206" t="s">
        <v>7992</v>
      </c>
      <c r="UD28" s="206" t="s">
        <v>7992</v>
      </c>
      <c r="UE28" s="206" t="s">
        <v>7992</v>
      </c>
      <c r="UF28" s="206" t="s">
        <v>7992</v>
      </c>
      <c r="UG28" s="206" t="s">
        <v>7992</v>
      </c>
      <c r="UH28" s="206" t="s">
        <v>7992</v>
      </c>
      <c r="UI28" s="206" t="s">
        <v>7992</v>
      </c>
      <c r="UJ28" s="206" t="s">
        <v>7992</v>
      </c>
      <c r="UK28" s="206" t="s">
        <v>7992</v>
      </c>
      <c r="UL28" s="206" t="s">
        <v>7992</v>
      </c>
      <c r="UM28" s="206" t="s">
        <v>7992</v>
      </c>
      <c r="UN28" s="206" t="s">
        <v>7992</v>
      </c>
      <c r="UO28" s="206" t="s">
        <v>7992</v>
      </c>
      <c r="UP28" s="206" t="s">
        <v>7992</v>
      </c>
      <c r="UQ28" s="206" t="s">
        <v>7992</v>
      </c>
      <c r="UR28" s="206" t="s">
        <v>7992</v>
      </c>
      <c r="US28" s="206" t="s">
        <v>7992</v>
      </c>
      <c r="UT28" s="206" t="s">
        <v>7992</v>
      </c>
      <c r="UU28" s="206" t="s">
        <v>7992</v>
      </c>
      <c r="UV28" s="206" t="s">
        <v>7992</v>
      </c>
      <c r="UW28" s="206" t="s">
        <v>7992</v>
      </c>
      <c r="UX28" s="206" t="s">
        <v>7992</v>
      </c>
      <c r="UY28" s="206" t="s">
        <v>7992</v>
      </c>
      <c r="UZ28" s="206" t="s">
        <v>7992</v>
      </c>
      <c r="VA28" s="206" t="s">
        <v>7992</v>
      </c>
      <c r="VB28" s="206" t="s">
        <v>7992</v>
      </c>
      <c r="VC28" s="206" t="s">
        <v>7992</v>
      </c>
      <c r="VD28" s="206" t="s">
        <v>7992</v>
      </c>
      <c r="VE28" s="206" t="s">
        <v>7992</v>
      </c>
      <c r="VF28" s="206" t="s">
        <v>7992</v>
      </c>
      <c r="VG28" s="206" t="s">
        <v>7992</v>
      </c>
      <c r="VH28" s="206" t="s">
        <v>7992</v>
      </c>
      <c r="VI28" s="206" t="s">
        <v>7992</v>
      </c>
      <c r="VJ28" s="206" t="s">
        <v>7992</v>
      </c>
      <c r="VK28" s="206" t="s">
        <v>7992</v>
      </c>
      <c r="VL28" s="206" t="s">
        <v>7992</v>
      </c>
      <c r="VM28" s="206" t="s">
        <v>7992</v>
      </c>
      <c r="VN28" s="206" t="s">
        <v>7992</v>
      </c>
      <c r="VO28" s="206" t="s">
        <v>7992</v>
      </c>
      <c r="VP28" s="206" t="s">
        <v>7992</v>
      </c>
      <c r="VQ28" s="206" t="s">
        <v>7992</v>
      </c>
      <c r="VR28" s="206" t="s">
        <v>7992</v>
      </c>
      <c r="VS28" s="206" t="s">
        <v>7992</v>
      </c>
      <c r="VT28" s="206" t="s">
        <v>7992</v>
      </c>
      <c r="VU28" s="206" t="s">
        <v>7992</v>
      </c>
      <c r="VV28" s="206" t="s">
        <v>7992</v>
      </c>
      <c r="VW28" s="206" t="s">
        <v>7992</v>
      </c>
      <c r="VX28" s="206" t="s">
        <v>7992</v>
      </c>
      <c r="VY28" s="206" t="s">
        <v>7992</v>
      </c>
      <c r="VZ28" s="206" t="s">
        <v>7992</v>
      </c>
      <c r="WA28" s="206" t="s">
        <v>7992</v>
      </c>
      <c r="WB28" s="206" t="s">
        <v>7992</v>
      </c>
      <c r="WC28" s="206" t="s">
        <v>7992</v>
      </c>
      <c r="WD28" s="206" t="s">
        <v>7992</v>
      </c>
      <c r="WE28" s="206" t="s">
        <v>7992</v>
      </c>
      <c r="WF28" s="206" t="s">
        <v>7992</v>
      </c>
      <c r="WG28" s="206" t="s">
        <v>7992</v>
      </c>
      <c r="WH28" s="206" t="s">
        <v>7992</v>
      </c>
      <c r="WI28" s="206" t="s">
        <v>7992</v>
      </c>
      <c r="WJ28" s="206" t="s">
        <v>7992</v>
      </c>
      <c r="WK28" s="206" t="s">
        <v>7992</v>
      </c>
      <c r="WL28" s="206" t="s">
        <v>7992</v>
      </c>
      <c r="WM28" s="206" t="s">
        <v>7992</v>
      </c>
      <c r="WN28" s="206" t="s">
        <v>7992</v>
      </c>
      <c r="WO28" s="206" t="s">
        <v>7992</v>
      </c>
      <c r="WP28" s="206" t="s">
        <v>7992</v>
      </c>
      <c r="WQ28" s="206" t="s">
        <v>7992</v>
      </c>
      <c r="WR28" s="206" t="s">
        <v>7992</v>
      </c>
      <c r="WS28" s="206" t="s">
        <v>7992</v>
      </c>
      <c r="WT28" s="206" t="s">
        <v>7992</v>
      </c>
      <c r="WU28" s="206" t="s">
        <v>7992</v>
      </c>
      <c r="WV28" s="206" t="s">
        <v>7992</v>
      </c>
      <c r="WW28" s="206" t="s">
        <v>7992</v>
      </c>
      <c r="WX28" s="206" t="s">
        <v>7992</v>
      </c>
      <c r="WY28" s="206" t="s">
        <v>7992</v>
      </c>
      <c r="WZ28" s="206" t="s">
        <v>7992</v>
      </c>
      <c r="XA28" s="206" t="s">
        <v>7992</v>
      </c>
      <c r="XB28" s="206" t="s">
        <v>7992</v>
      </c>
      <c r="XC28" s="206" t="s">
        <v>7992</v>
      </c>
      <c r="XD28" s="206" t="s">
        <v>7992</v>
      </c>
      <c r="XE28" s="206" t="s">
        <v>7992</v>
      </c>
      <c r="XF28" s="206" t="s">
        <v>7992</v>
      </c>
      <c r="XG28" s="206" t="s">
        <v>7992</v>
      </c>
      <c r="XH28" s="206" t="s">
        <v>7992</v>
      </c>
      <c r="XI28" s="206" t="s">
        <v>7992</v>
      </c>
      <c r="XJ28" s="206" t="s">
        <v>7992</v>
      </c>
      <c r="XK28" s="206" t="s">
        <v>7992</v>
      </c>
      <c r="XL28" s="206" t="s">
        <v>7992</v>
      </c>
      <c r="XM28" s="206" t="s">
        <v>7992</v>
      </c>
      <c r="XN28" s="206" t="s">
        <v>7992</v>
      </c>
      <c r="XO28" s="206" t="s">
        <v>7992</v>
      </c>
      <c r="XP28" s="206" t="s">
        <v>7992</v>
      </c>
      <c r="XQ28" s="206" t="s">
        <v>7992</v>
      </c>
      <c r="XR28" s="206" t="s">
        <v>7992</v>
      </c>
      <c r="XS28" s="206" t="s">
        <v>7992</v>
      </c>
      <c r="XT28" s="206" t="s">
        <v>7992</v>
      </c>
      <c r="XU28" s="206" t="s">
        <v>7992</v>
      </c>
      <c r="XV28" s="206" t="s">
        <v>7992</v>
      </c>
      <c r="XW28" s="206" t="s">
        <v>7992</v>
      </c>
      <c r="XX28" s="206" t="s">
        <v>7992</v>
      </c>
      <c r="XY28" s="206" t="s">
        <v>7992</v>
      </c>
      <c r="XZ28" s="206" t="s">
        <v>7992</v>
      </c>
      <c r="YA28" s="206" t="s">
        <v>7992</v>
      </c>
      <c r="YB28" s="206" t="s">
        <v>7992</v>
      </c>
      <c r="YC28" s="206" t="s">
        <v>7992</v>
      </c>
      <c r="YD28" s="206" t="s">
        <v>7992</v>
      </c>
      <c r="YE28" s="206" t="s">
        <v>7992</v>
      </c>
      <c r="YF28" s="206" t="s">
        <v>7992</v>
      </c>
      <c r="YG28" s="206" t="s">
        <v>7992</v>
      </c>
      <c r="YH28" s="206" t="s">
        <v>7992</v>
      </c>
      <c r="YI28" s="206" t="s">
        <v>7992</v>
      </c>
      <c r="YJ28" s="206" t="s">
        <v>7992</v>
      </c>
      <c r="YK28" s="206" t="s">
        <v>7992</v>
      </c>
      <c r="YL28" s="206" t="s">
        <v>7992</v>
      </c>
      <c r="YM28" s="206" t="s">
        <v>7992</v>
      </c>
      <c r="YN28" s="206" t="s">
        <v>7992</v>
      </c>
      <c r="YO28" s="206" t="s">
        <v>7992</v>
      </c>
      <c r="YP28" s="206" t="s">
        <v>7992</v>
      </c>
      <c r="YQ28" s="206" t="s">
        <v>7992</v>
      </c>
      <c r="YR28" s="206" t="s">
        <v>7992</v>
      </c>
      <c r="YS28" s="206" t="s">
        <v>7992</v>
      </c>
      <c r="YT28" s="206" t="s">
        <v>7992</v>
      </c>
      <c r="YU28" s="206" t="s">
        <v>7992</v>
      </c>
      <c r="YV28" s="206" t="s">
        <v>7992</v>
      </c>
      <c r="YW28" s="206" t="s">
        <v>7992</v>
      </c>
      <c r="YX28" s="206" t="s">
        <v>7992</v>
      </c>
      <c r="YY28" s="206" t="s">
        <v>7992</v>
      </c>
      <c r="YZ28" s="206" t="s">
        <v>7992</v>
      </c>
      <c r="ZA28" s="206" t="s">
        <v>7992</v>
      </c>
      <c r="ZB28" s="206" t="s">
        <v>7992</v>
      </c>
      <c r="ZC28" s="206" t="s">
        <v>7992</v>
      </c>
      <c r="ZD28" s="206" t="s">
        <v>7992</v>
      </c>
      <c r="ZE28" s="206" t="s">
        <v>7992</v>
      </c>
      <c r="ZF28" s="206" t="s">
        <v>7992</v>
      </c>
      <c r="ZG28" s="206" t="s">
        <v>7992</v>
      </c>
      <c r="ZH28" s="206" t="s">
        <v>7992</v>
      </c>
      <c r="ZI28" s="206" t="s">
        <v>7992</v>
      </c>
      <c r="ZJ28" s="206" t="s">
        <v>7992</v>
      </c>
      <c r="ZK28" s="206" t="s">
        <v>7992</v>
      </c>
      <c r="ZL28" s="206" t="s">
        <v>7992</v>
      </c>
      <c r="ZM28" s="206" t="s">
        <v>7992</v>
      </c>
      <c r="ZN28" s="206" t="s">
        <v>7992</v>
      </c>
      <c r="ZO28" s="206" t="s">
        <v>7992</v>
      </c>
      <c r="ZP28" s="206" t="s">
        <v>7992</v>
      </c>
      <c r="ZQ28" s="206" t="s">
        <v>7992</v>
      </c>
      <c r="ZR28" s="206" t="s">
        <v>7992</v>
      </c>
      <c r="ZS28" s="206" t="s">
        <v>7992</v>
      </c>
      <c r="ZT28" s="206" t="s">
        <v>7992</v>
      </c>
      <c r="ZU28" s="206" t="s">
        <v>7992</v>
      </c>
      <c r="ZV28" s="206" t="s">
        <v>7992</v>
      </c>
      <c r="ZW28" s="206" t="s">
        <v>7992</v>
      </c>
      <c r="ZX28" s="206" t="s">
        <v>7992</v>
      </c>
      <c r="ZY28" s="206" t="s">
        <v>7992</v>
      </c>
      <c r="ZZ28" s="206" t="s">
        <v>7992</v>
      </c>
      <c r="AAA28" s="206" t="s">
        <v>7992</v>
      </c>
      <c r="AAB28" s="206" t="s">
        <v>7992</v>
      </c>
      <c r="AAC28" s="206" t="s">
        <v>7992</v>
      </c>
      <c r="AAD28" s="206" t="s">
        <v>7992</v>
      </c>
      <c r="AAE28" s="206" t="s">
        <v>7992</v>
      </c>
      <c r="AAF28" s="206" t="s">
        <v>7992</v>
      </c>
      <c r="AAG28" s="206" t="s">
        <v>7992</v>
      </c>
      <c r="AAH28" s="206" t="s">
        <v>7992</v>
      </c>
      <c r="AAI28" s="206" t="s">
        <v>7992</v>
      </c>
      <c r="AAJ28" s="206" t="s">
        <v>7992</v>
      </c>
      <c r="AAK28" s="206" t="s">
        <v>7992</v>
      </c>
      <c r="AAL28" s="206" t="s">
        <v>7992</v>
      </c>
      <c r="AAM28" s="206" t="s">
        <v>7992</v>
      </c>
      <c r="AAN28" s="206" t="s">
        <v>7992</v>
      </c>
      <c r="AAO28" s="206" t="s">
        <v>7992</v>
      </c>
      <c r="AAP28" s="206" t="s">
        <v>7992</v>
      </c>
      <c r="AAQ28" s="206" t="s">
        <v>7992</v>
      </c>
      <c r="AAR28" s="206" t="s">
        <v>7992</v>
      </c>
      <c r="AAS28" s="206" t="s">
        <v>7992</v>
      </c>
      <c r="AAT28" s="206" t="s">
        <v>7992</v>
      </c>
      <c r="AAU28" s="206" t="s">
        <v>7992</v>
      </c>
      <c r="AAV28" s="206" t="s">
        <v>7992</v>
      </c>
      <c r="AAW28" s="206" t="s">
        <v>7992</v>
      </c>
      <c r="AAX28" s="206" t="s">
        <v>7992</v>
      </c>
      <c r="AAY28" s="206" t="s">
        <v>7992</v>
      </c>
    </row>
    <row r="29" spans="1:727" s="206" customFormat="1" ht="3.75" customHeight="1" x14ac:dyDescent="0.25">
      <c r="A29" s="203"/>
      <c r="B29" s="225" t="s">
        <v>7992</v>
      </c>
      <c r="C29" s="225" t="s">
        <v>7992</v>
      </c>
      <c r="D29" s="225" t="s">
        <v>7992</v>
      </c>
      <c r="E29" s="225" t="s">
        <v>7992</v>
      </c>
      <c r="F29" s="225" t="s">
        <v>7992</v>
      </c>
      <c r="G29" s="225" t="s">
        <v>7992</v>
      </c>
      <c r="H29" s="226" t="s">
        <v>7992</v>
      </c>
      <c r="I29" s="226" t="s">
        <v>7992</v>
      </c>
      <c r="J29" s="226" t="s">
        <v>7992</v>
      </c>
      <c r="K29" s="204" t="s">
        <v>7992</v>
      </c>
      <c r="L29" s="204" t="s">
        <v>7992</v>
      </c>
      <c r="M29" s="204" t="s">
        <v>7992</v>
      </c>
      <c r="N29" s="204" t="s">
        <v>7992</v>
      </c>
      <c r="O29" s="204" t="s">
        <v>7992</v>
      </c>
      <c r="P29" s="204" t="s">
        <v>7992</v>
      </c>
      <c r="Q29" s="204" t="s">
        <v>7992</v>
      </c>
      <c r="R29" s="204" t="s">
        <v>7992</v>
      </c>
      <c r="S29" s="204" t="s">
        <v>7992</v>
      </c>
      <c r="T29" s="204" t="s">
        <v>7992</v>
      </c>
      <c r="U29" s="204" t="s">
        <v>7992</v>
      </c>
      <c r="V29" s="204" t="s">
        <v>7992</v>
      </c>
      <c r="W29" s="204" t="s">
        <v>7992</v>
      </c>
      <c r="X29" s="204" t="s">
        <v>7992</v>
      </c>
      <c r="Y29" s="204" t="s">
        <v>7992</v>
      </c>
      <c r="Z29" s="204" t="s">
        <v>7992</v>
      </c>
      <c r="AA29" s="204" t="s">
        <v>7992</v>
      </c>
      <c r="AB29" s="204" t="s">
        <v>7992</v>
      </c>
      <c r="AC29" s="204" t="s">
        <v>7992</v>
      </c>
      <c r="AD29" s="204" t="s">
        <v>7992</v>
      </c>
      <c r="AE29" s="204" t="s">
        <v>7992</v>
      </c>
      <c r="AF29" s="204" t="s">
        <v>7992</v>
      </c>
      <c r="AG29" s="204" t="s">
        <v>7992</v>
      </c>
      <c r="AH29" s="204" t="s">
        <v>7992</v>
      </c>
      <c r="AI29" s="204" t="s">
        <v>7992</v>
      </c>
      <c r="AJ29" s="204" t="s">
        <v>7992</v>
      </c>
      <c r="AK29" s="204" t="s">
        <v>7992</v>
      </c>
      <c r="AL29" s="206" t="s">
        <v>7992</v>
      </c>
      <c r="AM29" s="206" t="s">
        <v>7992</v>
      </c>
      <c r="AN29" s="206" t="s">
        <v>7992</v>
      </c>
      <c r="AO29" s="206" t="s">
        <v>7992</v>
      </c>
      <c r="AP29" s="206" t="s">
        <v>7992</v>
      </c>
      <c r="AQ29" s="206" t="s">
        <v>7992</v>
      </c>
      <c r="AR29" s="206" t="s">
        <v>7992</v>
      </c>
      <c r="AS29" s="206" t="s">
        <v>7992</v>
      </c>
      <c r="AT29" s="206" t="s">
        <v>7992</v>
      </c>
      <c r="AU29" s="206" t="s">
        <v>7992</v>
      </c>
      <c r="AV29" s="206" t="s">
        <v>7992</v>
      </c>
      <c r="AW29" s="167" t="s">
        <v>7992</v>
      </c>
      <c r="AX29" s="206" t="s">
        <v>7992</v>
      </c>
      <c r="AY29" s="206" t="s">
        <v>7992</v>
      </c>
      <c r="AZ29" s="206" t="s">
        <v>7992</v>
      </c>
      <c r="BA29" s="206" t="s">
        <v>7992</v>
      </c>
      <c r="BB29" s="206" t="s">
        <v>7992</v>
      </c>
      <c r="BC29" s="206" t="s">
        <v>7992</v>
      </c>
      <c r="BD29" s="206" t="s">
        <v>7992</v>
      </c>
      <c r="BE29" s="206" t="s">
        <v>7992</v>
      </c>
      <c r="BF29" s="206" t="s">
        <v>7992</v>
      </c>
      <c r="BG29" s="206" t="s">
        <v>7992</v>
      </c>
      <c r="BH29" s="206" t="s">
        <v>7992</v>
      </c>
      <c r="BI29" s="206" t="s">
        <v>7992</v>
      </c>
      <c r="BJ29" s="206" t="s">
        <v>7992</v>
      </c>
      <c r="BK29" s="206" t="s">
        <v>7992</v>
      </c>
      <c r="BL29" s="206" t="s">
        <v>7992</v>
      </c>
      <c r="BM29" s="206" t="s">
        <v>7992</v>
      </c>
      <c r="BN29" s="206" t="s">
        <v>7992</v>
      </c>
      <c r="BO29" s="206" t="s">
        <v>7992</v>
      </c>
      <c r="BP29" s="206" t="s">
        <v>7992</v>
      </c>
      <c r="BQ29" s="206" t="s">
        <v>7992</v>
      </c>
      <c r="BR29" s="206" t="s">
        <v>7992</v>
      </c>
      <c r="BS29" s="206" t="s">
        <v>7992</v>
      </c>
      <c r="BT29" s="206" t="s">
        <v>7992</v>
      </c>
      <c r="BU29" s="206" t="s">
        <v>7992</v>
      </c>
      <c r="BV29" s="206" t="s">
        <v>7992</v>
      </c>
      <c r="BW29" s="206" t="s">
        <v>7992</v>
      </c>
      <c r="BX29" s="206" t="s">
        <v>7992</v>
      </c>
      <c r="BY29" s="206" t="s">
        <v>7992</v>
      </c>
      <c r="BZ29" s="206" t="s">
        <v>7992</v>
      </c>
      <c r="CA29" s="206" t="s">
        <v>7992</v>
      </c>
      <c r="CB29" s="206" t="s">
        <v>7992</v>
      </c>
      <c r="CC29" s="206" t="s">
        <v>7992</v>
      </c>
      <c r="CD29" s="206" t="s">
        <v>7992</v>
      </c>
      <c r="CE29" s="206" t="s">
        <v>7992</v>
      </c>
      <c r="CF29" s="206" t="s">
        <v>7992</v>
      </c>
      <c r="CG29" s="206" t="s">
        <v>7992</v>
      </c>
      <c r="CH29" s="206" t="s">
        <v>7992</v>
      </c>
      <c r="CI29" s="206" t="s">
        <v>7992</v>
      </c>
      <c r="CJ29" s="206" t="s">
        <v>7992</v>
      </c>
      <c r="CK29" s="206" t="s">
        <v>7992</v>
      </c>
      <c r="CL29" s="206" t="s">
        <v>7992</v>
      </c>
      <c r="CM29" s="206" t="s">
        <v>7992</v>
      </c>
      <c r="CN29" s="206" t="s">
        <v>7992</v>
      </c>
      <c r="CO29" s="206" t="s">
        <v>7992</v>
      </c>
      <c r="CP29" s="206" t="s">
        <v>7992</v>
      </c>
      <c r="CQ29" s="206" t="s">
        <v>7992</v>
      </c>
      <c r="CR29" s="206" t="s">
        <v>7992</v>
      </c>
      <c r="CS29" s="206" t="s">
        <v>7992</v>
      </c>
      <c r="CT29" s="206" t="s">
        <v>7992</v>
      </c>
      <c r="CU29" s="206" t="s">
        <v>7992</v>
      </c>
      <c r="CV29" s="206" t="s">
        <v>7992</v>
      </c>
      <c r="CW29" s="206" t="s">
        <v>7992</v>
      </c>
      <c r="CX29" s="206" t="s">
        <v>7992</v>
      </c>
      <c r="CY29" s="206" t="s">
        <v>7992</v>
      </c>
      <c r="CZ29" s="206" t="s">
        <v>7992</v>
      </c>
      <c r="DA29" s="206" t="s">
        <v>7992</v>
      </c>
      <c r="DB29" s="206" t="s">
        <v>7992</v>
      </c>
      <c r="DC29" s="206" t="s">
        <v>7992</v>
      </c>
      <c r="DD29" s="206" t="s">
        <v>7992</v>
      </c>
      <c r="DE29" s="206" t="s">
        <v>7992</v>
      </c>
      <c r="DF29" s="206" t="s">
        <v>7992</v>
      </c>
      <c r="DG29" s="206" t="s">
        <v>7992</v>
      </c>
      <c r="DH29" s="206" t="s">
        <v>7992</v>
      </c>
      <c r="DI29" s="206" t="s">
        <v>7992</v>
      </c>
      <c r="DJ29" s="206" t="s">
        <v>7992</v>
      </c>
      <c r="DK29" s="206" t="s">
        <v>7992</v>
      </c>
      <c r="DL29" s="206" t="s">
        <v>7992</v>
      </c>
      <c r="DM29" s="206" t="s">
        <v>7992</v>
      </c>
      <c r="DN29" s="206" t="s">
        <v>7992</v>
      </c>
      <c r="DO29" s="206" t="s">
        <v>7992</v>
      </c>
      <c r="DP29" s="206" t="s">
        <v>7992</v>
      </c>
      <c r="DQ29" s="206" t="s">
        <v>7992</v>
      </c>
      <c r="DR29" s="206" t="s">
        <v>7992</v>
      </c>
      <c r="DS29" s="206" t="s">
        <v>7992</v>
      </c>
      <c r="DT29" s="206" t="s">
        <v>7992</v>
      </c>
      <c r="DU29" s="206" t="s">
        <v>7992</v>
      </c>
      <c r="DV29" s="206" t="s">
        <v>7992</v>
      </c>
      <c r="DW29" s="206" t="s">
        <v>7992</v>
      </c>
      <c r="DX29" s="206" t="s">
        <v>7992</v>
      </c>
      <c r="DY29" s="206" t="s">
        <v>7992</v>
      </c>
      <c r="DZ29" s="206" t="s">
        <v>7992</v>
      </c>
      <c r="EA29" s="206" t="s">
        <v>7992</v>
      </c>
      <c r="EB29" s="206" t="s">
        <v>7992</v>
      </c>
      <c r="EC29" s="206" t="s">
        <v>7992</v>
      </c>
      <c r="ED29" s="206" t="s">
        <v>7992</v>
      </c>
      <c r="EE29" s="206" t="s">
        <v>7992</v>
      </c>
      <c r="EF29" s="206" t="s">
        <v>7992</v>
      </c>
      <c r="EG29" s="206" t="s">
        <v>7992</v>
      </c>
      <c r="EH29" s="206" t="s">
        <v>7992</v>
      </c>
      <c r="EI29" s="206" t="s">
        <v>7992</v>
      </c>
      <c r="EJ29" s="206" t="s">
        <v>7992</v>
      </c>
      <c r="EK29" s="206" t="s">
        <v>7992</v>
      </c>
      <c r="EL29" s="206" t="s">
        <v>7992</v>
      </c>
      <c r="EM29" s="206" t="s">
        <v>7992</v>
      </c>
      <c r="EN29" s="206" t="s">
        <v>7992</v>
      </c>
      <c r="EO29" s="206" t="s">
        <v>7992</v>
      </c>
      <c r="EP29" s="206" t="s">
        <v>7992</v>
      </c>
      <c r="EQ29" s="206" t="s">
        <v>7992</v>
      </c>
      <c r="ER29" s="206" t="s">
        <v>7992</v>
      </c>
      <c r="ES29" s="206" t="s">
        <v>7992</v>
      </c>
      <c r="ET29" s="206" t="s">
        <v>7992</v>
      </c>
      <c r="EU29" s="206" t="s">
        <v>7992</v>
      </c>
      <c r="EV29" s="206" t="s">
        <v>7992</v>
      </c>
      <c r="EW29" s="206" t="s">
        <v>7992</v>
      </c>
      <c r="EX29" s="206" t="s">
        <v>7992</v>
      </c>
      <c r="EY29" s="206" t="s">
        <v>7992</v>
      </c>
      <c r="EZ29" s="206" t="s">
        <v>7992</v>
      </c>
      <c r="FA29" s="206" t="s">
        <v>7992</v>
      </c>
      <c r="FB29" s="206" t="s">
        <v>7992</v>
      </c>
      <c r="FC29" s="206" t="s">
        <v>7992</v>
      </c>
      <c r="FD29" s="206" t="s">
        <v>7992</v>
      </c>
      <c r="FE29" s="206" t="s">
        <v>7992</v>
      </c>
      <c r="FF29" s="206" t="s">
        <v>7992</v>
      </c>
      <c r="FG29" s="206" t="s">
        <v>7992</v>
      </c>
      <c r="FH29" s="206" t="s">
        <v>7992</v>
      </c>
      <c r="FI29" s="206" t="s">
        <v>7992</v>
      </c>
      <c r="FJ29" s="206" t="s">
        <v>7992</v>
      </c>
      <c r="FK29" s="206" t="s">
        <v>7992</v>
      </c>
      <c r="FL29" s="206" t="s">
        <v>7992</v>
      </c>
      <c r="FM29" s="206" t="s">
        <v>7992</v>
      </c>
      <c r="FN29" s="206" t="s">
        <v>7992</v>
      </c>
      <c r="FO29" s="206" t="s">
        <v>7992</v>
      </c>
      <c r="FP29" s="206" t="s">
        <v>7992</v>
      </c>
      <c r="FQ29" s="206" t="s">
        <v>7992</v>
      </c>
      <c r="FR29" s="206" t="s">
        <v>7992</v>
      </c>
      <c r="FS29" s="206" t="s">
        <v>7992</v>
      </c>
      <c r="FT29" s="206" t="s">
        <v>7992</v>
      </c>
      <c r="FU29" s="206" t="s">
        <v>7992</v>
      </c>
      <c r="FV29" s="206" t="s">
        <v>7992</v>
      </c>
      <c r="FW29" s="206" t="s">
        <v>7992</v>
      </c>
      <c r="FX29" s="206" t="s">
        <v>7992</v>
      </c>
      <c r="FY29" s="206" t="s">
        <v>7992</v>
      </c>
      <c r="FZ29" s="206" t="s">
        <v>7992</v>
      </c>
      <c r="GA29" s="206" t="s">
        <v>7992</v>
      </c>
      <c r="GB29" s="206" t="s">
        <v>7992</v>
      </c>
      <c r="GC29" s="206" t="s">
        <v>7992</v>
      </c>
      <c r="GD29" s="206" t="s">
        <v>7992</v>
      </c>
      <c r="GE29" s="206" t="s">
        <v>7992</v>
      </c>
      <c r="GF29" s="206" t="s">
        <v>7992</v>
      </c>
      <c r="GG29" s="206" t="s">
        <v>7992</v>
      </c>
      <c r="GH29" s="206" t="s">
        <v>7992</v>
      </c>
      <c r="GI29" s="206" t="s">
        <v>7992</v>
      </c>
      <c r="GJ29" s="206" t="s">
        <v>7992</v>
      </c>
      <c r="GK29" s="206" t="s">
        <v>7992</v>
      </c>
      <c r="GL29" s="206" t="s">
        <v>7992</v>
      </c>
      <c r="GM29" s="206" t="s">
        <v>7992</v>
      </c>
      <c r="GN29" s="206" t="s">
        <v>7992</v>
      </c>
      <c r="GO29" s="206" t="s">
        <v>7992</v>
      </c>
      <c r="GP29" s="206" t="s">
        <v>7992</v>
      </c>
      <c r="GQ29" s="206" t="s">
        <v>7992</v>
      </c>
      <c r="GR29" s="206" t="s">
        <v>7992</v>
      </c>
      <c r="GS29" s="206" t="s">
        <v>7992</v>
      </c>
      <c r="GT29" s="206" t="s">
        <v>7992</v>
      </c>
      <c r="GU29" s="206" t="s">
        <v>7992</v>
      </c>
      <c r="GV29" s="206" t="s">
        <v>7992</v>
      </c>
      <c r="GW29" s="206" t="s">
        <v>7992</v>
      </c>
      <c r="GX29" s="206" t="s">
        <v>7992</v>
      </c>
      <c r="GY29" s="206" t="s">
        <v>7992</v>
      </c>
      <c r="GZ29" s="206" t="s">
        <v>7992</v>
      </c>
      <c r="HA29" s="206" t="s">
        <v>7992</v>
      </c>
      <c r="HB29" s="206" t="s">
        <v>7992</v>
      </c>
      <c r="HC29" s="206" t="s">
        <v>7992</v>
      </c>
      <c r="HD29" s="206" t="s">
        <v>7992</v>
      </c>
      <c r="HE29" s="206" t="s">
        <v>7992</v>
      </c>
      <c r="HF29" s="206" t="s">
        <v>7992</v>
      </c>
      <c r="HG29" s="206" t="s">
        <v>7992</v>
      </c>
      <c r="HH29" s="206" t="s">
        <v>7992</v>
      </c>
      <c r="HI29" s="206" t="s">
        <v>7992</v>
      </c>
      <c r="HJ29" s="206" t="s">
        <v>7992</v>
      </c>
      <c r="HK29" s="206" t="s">
        <v>7992</v>
      </c>
      <c r="HL29" s="206" t="s">
        <v>7992</v>
      </c>
      <c r="HM29" s="206" t="s">
        <v>7992</v>
      </c>
      <c r="HN29" s="206" t="s">
        <v>7992</v>
      </c>
      <c r="HO29" s="206" t="s">
        <v>7992</v>
      </c>
      <c r="HP29" s="206" t="s">
        <v>7992</v>
      </c>
      <c r="HQ29" s="206" t="s">
        <v>7992</v>
      </c>
      <c r="HR29" s="206" t="s">
        <v>7992</v>
      </c>
      <c r="HS29" s="206" t="s">
        <v>7992</v>
      </c>
      <c r="HT29" s="206" t="s">
        <v>7992</v>
      </c>
      <c r="HU29" s="206" t="s">
        <v>7992</v>
      </c>
      <c r="HV29" s="206" t="s">
        <v>7992</v>
      </c>
      <c r="HW29" s="206" t="s">
        <v>7992</v>
      </c>
      <c r="HX29" s="206" t="s">
        <v>7992</v>
      </c>
      <c r="HY29" s="206" t="s">
        <v>7992</v>
      </c>
      <c r="HZ29" s="206" t="s">
        <v>7992</v>
      </c>
      <c r="IA29" s="206" t="s">
        <v>7992</v>
      </c>
      <c r="IB29" s="206" t="s">
        <v>7992</v>
      </c>
      <c r="IC29" s="206" t="s">
        <v>7992</v>
      </c>
      <c r="ID29" s="206" t="s">
        <v>7992</v>
      </c>
      <c r="IE29" s="206" t="s">
        <v>7992</v>
      </c>
      <c r="IF29" s="206" t="s">
        <v>7992</v>
      </c>
      <c r="IG29" s="206" t="s">
        <v>7992</v>
      </c>
      <c r="IH29" s="206" t="s">
        <v>7992</v>
      </c>
      <c r="II29" s="206" t="s">
        <v>7992</v>
      </c>
      <c r="IJ29" s="206" t="s">
        <v>7992</v>
      </c>
      <c r="IK29" s="206" t="s">
        <v>7992</v>
      </c>
      <c r="IL29" s="206" t="s">
        <v>7992</v>
      </c>
      <c r="IM29" s="206" t="s">
        <v>7992</v>
      </c>
      <c r="IN29" s="206" t="s">
        <v>7992</v>
      </c>
      <c r="IO29" s="206" t="s">
        <v>7992</v>
      </c>
      <c r="IP29" s="206" t="s">
        <v>7992</v>
      </c>
      <c r="IQ29" s="206" t="s">
        <v>7992</v>
      </c>
      <c r="IR29" s="206" t="s">
        <v>7992</v>
      </c>
      <c r="IS29" s="206" t="s">
        <v>7992</v>
      </c>
      <c r="IT29" s="206" t="s">
        <v>7992</v>
      </c>
      <c r="IU29" s="206" t="s">
        <v>7992</v>
      </c>
      <c r="IV29" s="206" t="s">
        <v>7992</v>
      </c>
      <c r="IW29" s="206" t="s">
        <v>7992</v>
      </c>
      <c r="IX29" s="206" t="s">
        <v>7992</v>
      </c>
      <c r="IY29" s="206" t="s">
        <v>7992</v>
      </c>
      <c r="IZ29" s="206" t="s">
        <v>7992</v>
      </c>
      <c r="JA29" s="206" t="s">
        <v>7992</v>
      </c>
      <c r="JB29" s="206" t="s">
        <v>7992</v>
      </c>
      <c r="JC29" s="206" t="s">
        <v>7992</v>
      </c>
      <c r="JD29" s="206" t="s">
        <v>7992</v>
      </c>
      <c r="JE29" s="206" t="s">
        <v>7992</v>
      </c>
      <c r="JF29" s="206" t="s">
        <v>7992</v>
      </c>
      <c r="JG29" s="206" t="s">
        <v>7992</v>
      </c>
      <c r="JH29" s="206" t="s">
        <v>7992</v>
      </c>
      <c r="JI29" s="206" t="s">
        <v>7992</v>
      </c>
      <c r="JJ29" s="206" t="s">
        <v>7992</v>
      </c>
      <c r="JK29" s="206" t="s">
        <v>7992</v>
      </c>
      <c r="JL29" s="206" t="s">
        <v>7992</v>
      </c>
      <c r="JM29" s="206" t="s">
        <v>7992</v>
      </c>
      <c r="JN29" s="206" t="s">
        <v>7992</v>
      </c>
      <c r="JO29" s="206" t="s">
        <v>7992</v>
      </c>
      <c r="JP29" s="206" t="s">
        <v>7992</v>
      </c>
      <c r="JQ29" s="206" t="s">
        <v>7992</v>
      </c>
      <c r="JR29" s="206" t="s">
        <v>7992</v>
      </c>
      <c r="JS29" s="206" t="s">
        <v>7992</v>
      </c>
      <c r="JT29" s="206" t="s">
        <v>7992</v>
      </c>
      <c r="JU29" s="206" t="s">
        <v>7992</v>
      </c>
      <c r="JV29" s="206" t="s">
        <v>7992</v>
      </c>
      <c r="JW29" s="206" t="s">
        <v>7992</v>
      </c>
      <c r="JX29" s="206" t="s">
        <v>7992</v>
      </c>
      <c r="JY29" s="206" t="s">
        <v>7992</v>
      </c>
      <c r="JZ29" s="206" t="s">
        <v>7992</v>
      </c>
      <c r="KA29" s="206" t="s">
        <v>7992</v>
      </c>
      <c r="KB29" s="206" t="s">
        <v>7992</v>
      </c>
      <c r="KC29" s="206" t="s">
        <v>7992</v>
      </c>
      <c r="KD29" s="206" t="s">
        <v>7992</v>
      </c>
      <c r="KE29" s="206" t="s">
        <v>7992</v>
      </c>
      <c r="KF29" s="206" t="s">
        <v>7992</v>
      </c>
      <c r="KG29" s="206" t="s">
        <v>7992</v>
      </c>
      <c r="KH29" s="206" t="s">
        <v>7992</v>
      </c>
      <c r="KI29" s="206" t="s">
        <v>7992</v>
      </c>
      <c r="KJ29" s="206" t="s">
        <v>7992</v>
      </c>
      <c r="KK29" s="206" t="s">
        <v>7992</v>
      </c>
      <c r="KL29" s="206" t="s">
        <v>7992</v>
      </c>
      <c r="KM29" s="206" t="s">
        <v>7992</v>
      </c>
      <c r="KN29" s="206" t="s">
        <v>7992</v>
      </c>
      <c r="KO29" s="206" t="s">
        <v>7992</v>
      </c>
      <c r="KP29" s="206" t="s">
        <v>7992</v>
      </c>
      <c r="KQ29" s="206" t="s">
        <v>7992</v>
      </c>
      <c r="KR29" s="206" t="s">
        <v>7992</v>
      </c>
      <c r="KS29" s="206" t="s">
        <v>7992</v>
      </c>
      <c r="KT29" s="206" t="s">
        <v>7992</v>
      </c>
      <c r="KU29" s="206" t="s">
        <v>7992</v>
      </c>
      <c r="KV29" s="206" t="s">
        <v>7992</v>
      </c>
      <c r="KW29" s="206" t="s">
        <v>7992</v>
      </c>
      <c r="KX29" s="206" t="s">
        <v>7992</v>
      </c>
      <c r="KY29" s="206" t="s">
        <v>7992</v>
      </c>
      <c r="KZ29" s="206" t="s">
        <v>7992</v>
      </c>
      <c r="LA29" s="206" t="s">
        <v>7992</v>
      </c>
      <c r="LB29" s="206" t="s">
        <v>7992</v>
      </c>
      <c r="LC29" s="206" t="s">
        <v>7992</v>
      </c>
      <c r="LD29" s="206" t="s">
        <v>7992</v>
      </c>
      <c r="LE29" s="206" t="s">
        <v>7992</v>
      </c>
      <c r="LF29" s="206" t="s">
        <v>7992</v>
      </c>
      <c r="LG29" s="206" t="s">
        <v>7992</v>
      </c>
      <c r="LH29" s="206" t="s">
        <v>7992</v>
      </c>
      <c r="LI29" s="206" t="s">
        <v>7992</v>
      </c>
      <c r="LJ29" s="206" t="s">
        <v>7992</v>
      </c>
      <c r="LK29" s="206" t="s">
        <v>7992</v>
      </c>
      <c r="LL29" s="206" t="s">
        <v>7992</v>
      </c>
      <c r="LM29" s="206" t="s">
        <v>7992</v>
      </c>
      <c r="LN29" s="206" t="s">
        <v>7992</v>
      </c>
      <c r="LO29" s="206" t="s">
        <v>7992</v>
      </c>
      <c r="LP29" s="206" t="s">
        <v>7992</v>
      </c>
      <c r="LQ29" s="206" t="s">
        <v>7992</v>
      </c>
      <c r="LR29" s="206" t="s">
        <v>7992</v>
      </c>
      <c r="LS29" s="206" t="s">
        <v>7992</v>
      </c>
      <c r="LT29" s="206" t="s">
        <v>7992</v>
      </c>
      <c r="LU29" s="206" t="s">
        <v>7992</v>
      </c>
      <c r="LV29" s="206" t="s">
        <v>7992</v>
      </c>
      <c r="LW29" s="206" t="s">
        <v>7992</v>
      </c>
      <c r="LX29" s="206" t="s">
        <v>7992</v>
      </c>
      <c r="LY29" s="206" t="s">
        <v>7992</v>
      </c>
      <c r="LZ29" s="206" t="s">
        <v>7992</v>
      </c>
      <c r="MA29" s="206" t="s">
        <v>7992</v>
      </c>
      <c r="MB29" s="206" t="s">
        <v>7992</v>
      </c>
      <c r="MC29" s="206" t="s">
        <v>7992</v>
      </c>
      <c r="MD29" s="206" t="s">
        <v>7992</v>
      </c>
      <c r="ME29" s="206" t="s">
        <v>7992</v>
      </c>
      <c r="MF29" s="206" t="s">
        <v>7992</v>
      </c>
      <c r="MG29" s="206" t="s">
        <v>7992</v>
      </c>
      <c r="MH29" s="206" t="s">
        <v>7992</v>
      </c>
      <c r="MI29" s="206" t="s">
        <v>7992</v>
      </c>
      <c r="MJ29" s="206" t="s">
        <v>7992</v>
      </c>
      <c r="MK29" s="206" t="s">
        <v>7992</v>
      </c>
      <c r="ML29" s="206" t="s">
        <v>7992</v>
      </c>
      <c r="MM29" s="206" t="s">
        <v>7992</v>
      </c>
      <c r="MN29" s="206" t="s">
        <v>7992</v>
      </c>
      <c r="MO29" s="206" t="s">
        <v>7992</v>
      </c>
      <c r="MP29" s="206" t="s">
        <v>7992</v>
      </c>
      <c r="MQ29" s="206" t="s">
        <v>7992</v>
      </c>
      <c r="MR29" s="206" t="s">
        <v>7992</v>
      </c>
      <c r="MS29" s="206" t="s">
        <v>7992</v>
      </c>
      <c r="MT29" s="206" t="s">
        <v>7992</v>
      </c>
      <c r="MU29" s="206" t="s">
        <v>7992</v>
      </c>
      <c r="MV29" s="206" t="s">
        <v>7992</v>
      </c>
      <c r="MW29" s="206" t="s">
        <v>7992</v>
      </c>
      <c r="MX29" s="206" t="s">
        <v>7992</v>
      </c>
      <c r="MY29" s="206" t="s">
        <v>7992</v>
      </c>
      <c r="MZ29" s="206" t="s">
        <v>7992</v>
      </c>
      <c r="NA29" s="206" t="s">
        <v>7992</v>
      </c>
      <c r="NB29" s="206" t="s">
        <v>7992</v>
      </c>
      <c r="NC29" s="206" t="s">
        <v>7992</v>
      </c>
      <c r="ND29" s="206" t="s">
        <v>7992</v>
      </c>
      <c r="NE29" s="206" t="s">
        <v>7992</v>
      </c>
      <c r="NF29" s="206" t="s">
        <v>7992</v>
      </c>
      <c r="NG29" s="206" t="s">
        <v>7992</v>
      </c>
      <c r="NH29" s="206" t="s">
        <v>7992</v>
      </c>
      <c r="NI29" s="206" t="s">
        <v>7992</v>
      </c>
      <c r="NJ29" s="206" t="s">
        <v>7992</v>
      </c>
      <c r="NK29" s="206" t="s">
        <v>7992</v>
      </c>
      <c r="NL29" s="206" t="s">
        <v>7992</v>
      </c>
      <c r="NM29" s="206" t="s">
        <v>7992</v>
      </c>
      <c r="NN29" s="206" t="s">
        <v>7992</v>
      </c>
      <c r="NO29" s="206" t="s">
        <v>7992</v>
      </c>
      <c r="NP29" s="206" t="s">
        <v>7992</v>
      </c>
      <c r="NQ29" s="206" t="s">
        <v>7992</v>
      </c>
      <c r="NR29" s="206" t="s">
        <v>7992</v>
      </c>
      <c r="NS29" s="206" t="s">
        <v>7992</v>
      </c>
      <c r="NT29" s="206" t="s">
        <v>7992</v>
      </c>
      <c r="NU29" s="206" t="s">
        <v>7992</v>
      </c>
      <c r="NV29" s="206" t="s">
        <v>7992</v>
      </c>
      <c r="NW29" s="206" t="s">
        <v>7992</v>
      </c>
      <c r="NX29" s="206" t="s">
        <v>7992</v>
      </c>
      <c r="NY29" s="206" t="s">
        <v>7992</v>
      </c>
      <c r="NZ29" s="206" t="s">
        <v>7992</v>
      </c>
      <c r="OA29" s="206" t="s">
        <v>7992</v>
      </c>
      <c r="OB29" s="206" t="s">
        <v>7992</v>
      </c>
      <c r="OC29" s="206" t="s">
        <v>7992</v>
      </c>
      <c r="OD29" s="206" t="s">
        <v>7992</v>
      </c>
      <c r="OE29" s="206" t="s">
        <v>7992</v>
      </c>
      <c r="OF29" s="206" t="s">
        <v>7992</v>
      </c>
      <c r="OG29" s="206" t="s">
        <v>7992</v>
      </c>
      <c r="OH29" s="206" t="s">
        <v>7992</v>
      </c>
      <c r="OI29" s="206" t="s">
        <v>7992</v>
      </c>
      <c r="OJ29" s="206" t="s">
        <v>7992</v>
      </c>
      <c r="OK29" s="206" t="s">
        <v>7992</v>
      </c>
      <c r="OL29" s="206" t="s">
        <v>7992</v>
      </c>
      <c r="OM29" s="206" t="s">
        <v>7992</v>
      </c>
      <c r="ON29" s="206" t="s">
        <v>7992</v>
      </c>
      <c r="OO29" s="206" t="s">
        <v>7992</v>
      </c>
      <c r="OP29" s="206" t="s">
        <v>7992</v>
      </c>
      <c r="OQ29" s="206" t="s">
        <v>7992</v>
      </c>
      <c r="OR29" s="206" t="s">
        <v>7992</v>
      </c>
      <c r="OS29" s="206" t="s">
        <v>7992</v>
      </c>
      <c r="OT29" s="206" t="s">
        <v>7992</v>
      </c>
      <c r="OU29" s="206" t="s">
        <v>7992</v>
      </c>
      <c r="OV29" s="206" t="s">
        <v>7992</v>
      </c>
      <c r="OW29" s="206" t="s">
        <v>7992</v>
      </c>
      <c r="OX29" s="206" t="s">
        <v>7992</v>
      </c>
      <c r="OY29" s="206" t="s">
        <v>7992</v>
      </c>
      <c r="OZ29" s="206" t="s">
        <v>7992</v>
      </c>
      <c r="PA29" s="206" t="s">
        <v>7992</v>
      </c>
      <c r="PB29" s="206" t="s">
        <v>7992</v>
      </c>
      <c r="PC29" s="206" t="s">
        <v>7992</v>
      </c>
      <c r="PD29" s="206" t="s">
        <v>7992</v>
      </c>
      <c r="PE29" s="206" t="s">
        <v>7992</v>
      </c>
      <c r="PF29" s="206" t="s">
        <v>7992</v>
      </c>
      <c r="PG29" s="206" t="s">
        <v>7992</v>
      </c>
      <c r="PH29" s="206" t="s">
        <v>7992</v>
      </c>
      <c r="PI29" s="206" t="s">
        <v>7992</v>
      </c>
      <c r="PJ29" s="206" t="s">
        <v>7992</v>
      </c>
      <c r="PK29" s="206" t="s">
        <v>7992</v>
      </c>
      <c r="PL29" s="206" t="s">
        <v>7992</v>
      </c>
      <c r="PM29" s="206" t="s">
        <v>7992</v>
      </c>
      <c r="PN29" s="206" t="s">
        <v>7992</v>
      </c>
      <c r="PO29" s="206" t="s">
        <v>7992</v>
      </c>
      <c r="PP29" s="206" t="s">
        <v>7992</v>
      </c>
      <c r="PQ29" s="206" t="s">
        <v>7992</v>
      </c>
      <c r="PR29" s="206" t="s">
        <v>7992</v>
      </c>
      <c r="PS29" s="206" t="s">
        <v>7992</v>
      </c>
      <c r="PT29" s="206" t="s">
        <v>7992</v>
      </c>
      <c r="PU29" s="206" t="s">
        <v>7992</v>
      </c>
      <c r="PV29" s="206" t="s">
        <v>7992</v>
      </c>
      <c r="PW29" s="206" t="s">
        <v>7992</v>
      </c>
      <c r="PX29" s="206" t="s">
        <v>7992</v>
      </c>
      <c r="PY29" s="206" t="s">
        <v>7992</v>
      </c>
      <c r="PZ29" s="206" t="s">
        <v>7992</v>
      </c>
      <c r="QA29" s="206" t="s">
        <v>7992</v>
      </c>
      <c r="QB29" s="206" t="s">
        <v>7992</v>
      </c>
      <c r="QC29" s="206" t="s">
        <v>7992</v>
      </c>
      <c r="QD29" s="206" t="s">
        <v>7992</v>
      </c>
      <c r="QE29" s="206" t="s">
        <v>7992</v>
      </c>
      <c r="QF29" s="206" t="s">
        <v>7992</v>
      </c>
      <c r="QG29" s="206" t="s">
        <v>7992</v>
      </c>
      <c r="QH29" s="206" t="s">
        <v>7992</v>
      </c>
      <c r="QI29" s="206" t="s">
        <v>7992</v>
      </c>
      <c r="QJ29" s="206" t="s">
        <v>7992</v>
      </c>
      <c r="QK29" s="206" t="s">
        <v>7992</v>
      </c>
      <c r="QL29" s="206" t="s">
        <v>7992</v>
      </c>
      <c r="QM29" s="206" t="s">
        <v>7992</v>
      </c>
      <c r="QN29" s="206" t="s">
        <v>7992</v>
      </c>
      <c r="QO29" s="206" t="s">
        <v>7992</v>
      </c>
      <c r="QP29" s="206" t="s">
        <v>7992</v>
      </c>
      <c r="QQ29" s="206" t="s">
        <v>7992</v>
      </c>
      <c r="QR29" s="206" t="s">
        <v>7992</v>
      </c>
      <c r="QS29" s="206" t="s">
        <v>7992</v>
      </c>
      <c r="QT29" s="206" t="s">
        <v>7992</v>
      </c>
      <c r="QU29" s="206" t="s">
        <v>7992</v>
      </c>
      <c r="QV29" s="206" t="s">
        <v>7992</v>
      </c>
      <c r="QW29" s="206" t="s">
        <v>7992</v>
      </c>
      <c r="QX29" s="206" t="s">
        <v>7992</v>
      </c>
      <c r="QY29" s="206" t="s">
        <v>7992</v>
      </c>
      <c r="QZ29" s="206" t="s">
        <v>7992</v>
      </c>
      <c r="RA29" s="206" t="s">
        <v>7992</v>
      </c>
      <c r="RB29" s="206" t="s">
        <v>7992</v>
      </c>
      <c r="RC29" s="206" t="s">
        <v>7992</v>
      </c>
      <c r="RD29" s="206" t="s">
        <v>7992</v>
      </c>
      <c r="RE29" s="206" t="s">
        <v>7992</v>
      </c>
      <c r="RF29" s="206" t="s">
        <v>7992</v>
      </c>
      <c r="RG29" s="206" t="s">
        <v>7992</v>
      </c>
      <c r="RH29" s="206" t="s">
        <v>7992</v>
      </c>
      <c r="RI29" s="206" t="s">
        <v>7992</v>
      </c>
      <c r="RJ29" s="206" t="s">
        <v>7992</v>
      </c>
      <c r="RK29" s="206" t="s">
        <v>7992</v>
      </c>
      <c r="RL29" s="206" t="s">
        <v>7992</v>
      </c>
      <c r="RM29" s="206" t="s">
        <v>7992</v>
      </c>
      <c r="RN29" s="206" t="s">
        <v>7992</v>
      </c>
      <c r="RO29" s="206" t="s">
        <v>7992</v>
      </c>
      <c r="RP29" s="206" t="s">
        <v>7992</v>
      </c>
      <c r="RQ29" s="206" t="s">
        <v>7992</v>
      </c>
      <c r="RR29" s="206" t="s">
        <v>7992</v>
      </c>
      <c r="RS29" s="206" t="s">
        <v>7992</v>
      </c>
      <c r="RT29" s="206" t="s">
        <v>7992</v>
      </c>
      <c r="RU29" s="206" t="s">
        <v>7992</v>
      </c>
      <c r="RV29" s="206" t="s">
        <v>7992</v>
      </c>
      <c r="RW29" s="206" t="s">
        <v>7992</v>
      </c>
      <c r="RX29" s="206" t="s">
        <v>7992</v>
      </c>
      <c r="RY29" s="206" t="s">
        <v>7992</v>
      </c>
      <c r="RZ29" s="206" t="s">
        <v>7992</v>
      </c>
      <c r="SA29" s="206" t="s">
        <v>7992</v>
      </c>
      <c r="SB29" s="206" t="s">
        <v>7992</v>
      </c>
      <c r="SC29" s="206" t="s">
        <v>7992</v>
      </c>
      <c r="SD29" s="206" t="s">
        <v>7992</v>
      </c>
      <c r="SE29" s="206" t="s">
        <v>7992</v>
      </c>
      <c r="SF29" s="206" t="s">
        <v>7992</v>
      </c>
      <c r="SG29" s="206" t="s">
        <v>7992</v>
      </c>
      <c r="SH29" s="206" t="s">
        <v>7992</v>
      </c>
      <c r="SI29" s="206" t="s">
        <v>7992</v>
      </c>
      <c r="SJ29" s="206" t="s">
        <v>7992</v>
      </c>
      <c r="SK29" s="206" t="s">
        <v>7992</v>
      </c>
      <c r="SL29" s="206" t="s">
        <v>7992</v>
      </c>
      <c r="SM29" s="206" t="s">
        <v>7992</v>
      </c>
      <c r="SN29" s="206" t="s">
        <v>7992</v>
      </c>
      <c r="SO29" s="206" t="s">
        <v>7992</v>
      </c>
      <c r="SP29" s="206" t="s">
        <v>7992</v>
      </c>
      <c r="SQ29" s="206" t="s">
        <v>7992</v>
      </c>
      <c r="SR29" s="206" t="s">
        <v>7992</v>
      </c>
      <c r="SS29" s="206" t="s">
        <v>7992</v>
      </c>
      <c r="ST29" s="206" t="s">
        <v>7992</v>
      </c>
      <c r="SU29" s="206" t="s">
        <v>7992</v>
      </c>
      <c r="SV29" s="206" t="s">
        <v>7992</v>
      </c>
      <c r="SW29" s="206" t="s">
        <v>7992</v>
      </c>
      <c r="SX29" s="206" t="s">
        <v>7992</v>
      </c>
      <c r="SY29" s="206" t="s">
        <v>7992</v>
      </c>
      <c r="SZ29" s="206" t="s">
        <v>7992</v>
      </c>
      <c r="TA29" s="206" t="s">
        <v>7992</v>
      </c>
      <c r="TB29" s="206" t="s">
        <v>7992</v>
      </c>
      <c r="TC29" s="206" t="s">
        <v>7992</v>
      </c>
      <c r="TD29" s="206" t="s">
        <v>7992</v>
      </c>
      <c r="TE29" s="206" t="s">
        <v>7992</v>
      </c>
      <c r="TF29" s="206" t="s">
        <v>7992</v>
      </c>
      <c r="TG29" s="206" t="s">
        <v>7992</v>
      </c>
      <c r="TH29" s="206" t="s">
        <v>7992</v>
      </c>
      <c r="TI29" s="206" t="s">
        <v>7992</v>
      </c>
      <c r="TJ29" s="206" t="s">
        <v>7992</v>
      </c>
      <c r="TK29" s="206" t="s">
        <v>7992</v>
      </c>
      <c r="TL29" s="206" t="s">
        <v>7992</v>
      </c>
      <c r="TM29" s="206" t="s">
        <v>7992</v>
      </c>
      <c r="TN29" s="206" t="s">
        <v>7992</v>
      </c>
      <c r="TO29" s="206" t="s">
        <v>7992</v>
      </c>
      <c r="TP29" s="206" t="s">
        <v>7992</v>
      </c>
      <c r="TQ29" s="206" t="s">
        <v>7992</v>
      </c>
      <c r="TR29" s="206" t="s">
        <v>7992</v>
      </c>
      <c r="TS29" s="206" t="s">
        <v>7992</v>
      </c>
      <c r="TT29" s="206" t="s">
        <v>7992</v>
      </c>
      <c r="TU29" s="206" t="s">
        <v>7992</v>
      </c>
      <c r="TV29" s="206" t="s">
        <v>7992</v>
      </c>
      <c r="TW29" s="206" t="s">
        <v>7992</v>
      </c>
      <c r="TX29" s="206" t="s">
        <v>7992</v>
      </c>
      <c r="TY29" s="206" t="s">
        <v>7992</v>
      </c>
      <c r="TZ29" s="206" t="s">
        <v>7992</v>
      </c>
      <c r="UA29" s="206" t="s">
        <v>7992</v>
      </c>
      <c r="UB29" s="206" t="s">
        <v>7992</v>
      </c>
      <c r="UC29" s="206" t="s">
        <v>7992</v>
      </c>
      <c r="UD29" s="206" t="s">
        <v>7992</v>
      </c>
      <c r="UE29" s="206" t="s">
        <v>7992</v>
      </c>
      <c r="UF29" s="206" t="s">
        <v>7992</v>
      </c>
      <c r="UG29" s="206" t="s">
        <v>7992</v>
      </c>
      <c r="UH29" s="206" t="s">
        <v>7992</v>
      </c>
      <c r="UI29" s="206" t="s">
        <v>7992</v>
      </c>
      <c r="UJ29" s="206" t="s">
        <v>7992</v>
      </c>
      <c r="UK29" s="206" t="s">
        <v>7992</v>
      </c>
      <c r="UL29" s="206" t="s">
        <v>7992</v>
      </c>
      <c r="UM29" s="206" t="s">
        <v>7992</v>
      </c>
      <c r="UN29" s="206" t="s">
        <v>7992</v>
      </c>
      <c r="UO29" s="206" t="s">
        <v>7992</v>
      </c>
      <c r="UP29" s="206" t="s">
        <v>7992</v>
      </c>
      <c r="UQ29" s="206" t="s">
        <v>7992</v>
      </c>
      <c r="UR29" s="206" t="s">
        <v>7992</v>
      </c>
      <c r="US29" s="206" t="s">
        <v>7992</v>
      </c>
      <c r="UT29" s="206" t="s">
        <v>7992</v>
      </c>
      <c r="UU29" s="206" t="s">
        <v>7992</v>
      </c>
      <c r="UV29" s="206" t="s">
        <v>7992</v>
      </c>
      <c r="UW29" s="206" t="s">
        <v>7992</v>
      </c>
      <c r="UX29" s="206" t="s">
        <v>7992</v>
      </c>
      <c r="UY29" s="206" t="s">
        <v>7992</v>
      </c>
      <c r="UZ29" s="206" t="s">
        <v>7992</v>
      </c>
      <c r="VA29" s="206" t="s">
        <v>7992</v>
      </c>
      <c r="VB29" s="206" t="s">
        <v>7992</v>
      </c>
      <c r="VC29" s="206" t="s">
        <v>7992</v>
      </c>
      <c r="VD29" s="206" t="s">
        <v>7992</v>
      </c>
      <c r="VE29" s="206" t="s">
        <v>7992</v>
      </c>
      <c r="VF29" s="206" t="s">
        <v>7992</v>
      </c>
      <c r="VG29" s="206" t="s">
        <v>7992</v>
      </c>
      <c r="VH29" s="206" t="s">
        <v>7992</v>
      </c>
      <c r="VI29" s="206" t="s">
        <v>7992</v>
      </c>
      <c r="VJ29" s="206" t="s">
        <v>7992</v>
      </c>
      <c r="VK29" s="206" t="s">
        <v>7992</v>
      </c>
      <c r="VL29" s="206" t="s">
        <v>7992</v>
      </c>
      <c r="VM29" s="206" t="s">
        <v>7992</v>
      </c>
      <c r="VN29" s="206" t="s">
        <v>7992</v>
      </c>
      <c r="VO29" s="206" t="s">
        <v>7992</v>
      </c>
      <c r="VP29" s="206" t="s">
        <v>7992</v>
      </c>
      <c r="VQ29" s="206" t="s">
        <v>7992</v>
      </c>
      <c r="VR29" s="206" t="s">
        <v>7992</v>
      </c>
      <c r="VS29" s="206" t="s">
        <v>7992</v>
      </c>
      <c r="VT29" s="206" t="s">
        <v>7992</v>
      </c>
      <c r="VU29" s="206" t="s">
        <v>7992</v>
      </c>
      <c r="VV29" s="206" t="s">
        <v>7992</v>
      </c>
      <c r="VW29" s="206" t="s">
        <v>7992</v>
      </c>
      <c r="VX29" s="206" t="s">
        <v>7992</v>
      </c>
      <c r="VY29" s="206" t="s">
        <v>7992</v>
      </c>
      <c r="VZ29" s="206" t="s">
        <v>7992</v>
      </c>
      <c r="WA29" s="206" t="s">
        <v>7992</v>
      </c>
      <c r="WB29" s="206" t="s">
        <v>7992</v>
      </c>
      <c r="WC29" s="206" t="s">
        <v>7992</v>
      </c>
      <c r="WD29" s="206" t="s">
        <v>7992</v>
      </c>
      <c r="WE29" s="206" t="s">
        <v>7992</v>
      </c>
      <c r="WF29" s="206" t="s">
        <v>7992</v>
      </c>
      <c r="WG29" s="206" t="s">
        <v>7992</v>
      </c>
      <c r="WH29" s="206" t="s">
        <v>7992</v>
      </c>
      <c r="WI29" s="206" t="s">
        <v>7992</v>
      </c>
      <c r="WJ29" s="206" t="s">
        <v>7992</v>
      </c>
      <c r="WK29" s="206" t="s">
        <v>7992</v>
      </c>
      <c r="WL29" s="206" t="s">
        <v>7992</v>
      </c>
      <c r="WM29" s="206" t="s">
        <v>7992</v>
      </c>
      <c r="WN29" s="206" t="s">
        <v>7992</v>
      </c>
      <c r="WO29" s="206" t="s">
        <v>7992</v>
      </c>
      <c r="WP29" s="206" t="s">
        <v>7992</v>
      </c>
      <c r="WQ29" s="206" t="s">
        <v>7992</v>
      </c>
      <c r="WR29" s="206" t="s">
        <v>7992</v>
      </c>
      <c r="WS29" s="206" t="s">
        <v>7992</v>
      </c>
      <c r="WT29" s="206" t="s">
        <v>7992</v>
      </c>
      <c r="WU29" s="206" t="s">
        <v>7992</v>
      </c>
      <c r="WV29" s="206" t="s">
        <v>7992</v>
      </c>
      <c r="WW29" s="206" t="s">
        <v>7992</v>
      </c>
      <c r="WX29" s="206" t="s">
        <v>7992</v>
      </c>
      <c r="WY29" s="206" t="s">
        <v>7992</v>
      </c>
      <c r="WZ29" s="206" t="s">
        <v>7992</v>
      </c>
      <c r="XA29" s="206" t="s">
        <v>7992</v>
      </c>
      <c r="XB29" s="206" t="s">
        <v>7992</v>
      </c>
      <c r="XC29" s="206" t="s">
        <v>7992</v>
      </c>
      <c r="XD29" s="206" t="s">
        <v>7992</v>
      </c>
      <c r="XE29" s="206" t="s">
        <v>7992</v>
      </c>
      <c r="XF29" s="206" t="s">
        <v>7992</v>
      </c>
      <c r="XG29" s="206" t="s">
        <v>7992</v>
      </c>
      <c r="XH29" s="206" t="s">
        <v>7992</v>
      </c>
      <c r="XI29" s="206" t="s">
        <v>7992</v>
      </c>
      <c r="XJ29" s="206" t="s">
        <v>7992</v>
      </c>
      <c r="XK29" s="206" t="s">
        <v>7992</v>
      </c>
      <c r="XL29" s="206" t="s">
        <v>7992</v>
      </c>
      <c r="XM29" s="206" t="s">
        <v>7992</v>
      </c>
      <c r="XN29" s="206" t="s">
        <v>7992</v>
      </c>
      <c r="XO29" s="206" t="s">
        <v>7992</v>
      </c>
      <c r="XP29" s="206" t="s">
        <v>7992</v>
      </c>
      <c r="XQ29" s="206" t="s">
        <v>7992</v>
      </c>
      <c r="XR29" s="206" t="s">
        <v>7992</v>
      </c>
      <c r="XS29" s="206" t="s">
        <v>7992</v>
      </c>
      <c r="XT29" s="206" t="s">
        <v>7992</v>
      </c>
      <c r="XU29" s="206" t="s">
        <v>7992</v>
      </c>
      <c r="XV29" s="206" t="s">
        <v>7992</v>
      </c>
      <c r="XW29" s="206" t="s">
        <v>7992</v>
      </c>
      <c r="XX29" s="206" t="s">
        <v>7992</v>
      </c>
      <c r="XY29" s="206" t="s">
        <v>7992</v>
      </c>
      <c r="XZ29" s="206" t="s">
        <v>7992</v>
      </c>
      <c r="YA29" s="206" t="s">
        <v>7992</v>
      </c>
      <c r="YB29" s="206" t="s">
        <v>7992</v>
      </c>
      <c r="YC29" s="206" t="s">
        <v>7992</v>
      </c>
      <c r="YD29" s="206" t="s">
        <v>7992</v>
      </c>
      <c r="YE29" s="206" t="s">
        <v>7992</v>
      </c>
      <c r="YF29" s="206" t="s">
        <v>7992</v>
      </c>
      <c r="YG29" s="206" t="s">
        <v>7992</v>
      </c>
      <c r="YH29" s="206" t="s">
        <v>7992</v>
      </c>
      <c r="YI29" s="206" t="s">
        <v>7992</v>
      </c>
      <c r="YJ29" s="206" t="s">
        <v>7992</v>
      </c>
      <c r="YK29" s="206" t="s">
        <v>7992</v>
      </c>
      <c r="YL29" s="206" t="s">
        <v>7992</v>
      </c>
      <c r="YM29" s="206" t="s">
        <v>7992</v>
      </c>
      <c r="YN29" s="206" t="s">
        <v>7992</v>
      </c>
      <c r="YO29" s="206" t="s">
        <v>7992</v>
      </c>
      <c r="YP29" s="206" t="s">
        <v>7992</v>
      </c>
      <c r="YQ29" s="206" t="s">
        <v>7992</v>
      </c>
      <c r="YR29" s="206" t="s">
        <v>7992</v>
      </c>
      <c r="YS29" s="206" t="s">
        <v>7992</v>
      </c>
      <c r="YT29" s="206" t="s">
        <v>7992</v>
      </c>
      <c r="YU29" s="206" t="s">
        <v>7992</v>
      </c>
      <c r="YV29" s="206" t="s">
        <v>7992</v>
      </c>
      <c r="YW29" s="206" t="s">
        <v>7992</v>
      </c>
      <c r="YX29" s="206" t="s">
        <v>7992</v>
      </c>
      <c r="YY29" s="206" t="s">
        <v>7992</v>
      </c>
      <c r="YZ29" s="206" t="s">
        <v>7992</v>
      </c>
      <c r="ZA29" s="206" t="s">
        <v>7992</v>
      </c>
      <c r="ZB29" s="206" t="s">
        <v>7992</v>
      </c>
      <c r="ZC29" s="206" t="s">
        <v>7992</v>
      </c>
      <c r="ZD29" s="206" t="s">
        <v>7992</v>
      </c>
      <c r="ZE29" s="206" t="s">
        <v>7992</v>
      </c>
      <c r="ZF29" s="206" t="s">
        <v>7992</v>
      </c>
      <c r="ZG29" s="206" t="s">
        <v>7992</v>
      </c>
      <c r="ZH29" s="206" t="s">
        <v>7992</v>
      </c>
      <c r="ZI29" s="206" t="s">
        <v>7992</v>
      </c>
      <c r="ZJ29" s="206" t="s">
        <v>7992</v>
      </c>
      <c r="ZK29" s="206" t="s">
        <v>7992</v>
      </c>
      <c r="ZL29" s="206" t="s">
        <v>7992</v>
      </c>
      <c r="ZM29" s="206" t="s">
        <v>7992</v>
      </c>
      <c r="ZN29" s="206" t="s">
        <v>7992</v>
      </c>
      <c r="ZO29" s="206" t="s">
        <v>7992</v>
      </c>
      <c r="ZP29" s="206" t="s">
        <v>7992</v>
      </c>
      <c r="ZQ29" s="206" t="s">
        <v>7992</v>
      </c>
      <c r="ZR29" s="206" t="s">
        <v>7992</v>
      </c>
      <c r="ZS29" s="206" t="s">
        <v>7992</v>
      </c>
      <c r="ZT29" s="206" t="s">
        <v>7992</v>
      </c>
      <c r="ZU29" s="206" t="s">
        <v>7992</v>
      </c>
      <c r="ZV29" s="206" t="s">
        <v>7992</v>
      </c>
      <c r="ZW29" s="206" t="s">
        <v>7992</v>
      </c>
      <c r="ZX29" s="206" t="s">
        <v>7992</v>
      </c>
      <c r="ZY29" s="206" t="s">
        <v>7992</v>
      </c>
      <c r="ZZ29" s="206" t="s">
        <v>7992</v>
      </c>
      <c r="AAA29" s="206" t="s">
        <v>7992</v>
      </c>
      <c r="AAB29" s="206" t="s">
        <v>7992</v>
      </c>
      <c r="AAC29" s="206" t="s">
        <v>7992</v>
      </c>
      <c r="AAD29" s="206" t="s">
        <v>7992</v>
      </c>
      <c r="AAE29" s="206" t="s">
        <v>7992</v>
      </c>
    </row>
    <row r="30" spans="1:727" s="206" customFormat="1" x14ac:dyDescent="0.25">
      <c r="A30" s="203" t="s">
        <v>3326</v>
      </c>
      <c r="B30" s="225" t="s">
        <v>7992</v>
      </c>
      <c r="C30" s="225" t="s">
        <v>7992</v>
      </c>
      <c r="D30" s="225" t="s">
        <v>7992</v>
      </c>
      <c r="E30" s="225" t="s">
        <v>7992</v>
      </c>
      <c r="F30" s="225" t="s">
        <v>7992</v>
      </c>
      <c r="G30" s="225" t="s">
        <v>7992</v>
      </c>
      <c r="H30" s="226" t="s">
        <v>7992</v>
      </c>
      <c r="I30" s="226" t="s">
        <v>7992</v>
      </c>
      <c r="J30" s="226" t="s">
        <v>7992</v>
      </c>
      <c r="K30" s="204" t="s">
        <v>7992</v>
      </c>
      <c r="L30" s="204" t="s">
        <v>7992</v>
      </c>
      <c r="M30" s="204" t="s">
        <v>7992</v>
      </c>
      <c r="N30" s="204" t="s">
        <v>7992</v>
      </c>
      <c r="O30" s="204" t="s">
        <v>7992</v>
      </c>
      <c r="P30" s="204" t="s">
        <v>7992</v>
      </c>
      <c r="Q30" s="204" t="s">
        <v>7992</v>
      </c>
      <c r="R30" s="204" t="s">
        <v>7992</v>
      </c>
      <c r="S30" s="204" t="s">
        <v>7992</v>
      </c>
      <c r="T30" s="207" t="s">
        <v>7992</v>
      </c>
      <c r="U30" s="207" t="s">
        <v>7992</v>
      </c>
      <c r="V30" s="204" t="s">
        <v>7992</v>
      </c>
      <c r="W30" s="204" t="s">
        <v>7992</v>
      </c>
      <c r="X30" s="207" t="s">
        <v>7992</v>
      </c>
      <c r="Y30" s="207" t="s">
        <v>7992</v>
      </c>
      <c r="Z30" s="204" t="s">
        <v>7992</v>
      </c>
      <c r="AA30" s="204" t="s">
        <v>7992</v>
      </c>
      <c r="AB30" s="204" t="s">
        <v>7992</v>
      </c>
      <c r="AC30" s="204" t="s">
        <v>7992</v>
      </c>
      <c r="AD30" s="204" t="s">
        <v>7992</v>
      </c>
      <c r="AE30" s="204" t="s">
        <v>7992</v>
      </c>
      <c r="AF30" s="204" t="s">
        <v>7992</v>
      </c>
      <c r="AG30" s="204" t="s">
        <v>7992</v>
      </c>
      <c r="AH30" s="204" t="s">
        <v>7992</v>
      </c>
      <c r="AI30" s="204" t="s">
        <v>7992</v>
      </c>
      <c r="AJ30" s="204" t="s">
        <v>7992</v>
      </c>
      <c r="AK30" s="204" t="s">
        <v>7992</v>
      </c>
      <c r="AL30" s="206" t="s">
        <v>7992</v>
      </c>
      <c r="AM30" s="206" t="s">
        <v>7992</v>
      </c>
      <c r="AN30" s="206" t="s">
        <v>7992</v>
      </c>
      <c r="AO30" s="206" t="s">
        <v>7992</v>
      </c>
      <c r="AP30" s="206" t="s">
        <v>7992</v>
      </c>
      <c r="AQ30" s="206" t="s">
        <v>7992</v>
      </c>
      <c r="AR30" s="206" t="s">
        <v>7992</v>
      </c>
      <c r="AS30" s="206" t="s">
        <v>7992</v>
      </c>
      <c r="AT30" s="206" t="s">
        <v>7992</v>
      </c>
      <c r="AU30" s="206" t="s">
        <v>7992</v>
      </c>
      <c r="AV30" s="206" t="s">
        <v>7992</v>
      </c>
      <c r="AW30" s="167" t="s">
        <v>7992</v>
      </c>
      <c r="AX30" s="206" t="s">
        <v>7992</v>
      </c>
      <c r="AY30" s="206" t="s">
        <v>7992</v>
      </c>
      <c r="AZ30" s="206" t="s">
        <v>7992</v>
      </c>
      <c r="BA30" s="206" t="s">
        <v>7992</v>
      </c>
      <c r="BB30" s="206" t="s">
        <v>7992</v>
      </c>
      <c r="BC30" s="206" t="s">
        <v>7992</v>
      </c>
      <c r="BD30" s="206" t="s">
        <v>7992</v>
      </c>
      <c r="BE30" s="206" t="s">
        <v>7992</v>
      </c>
      <c r="BF30" s="206" t="s">
        <v>7992</v>
      </c>
      <c r="BG30" s="206" t="s">
        <v>7992</v>
      </c>
      <c r="BH30" s="206" t="s">
        <v>7992</v>
      </c>
      <c r="BI30" s="206" t="s">
        <v>7992</v>
      </c>
      <c r="BJ30" s="206" t="s">
        <v>7992</v>
      </c>
      <c r="BK30" s="206" t="s">
        <v>7992</v>
      </c>
      <c r="BL30" s="206" t="s">
        <v>7992</v>
      </c>
      <c r="BM30" s="206" t="s">
        <v>7992</v>
      </c>
      <c r="BN30" s="206" t="s">
        <v>7992</v>
      </c>
      <c r="BO30" s="206" t="s">
        <v>7992</v>
      </c>
      <c r="BP30" s="206" t="s">
        <v>7992</v>
      </c>
      <c r="BQ30" s="206" t="s">
        <v>7992</v>
      </c>
      <c r="BR30" s="206" t="s">
        <v>7992</v>
      </c>
      <c r="BS30" s="206" t="s">
        <v>7992</v>
      </c>
      <c r="BT30" s="206" t="s">
        <v>7992</v>
      </c>
      <c r="BU30" s="206" t="s">
        <v>7992</v>
      </c>
      <c r="BV30" s="206" t="s">
        <v>7992</v>
      </c>
      <c r="BW30" s="206" t="s">
        <v>7992</v>
      </c>
      <c r="BX30" s="206" t="s">
        <v>7992</v>
      </c>
      <c r="BY30" s="206" t="s">
        <v>7992</v>
      </c>
      <c r="BZ30" s="206" t="s">
        <v>7992</v>
      </c>
      <c r="CA30" s="206" t="s">
        <v>7992</v>
      </c>
      <c r="CB30" s="206" t="s">
        <v>7992</v>
      </c>
      <c r="CC30" s="206" t="s">
        <v>7992</v>
      </c>
      <c r="CD30" s="206" t="s">
        <v>7992</v>
      </c>
      <c r="CE30" s="206" t="s">
        <v>7992</v>
      </c>
      <c r="CF30" s="206" t="s">
        <v>7992</v>
      </c>
      <c r="CG30" s="206" t="s">
        <v>7992</v>
      </c>
      <c r="CH30" s="206" t="s">
        <v>7992</v>
      </c>
      <c r="CI30" s="206" t="s">
        <v>7992</v>
      </c>
      <c r="CJ30" s="206" t="s">
        <v>7992</v>
      </c>
      <c r="CK30" s="206" t="s">
        <v>7992</v>
      </c>
      <c r="CL30" s="206" t="s">
        <v>7992</v>
      </c>
      <c r="CM30" s="206" t="s">
        <v>7992</v>
      </c>
      <c r="CN30" s="206" t="s">
        <v>7992</v>
      </c>
      <c r="CO30" s="206" t="s">
        <v>7992</v>
      </c>
      <c r="CP30" s="206" t="s">
        <v>7992</v>
      </c>
      <c r="CQ30" s="206" t="s">
        <v>7992</v>
      </c>
      <c r="CR30" s="206" t="s">
        <v>7992</v>
      </c>
      <c r="CS30" s="206" t="s">
        <v>7992</v>
      </c>
      <c r="CT30" s="206" t="s">
        <v>7992</v>
      </c>
      <c r="CU30" s="206" t="s">
        <v>7992</v>
      </c>
      <c r="CV30" s="206" t="s">
        <v>7992</v>
      </c>
      <c r="CW30" s="206" t="s">
        <v>7992</v>
      </c>
      <c r="CX30" s="206" t="s">
        <v>7992</v>
      </c>
      <c r="CY30" s="206" t="s">
        <v>7992</v>
      </c>
      <c r="CZ30" s="206" t="s">
        <v>7992</v>
      </c>
      <c r="DA30" s="206" t="s">
        <v>7992</v>
      </c>
      <c r="DB30" s="206" t="s">
        <v>7992</v>
      </c>
      <c r="DC30" s="206" t="s">
        <v>7992</v>
      </c>
      <c r="DD30" s="206" t="s">
        <v>7992</v>
      </c>
      <c r="DE30" s="206" t="s">
        <v>7992</v>
      </c>
      <c r="DF30" s="206" t="s">
        <v>7992</v>
      </c>
      <c r="DG30" s="206" t="s">
        <v>7992</v>
      </c>
      <c r="DH30" s="206" t="s">
        <v>7992</v>
      </c>
      <c r="DI30" s="206" t="s">
        <v>7992</v>
      </c>
      <c r="DJ30" s="206" t="s">
        <v>7992</v>
      </c>
      <c r="DK30" s="206" t="s">
        <v>7992</v>
      </c>
      <c r="DL30" s="206" t="s">
        <v>7992</v>
      </c>
      <c r="DM30" s="206" t="s">
        <v>7992</v>
      </c>
      <c r="DN30" s="206" t="s">
        <v>7992</v>
      </c>
      <c r="DO30" s="206" t="s">
        <v>7992</v>
      </c>
      <c r="DP30" s="206" t="s">
        <v>7992</v>
      </c>
      <c r="DQ30" s="206" t="s">
        <v>7992</v>
      </c>
      <c r="DR30" s="206" t="s">
        <v>7992</v>
      </c>
      <c r="DS30" s="206" t="s">
        <v>7992</v>
      </c>
      <c r="DT30" s="206" t="s">
        <v>7992</v>
      </c>
      <c r="DU30" s="206" t="s">
        <v>7992</v>
      </c>
      <c r="DV30" s="206" t="s">
        <v>7992</v>
      </c>
      <c r="DW30" s="206" t="s">
        <v>7992</v>
      </c>
      <c r="DX30" s="206" t="s">
        <v>7992</v>
      </c>
      <c r="DY30" s="206" t="s">
        <v>7992</v>
      </c>
      <c r="DZ30" s="206" t="s">
        <v>7992</v>
      </c>
      <c r="EA30" s="206" t="s">
        <v>7992</v>
      </c>
      <c r="EB30" s="206" t="s">
        <v>7992</v>
      </c>
      <c r="EC30" s="206" t="s">
        <v>7992</v>
      </c>
      <c r="ED30" s="206" t="s">
        <v>7992</v>
      </c>
      <c r="EE30" s="206" t="s">
        <v>7992</v>
      </c>
      <c r="EF30" s="206" t="s">
        <v>7992</v>
      </c>
      <c r="EG30" s="206" t="s">
        <v>7992</v>
      </c>
      <c r="EH30" s="206" t="s">
        <v>7992</v>
      </c>
      <c r="EI30" s="206" t="s">
        <v>7992</v>
      </c>
      <c r="EJ30" s="206" t="s">
        <v>7992</v>
      </c>
      <c r="EK30" s="206" t="s">
        <v>7992</v>
      </c>
      <c r="EL30" s="206" t="s">
        <v>7992</v>
      </c>
      <c r="EM30" s="206" t="s">
        <v>7992</v>
      </c>
      <c r="EN30" s="206" t="s">
        <v>7992</v>
      </c>
      <c r="EO30" s="206" t="s">
        <v>7992</v>
      </c>
      <c r="EP30" s="206" t="s">
        <v>7992</v>
      </c>
      <c r="EQ30" s="206" t="s">
        <v>7992</v>
      </c>
      <c r="ER30" s="206" t="s">
        <v>7992</v>
      </c>
      <c r="ES30" s="206" t="s">
        <v>7992</v>
      </c>
      <c r="ET30" s="206" t="s">
        <v>7992</v>
      </c>
      <c r="EU30" s="206" t="s">
        <v>7992</v>
      </c>
      <c r="EV30" s="206" t="s">
        <v>7992</v>
      </c>
      <c r="EW30" s="206" t="s">
        <v>7992</v>
      </c>
      <c r="EX30" s="206" t="s">
        <v>7992</v>
      </c>
      <c r="EY30" s="206" t="s">
        <v>7992</v>
      </c>
      <c r="EZ30" s="206" t="s">
        <v>7992</v>
      </c>
      <c r="FA30" s="206" t="s">
        <v>7992</v>
      </c>
      <c r="FB30" s="206" t="s">
        <v>7992</v>
      </c>
      <c r="FC30" s="206" t="s">
        <v>7992</v>
      </c>
      <c r="FD30" s="206" t="s">
        <v>7992</v>
      </c>
      <c r="FE30" s="206" t="s">
        <v>7992</v>
      </c>
      <c r="FF30" s="206" t="s">
        <v>7992</v>
      </c>
      <c r="FG30" s="206" t="s">
        <v>7992</v>
      </c>
      <c r="FH30" s="206" t="s">
        <v>7992</v>
      </c>
      <c r="FI30" s="206" t="s">
        <v>7992</v>
      </c>
      <c r="FJ30" s="206" t="s">
        <v>7992</v>
      </c>
      <c r="FK30" s="206" t="s">
        <v>7992</v>
      </c>
      <c r="FL30" s="206" t="s">
        <v>7992</v>
      </c>
      <c r="FM30" s="206" t="s">
        <v>7992</v>
      </c>
      <c r="FN30" s="206" t="s">
        <v>7992</v>
      </c>
      <c r="FO30" s="206" t="s">
        <v>7992</v>
      </c>
      <c r="FP30" s="206" t="s">
        <v>7992</v>
      </c>
      <c r="FQ30" s="206" t="s">
        <v>7992</v>
      </c>
      <c r="FR30" s="206" t="s">
        <v>7992</v>
      </c>
      <c r="FS30" s="206" t="s">
        <v>7992</v>
      </c>
      <c r="FT30" s="206" t="s">
        <v>7992</v>
      </c>
      <c r="FU30" s="206" t="s">
        <v>7992</v>
      </c>
      <c r="FV30" s="206" t="s">
        <v>7992</v>
      </c>
      <c r="FW30" s="206" t="s">
        <v>7992</v>
      </c>
      <c r="FX30" s="206" t="s">
        <v>7992</v>
      </c>
      <c r="FY30" s="206" t="s">
        <v>7992</v>
      </c>
      <c r="FZ30" s="206" t="s">
        <v>7992</v>
      </c>
      <c r="GA30" s="206" t="s">
        <v>7992</v>
      </c>
      <c r="GB30" s="206" t="s">
        <v>7992</v>
      </c>
      <c r="GC30" s="206" t="s">
        <v>7992</v>
      </c>
      <c r="GD30" s="206" t="s">
        <v>7992</v>
      </c>
      <c r="GE30" s="206" t="s">
        <v>7992</v>
      </c>
      <c r="GF30" s="206" t="s">
        <v>7992</v>
      </c>
      <c r="GG30" s="206" t="s">
        <v>7992</v>
      </c>
      <c r="GH30" s="206" t="s">
        <v>7992</v>
      </c>
      <c r="GI30" s="206" t="s">
        <v>7992</v>
      </c>
      <c r="GJ30" s="206" t="s">
        <v>7992</v>
      </c>
      <c r="GK30" s="206" t="s">
        <v>7992</v>
      </c>
      <c r="GL30" s="206" t="s">
        <v>7992</v>
      </c>
      <c r="GM30" s="206" t="s">
        <v>7992</v>
      </c>
      <c r="GN30" s="206" t="s">
        <v>7992</v>
      </c>
      <c r="GO30" s="206" t="s">
        <v>7992</v>
      </c>
      <c r="GP30" s="206" t="s">
        <v>7992</v>
      </c>
      <c r="GQ30" s="206" t="s">
        <v>7992</v>
      </c>
      <c r="GR30" s="206" t="s">
        <v>7992</v>
      </c>
      <c r="GS30" s="206" t="s">
        <v>7992</v>
      </c>
      <c r="GT30" s="206" t="s">
        <v>7992</v>
      </c>
      <c r="GU30" s="206" t="s">
        <v>7992</v>
      </c>
      <c r="GV30" s="206" t="s">
        <v>7992</v>
      </c>
      <c r="GW30" s="206" t="s">
        <v>7992</v>
      </c>
      <c r="GX30" s="206" t="s">
        <v>7992</v>
      </c>
      <c r="GY30" s="206" t="s">
        <v>7992</v>
      </c>
      <c r="GZ30" s="206" t="s">
        <v>7992</v>
      </c>
      <c r="HA30" s="206" t="s">
        <v>7992</v>
      </c>
      <c r="HB30" s="206" t="s">
        <v>7992</v>
      </c>
      <c r="HC30" s="206" t="s">
        <v>7992</v>
      </c>
      <c r="HD30" s="206" t="s">
        <v>7992</v>
      </c>
      <c r="HE30" s="206" t="s">
        <v>7992</v>
      </c>
      <c r="HF30" s="206" t="s">
        <v>7992</v>
      </c>
      <c r="HG30" s="206" t="s">
        <v>7992</v>
      </c>
      <c r="HH30" s="206" t="s">
        <v>7992</v>
      </c>
      <c r="HI30" s="206" t="s">
        <v>7992</v>
      </c>
      <c r="HJ30" s="206" t="s">
        <v>7992</v>
      </c>
      <c r="HK30" s="206" t="s">
        <v>7992</v>
      </c>
      <c r="HL30" s="206" t="s">
        <v>7992</v>
      </c>
      <c r="HM30" s="206" t="s">
        <v>7992</v>
      </c>
      <c r="HN30" s="206" t="s">
        <v>7992</v>
      </c>
      <c r="HO30" s="206" t="s">
        <v>7992</v>
      </c>
      <c r="HP30" s="206" t="s">
        <v>7992</v>
      </c>
      <c r="HQ30" s="206" t="s">
        <v>7992</v>
      </c>
      <c r="HR30" s="206" t="s">
        <v>7992</v>
      </c>
      <c r="HS30" s="206" t="s">
        <v>7992</v>
      </c>
      <c r="HT30" s="206" t="s">
        <v>7992</v>
      </c>
      <c r="HU30" s="206" t="s">
        <v>7992</v>
      </c>
      <c r="HV30" s="206" t="s">
        <v>7992</v>
      </c>
      <c r="HW30" s="206" t="s">
        <v>7992</v>
      </c>
      <c r="HX30" s="206" t="s">
        <v>7992</v>
      </c>
      <c r="HY30" s="206" t="s">
        <v>7992</v>
      </c>
      <c r="HZ30" s="206" t="s">
        <v>7992</v>
      </c>
      <c r="IA30" s="206" t="s">
        <v>7992</v>
      </c>
      <c r="IB30" s="206" t="s">
        <v>7992</v>
      </c>
      <c r="IC30" s="206" t="s">
        <v>7992</v>
      </c>
      <c r="ID30" s="206" t="s">
        <v>7992</v>
      </c>
      <c r="IE30" s="206" t="s">
        <v>7992</v>
      </c>
      <c r="IF30" s="206" t="s">
        <v>7992</v>
      </c>
      <c r="IG30" s="206" t="s">
        <v>7992</v>
      </c>
      <c r="IH30" s="206" t="s">
        <v>7992</v>
      </c>
      <c r="II30" s="206" t="s">
        <v>7992</v>
      </c>
      <c r="IJ30" s="206" t="s">
        <v>7992</v>
      </c>
      <c r="IK30" s="206" t="s">
        <v>7992</v>
      </c>
      <c r="IL30" s="206" t="s">
        <v>7992</v>
      </c>
      <c r="IM30" s="206" t="s">
        <v>7992</v>
      </c>
      <c r="IN30" s="206" t="s">
        <v>7992</v>
      </c>
      <c r="IO30" s="206" t="s">
        <v>7992</v>
      </c>
      <c r="IP30" s="206" t="s">
        <v>7992</v>
      </c>
      <c r="IQ30" s="206" t="s">
        <v>7992</v>
      </c>
      <c r="IR30" s="206" t="s">
        <v>7992</v>
      </c>
      <c r="IS30" s="206" t="s">
        <v>7992</v>
      </c>
      <c r="IT30" s="206" t="s">
        <v>7992</v>
      </c>
      <c r="IU30" s="206" t="s">
        <v>7992</v>
      </c>
      <c r="IV30" s="206" t="s">
        <v>7992</v>
      </c>
      <c r="IW30" s="206" t="s">
        <v>7992</v>
      </c>
      <c r="IX30" s="206" t="s">
        <v>7992</v>
      </c>
      <c r="IY30" s="206" t="s">
        <v>7992</v>
      </c>
      <c r="IZ30" s="206" t="s">
        <v>7992</v>
      </c>
      <c r="JA30" s="206" t="s">
        <v>7992</v>
      </c>
      <c r="JB30" s="206" t="s">
        <v>7992</v>
      </c>
      <c r="JC30" s="206" t="s">
        <v>7992</v>
      </c>
      <c r="JD30" s="206" t="s">
        <v>7992</v>
      </c>
      <c r="JE30" s="206" t="s">
        <v>7992</v>
      </c>
      <c r="JF30" s="206" t="s">
        <v>7992</v>
      </c>
      <c r="JG30" s="206" t="s">
        <v>7992</v>
      </c>
      <c r="JH30" s="206" t="s">
        <v>7992</v>
      </c>
      <c r="JI30" s="206" t="s">
        <v>7992</v>
      </c>
      <c r="JJ30" s="206" t="s">
        <v>7992</v>
      </c>
      <c r="JK30" s="206" t="s">
        <v>7992</v>
      </c>
      <c r="JL30" s="206" t="s">
        <v>7992</v>
      </c>
      <c r="JM30" s="206" t="s">
        <v>7992</v>
      </c>
      <c r="JN30" s="206" t="s">
        <v>7992</v>
      </c>
      <c r="JO30" s="206" t="s">
        <v>7992</v>
      </c>
      <c r="JP30" s="206" t="s">
        <v>7992</v>
      </c>
      <c r="JQ30" s="206" t="s">
        <v>7992</v>
      </c>
      <c r="JR30" s="206" t="s">
        <v>7992</v>
      </c>
      <c r="JS30" s="206" t="s">
        <v>7992</v>
      </c>
      <c r="JT30" s="206" t="s">
        <v>7992</v>
      </c>
      <c r="JU30" s="206" t="s">
        <v>7992</v>
      </c>
      <c r="JV30" s="206" t="s">
        <v>7992</v>
      </c>
      <c r="JW30" s="206" t="s">
        <v>7992</v>
      </c>
      <c r="JX30" s="206" t="s">
        <v>7992</v>
      </c>
      <c r="JY30" s="206" t="s">
        <v>7992</v>
      </c>
      <c r="JZ30" s="206" t="s">
        <v>7992</v>
      </c>
      <c r="KA30" s="206" t="s">
        <v>7992</v>
      </c>
      <c r="KB30" s="206" t="s">
        <v>7992</v>
      </c>
      <c r="KC30" s="206" t="s">
        <v>7992</v>
      </c>
      <c r="KD30" s="206" t="s">
        <v>7992</v>
      </c>
      <c r="KE30" s="206" t="s">
        <v>7992</v>
      </c>
      <c r="KF30" s="206" t="s">
        <v>7992</v>
      </c>
      <c r="KG30" s="206" t="s">
        <v>7992</v>
      </c>
      <c r="KH30" s="206" t="s">
        <v>7992</v>
      </c>
      <c r="KI30" s="206" t="s">
        <v>7992</v>
      </c>
      <c r="KJ30" s="206" t="s">
        <v>7992</v>
      </c>
      <c r="KK30" s="206" t="s">
        <v>7992</v>
      </c>
      <c r="KL30" s="206" t="s">
        <v>7992</v>
      </c>
      <c r="KM30" s="206" t="s">
        <v>7992</v>
      </c>
      <c r="KN30" s="206" t="s">
        <v>7992</v>
      </c>
      <c r="KO30" s="206" t="s">
        <v>7992</v>
      </c>
      <c r="KP30" s="206" t="s">
        <v>7992</v>
      </c>
      <c r="KQ30" s="206" t="s">
        <v>7992</v>
      </c>
      <c r="KR30" s="206" t="s">
        <v>7992</v>
      </c>
      <c r="KS30" s="206" t="s">
        <v>7992</v>
      </c>
      <c r="KT30" s="206" t="s">
        <v>7992</v>
      </c>
      <c r="KU30" s="206" t="s">
        <v>7992</v>
      </c>
      <c r="KV30" s="206" t="s">
        <v>7992</v>
      </c>
      <c r="KW30" s="206" t="s">
        <v>7992</v>
      </c>
      <c r="KX30" s="206" t="s">
        <v>7992</v>
      </c>
      <c r="KY30" s="206" t="s">
        <v>7992</v>
      </c>
      <c r="KZ30" s="206" t="s">
        <v>7992</v>
      </c>
      <c r="LA30" s="206" t="s">
        <v>7992</v>
      </c>
      <c r="LB30" s="206" t="s">
        <v>7992</v>
      </c>
      <c r="LC30" s="206" t="s">
        <v>7992</v>
      </c>
      <c r="LD30" s="206" t="s">
        <v>7992</v>
      </c>
      <c r="LE30" s="206" t="s">
        <v>7992</v>
      </c>
      <c r="LF30" s="206" t="s">
        <v>7992</v>
      </c>
      <c r="LG30" s="206" t="s">
        <v>7992</v>
      </c>
      <c r="LH30" s="206" t="s">
        <v>7992</v>
      </c>
      <c r="LI30" s="206" t="s">
        <v>7992</v>
      </c>
      <c r="LJ30" s="206" t="s">
        <v>7992</v>
      </c>
      <c r="LK30" s="206" t="s">
        <v>7992</v>
      </c>
      <c r="LL30" s="206" t="s">
        <v>7992</v>
      </c>
      <c r="LM30" s="206" t="s">
        <v>7992</v>
      </c>
      <c r="LN30" s="206" t="s">
        <v>7992</v>
      </c>
      <c r="LO30" s="206" t="s">
        <v>7992</v>
      </c>
      <c r="LP30" s="206" t="s">
        <v>7992</v>
      </c>
      <c r="LQ30" s="206" t="s">
        <v>7992</v>
      </c>
      <c r="LR30" s="206" t="s">
        <v>7992</v>
      </c>
      <c r="LS30" s="206" t="s">
        <v>7992</v>
      </c>
      <c r="LT30" s="206" t="s">
        <v>7992</v>
      </c>
      <c r="LU30" s="206" t="s">
        <v>7992</v>
      </c>
      <c r="LV30" s="206" t="s">
        <v>7992</v>
      </c>
      <c r="LW30" s="206" t="s">
        <v>7992</v>
      </c>
      <c r="LX30" s="206" t="s">
        <v>7992</v>
      </c>
      <c r="LY30" s="206" t="s">
        <v>7992</v>
      </c>
      <c r="LZ30" s="206" t="s">
        <v>7992</v>
      </c>
      <c r="MA30" s="206" t="s">
        <v>7992</v>
      </c>
      <c r="MB30" s="206" t="s">
        <v>7992</v>
      </c>
      <c r="MC30" s="206" t="s">
        <v>7992</v>
      </c>
      <c r="MD30" s="206" t="s">
        <v>7992</v>
      </c>
      <c r="ME30" s="206" t="s">
        <v>7992</v>
      </c>
      <c r="MF30" s="206" t="s">
        <v>7992</v>
      </c>
      <c r="MG30" s="206" t="s">
        <v>7992</v>
      </c>
      <c r="MH30" s="206" t="s">
        <v>7992</v>
      </c>
      <c r="MI30" s="206" t="s">
        <v>7992</v>
      </c>
      <c r="MJ30" s="206" t="s">
        <v>7992</v>
      </c>
      <c r="MK30" s="206" t="s">
        <v>7992</v>
      </c>
      <c r="ML30" s="206" t="s">
        <v>7992</v>
      </c>
      <c r="MM30" s="206" t="s">
        <v>7992</v>
      </c>
      <c r="MN30" s="206" t="s">
        <v>7992</v>
      </c>
      <c r="MO30" s="206" t="s">
        <v>7992</v>
      </c>
      <c r="MP30" s="206" t="s">
        <v>7992</v>
      </c>
      <c r="MQ30" s="206" t="s">
        <v>7992</v>
      </c>
      <c r="MR30" s="206" t="s">
        <v>7992</v>
      </c>
      <c r="MS30" s="206" t="s">
        <v>7992</v>
      </c>
      <c r="MT30" s="206" t="s">
        <v>7992</v>
      </c>
      <c r="MU30" s="206" t="s">
        <v>7992</v>
      </c>
      <c r="MV30" s="206" t="s">
        <v>7992</v>
      </c>
      <c r="MW30" s="206" t="s">
        <v>7992</v>
      </c>
      <c r="MX30" s="206" t="s">
        <v>7992</v>
      </c>
      <c r="MY30" s="206" t="s">
        <v>7992</v>
      </c>
      <c r="MZ30" s="206" t="s">
        <v>7992</v>
      </c>
      <c r="NA30" s="206" t="s">
        <v>7992</v>
      </c>
      <c r="NB30" s="206" t="s">
        <v>7992</v>
      </c>
      <c r="NC30" s="206" t="s">
        <v>7992</v>
      </c>
      <c r="ND30" s="206" t="s">
        <v>7992</v>
      </c>
      <c r="NE30" s="206" t="s">
        <v>7992</v>
      </c>
      <c r="NF30" s="206" t="s">
        <v>7992</v>
      </c>
      <c r="NG30" s="206" t="s">
        <v>7992</v>
      </c>
      <c r="NH30" s="206" t="s">
        <v>7992</v>
      </c>
      <c r="NI30" s="206" t="s">
        <v>7992</v>
      </c>
      <c r="NJ30" s="206" t="s">
        <v>7992</v>
      </c>
      <c r="NK30" s="206" t="s">
        <v>7992</v>
      </c>
      <c r="NL30" s="206" t="s">
        <v>7992</v>
      </c>
      <c r="NM30" s="206" t="s">
        <v>7992</v>
      </c>
      <c r="NN30" s="206" t="s">
        <v>7992</v>
      </c>
      <c r="NO30" s="206" t="s">
        <v>7992</v>
      </c>
      <c r="NP30" s="206" t="s">
        <v>7992</v>
      </c>
      <c r="NQ30" s="206" t="s">
        <v>7992</v>
      </c>
      <c r="NR30" s="206" t="s">
        <v>7992</v>
      </c>
      <c r="NS30" s="206" t="s">
        <v>7992</v>
      </c>
      <c r="NT30" s="206" t="s">
        <v>7992</v>
      </c>
      <c r="NU30" s="206" t="s">
        <v>7992</v>
      </c>
      <c r="NV30" s="206" t="s">
        <v>7992</v>
      </c>
      <c r="NW30" s="206" t="s">
        <v>7992</v>
      </c>
      <c r="NX30" s="206" t="s">
        <v>7992</v>
      </c>
      <c r="NY30" s="206" t="s">
        <v>7992</v>
      </c>
      <c r="NZ30" s="206" t="s">
        <v>7992</v>
      </c>
      <c r="OA30" s="206" t="s">
        <v>7992</v>
      </c>
      <c r="OB30" s="206" t="s">
        <v>7992</v>
      </c>
      <c r="OC30" s="206" t="s">
        <v>7992</v>
      </c>
      <c r="OD30" s="206" t="s">
        <v>7992</v>
      </c>
      <c r="OE30" s="206" t="s">
        <v>7992</v>
      </c>
      <c r="OF30" s="206" t="s">
        <v>7992</v>
      </c>
      <c r="OG30" s="206" t="s">
        <v>7992</v>
      </c>
      <c r="OH30" s="206" t="s">
        <v>7992</v>
      </c>
      <c r="OI30" s="206" t="s">
        <v>7992</v>
      </c>
      <c r="OJ30" s="206" t="s">
        <v>7992</v>
      </c>
      <c r="OK30" s="206" t="s">
        <v>7992</v>
      </c>
      <c r="OL30" s="206" t="s">
        <v>7992</v>
      </c>
      <c r="OM30" s="206" t="s">
        <v>7992</v>
      </c>
      <c r="ON30" s="206" t="s">
        <v>7992</v>
      </c>
      <c r="OO30" s="206" t="s">
        <v>7992</v>
      </c>
      <c r="OP30" s="206" t="s">
        <v>7992</v>
      </c>
      <c r="OQ30" s="206" t="s">
        <v>7992</v>
      </c>
      <c r="OR30" s="206" t="s">
        <v>7992</v>
      </c>
      <c r="OS30" s="206" t="s">
        <v>7992</v>
      </c>
      <c r="OT30" s="206" t="s">
        <v>7992</v>
      </c>
      <c r="OU30" s="206" t="s">
        <v>7992</v>
      </c>
      <c r="OV30" s="206" t="s">
        <v>7992</v>
      </c>
      <c r="OW30" s="206" t="s">
        <v>7992</v>
      </c>
      <c r="OX30" s="206" t="s">
        <v>7992</v>
      </c>
      <c r="OY30" s="206" t="s">
        <v>7992</v>
      </c>
      <c r="OZ30" s="206" t="s">
        <v>7992</v>
      </c>
      <c r="PA30" s="206" t="s">
        <v>7992</v>
      </c>
      <c r="PB30" s="206" t="s">
        <v>7992</v>
      </c>
      <c r="PC30" s="206" t="s">
        <v>7992</v>
      </c>
      <c r="PD30" s="206" t="s">
        <v>7992</v>
      </c>
      <c r="PE30" s="206" t="s">
        <v>7992</v>
      </c>
      <c r="PF30" s="206" t="s">
        <v>7992</v>
      </c>
      <c r="PG30" s="206" t="s">
        <v>7992</v>
      </c>
      <c r="PH30" s="206" t="s">
        <v>7992</v>
      </c>
      <c r="PI30" s="206" t="s">
        <v>7992</v>
      </c>
      <c r="PJ30" s="206" t="s">
        <v>7992</v>
      </c>
      <c r="PK30" s="206" t="s">
        <v>7992</v>
      </c>
      <c r="PL30" s="206" t="s">
        <v>7992</v>
      </c>
      <c r="PM30" s="206" t="s">
        <v>7992</v>
      </c>
      <c r="PN30" s="206" t="s">
        <v>7992</v>
      </c>
      <c r="PO30" s="206" t="s">
        <v>7992</v>
      </c>
      <c r="PP30" s="206" t="s">
        <v>7992</v>
      </c>
      <c r="PQ30" s="206" t="s">
        <v>7992</v>
      </c>
      <c r="PR30" s="206" t="s">
        <v>7992</v>
      </c>
      <c r="PS30" s="206" t="s">
        <v>7992</v>
      </c>
      <c r="PT30" s="206" t="s">
        <v>7992</v>
      </c>
      <c r="PU30" s="206" t="s">
        <v>7992</v>
      </c>
      <c r="PV30" s="206" t="s">
        <v>7992</v>
      </c>
      <c r="PW30" s="206" t="s">
        <v>7992</v>
      </c>
      <c r="PX30" s="206" t="s">
        <v>7992</v>
      </c>
      <c r="PY30" s="206" t="s">
        <v>7992</v>
      </c>
      <c r="PZ30" s="206" t="s">
        <v>7992</v>
      </c>
      <c r="QA30" s="206" t="s">
        <v>7992</v>
      </c>
      <c r="QB30" s="206" t="s">
        <v>7992</v>
      </c>
      <c r="QC30" s="206" t="s">
        <v>7992</v>
      </c>
      <c r="QD30" s="206" t="s">
        <v>7992</v>
      </c>
      <c r="QE30" s="206" t="s">
        <v>7992</v>
      </c>
      <c r="QF30" s="206" t="s">
        <v>7992</v>
      </c>
      <c r="QG30" s="206" t="s">
        <v>7992</v>
      </c>
      <c r="QH30" s="206" t="s">
        <v>7992</v>
      </c>
      <c r="QI30" s="206" t="s">
        <v>7992</v>
      </c>
      <c r="QJ30" s="206" t="s">
        <v>7992</v>
      </c>
      <c r="QK30" s="206" t="s">
        <v>7992</v>
      </c>
      <c r="QL30" s="206" t="s">
        <v>7992</v>
      </c>
      <c r="QM30" s="206" t="s">
        <v>7992</v>
      </c>
      <c r="QN30" s="206" t="s">
        <v>7992</v>
      </c>
      <c r="QO30" s="206" t="s">
        <v>7992</v>
      </c>
      <c r="QP30" s="206" t="s">
        <v>7992</v>
      </c>
      <c r="QQ30" s="206" t="s">
        <v>7992</v>
      </c>
      <c r="QR30" s="206" t="s">
        <v>7992</v>
      </c>
      <c r="QS30" s="206" t="s">
        <v>7992</v>
      </c>
      <c r="QT30" s="206" t="s">
        <v>7992</v>
      </c>
      <c r="QU30" s="206" t="s">
        <v>7992</v>
      </c>
      <c r="QV30" s="206" t="s">
        <v>7992</v>
      </c>
      <c r="QW30" s="206" t="s">
        <v>7992</v>
      </c>
      <c r="QX30" s="206" t="s">
        <v>7992</v>
      </c>
      <c r="QY30" s="206" t="s">
        <v>7992</v>
      </c>
      <c r="QZ30" s="206" t="s">
        <v>7992</v>
      </c>
      <c r="RA30" s="206" t="s">
        <v>7992</v>
      </c>
      <c r="RB30" s="206" t="s">
        <v>7992</v>
      </c>
      <c r="RC30" s="206" t="s">
        <v>7992</v>
      </c>
      <c r="RD30" s="206" t="s">
        <v>7992</v>
      </c>
      <c r="RE30" s="206" t="s">
        <v>7992</v>
      </c>
      <c r="RF30" s="206" t="s">
        <v>7992</v>
      </c>
      <c r="RG30" s="206" t="s">
        <v>7992</v>
      </c>
      <c r="RH30" s="206" t="s">
        <v>7992</v>
      </c>
      <c r="RI30" s="206" t="s">
        <v>7992</v>
      </c>
      <c r="RJ30" s="206" t="s">
        <v>7992</v>
      </c>
      <c r="RK30" s="206" t="s">
        <v>7992</v>
      </c>
      <c r="RL30" s="206" t="s">
        <v>7992</v>
      </c>
      <c r="RM30" s="206" t="s">
        <v>7992</v>
      </c>
      <c r="RN30" s="206" t="s">
        <v>7992</v>
      </c>
      <c r="RO30" s="206" t="s">
        <v>7992</v>
      </c>
      <c r="RP30" s="206" t="s">
        <v>7992</v>
      </c>
      <c r="RQ30" s="206" t="s">
        <v>7992</v>
      </c>
      <c r="RR30" s="206" t="s">
        <v>7992</v>
      </c>
      <c r="RS30" s="206" t="s">
        <v>7992</v>
      </c>
      <c r="RT30" s="206" t="s">
        <v>7992</v>
      </c>
      <c r="RU30" s="206" t="s">
        <v>7992</v>
      </c>
      <c r="RV30" s="206" t="s">
        <v>7992</v>
      </c>
      <c r="RW30" s="206" t="s">
        <v>7992</v>
      </c>
      <c r="RX30" s="206" t="s">
        <v>7992</v>
      </c>
      <c r="RY30" s="206" t="s">
        <v>7992</v>
      </c>
      <c r="RZ30" s="206" t="s">
        <v>7992</v>
      </c>
      <c r="SA30" s="206" t="s">
        <v>7992</v>
      </c>
      <c r="SB30" s="206" t="s">
        <v>7992</v>
      </c>
      <c r="SC30" s="206" t="s">
        <v>7992</v>
      </c>
      <c r="SD30" s="206" t="s">
        <v>7992</v>
      </c>
      <c r="SE30" s="206" t="s">
        <v>7992</v>
      </c>
      <c r="SF30" s="206" t="s">
        <v>7992</v>
      </c>
      <c r="SG30" s="206" t="s">
        <v>7992</v>
      </c>
      <c r="SH30" s="206" t="s">
        <v>7992</v>
      </c>
      <c r="SI30" s="206" t="s">
        <v>7992</v>
      </c>
      <c r="SJ30" s="206" t="s">
        <v>7992</v>
      </c>
      <c r="SK30" s="206" t="s">
        <v>7992</v>
      </c>
      <c r="SL30" s="206" t="s">
        <v>7992</v>
      </c>
      <c r="SM30" s="206" t="s">
        <v>7992</v>
      </c>
      <c r="SN30" s="206" t="s">
        <v>7992</v>
      </c>
      <c r="SO30" s="206" t="s">
        <v>7992</v>
      </c>
      <c r="SP30" s="206" t="s">
        <v>7992</v>
      </c>
      <c r="SQ30" s="206" t="s">
        <v>7992</v>
      </c>
      <c r="SR30" s="206" t="s">
        <v>7992</v>
      </c>
      <c r="SS30" s="206" t="s">
        <v>7992</v>
      </c>
      <c r="ST30" s="206" t="s">
        <v>7992</v>
      </c>
      <c r="SU30" s="206" t="s">
        <v>7992</v>
      </c>
      <c r="SV30" s="206" t="s">
        <v>7992</v>
      </c>
      <c r="SW30" s="206" t="s">
        <v>7992</v>
      </c>
      <c r="SX30" s="206" t="s">
        <v>7992</v>
      </c>
      <c r="SY30" s="206" t="s">
        <v>7992</v>
      </c>
      <c r="SZ30" s="206" t="s">
        <v>7992</v>
      </c>
      <c r="TA30" s="206" t="s">
        <v>7992</v>
      </c>
      <c r="TB30" s="206" t="s">
        <v>7992</v>
      </c>
      <c r="TC30" s="206" t="s">
        <v>7992</v>
      </c>
      <c r="TD30" s="206" t="s">
        <v>7992</v>
      </c>
      <c r="TE30" s="206" t="s">
        <v>7992</v>
      </c>
      <c r="TF30" s="206" t="s">
        <v>7992</v>
      </c>
      <c r="TG30" s="206" t="s">
        <v>7992</v>
      </c>
      <c r="TH30" s="206" t="s">
        <v>7992</v>
      </c>
      <c r="TI30" s="206" t="s">
        <v>7992</v>
      </c>
      <c r="TJ30" s="206" t="s">
        <v>7992</v>
      </c>
      <c r="TK30" s="206" t="s">
        <v>7992</v>
      </c>
      <c r="TL30" s="206" t="s">
        <v>7992</v>
      </c>
      <c r="TM30" s="206" t="s">
        <v>7992</v>
      </c>
      <c r="TN30" s="206" t="s">
        <v>7992</v>
      </c>
      <c r="TO30" s="206" t="s">
        <v>7992</v>
      </c>
      <c r="TP30" s="206" t="s">
        <v>7992</v>
      </c>
      <c r="TQ30" s="206" t="s">
        <v>7992</v>
      </c>
      <c r="TR30" s="206" t="s">
        <v>7992</v>
      </c>
      <c r="TS30" s="206" t="s">
        <v>7992</v>
      </c>
      <c r="TT30" s="206" t="s">
        <v>7992</v>
      </c>
      <c r="TU30" s="206" t="s">
        <v>7992</v>
      </c>
      <c r="TV30" s="206" t="s">
        <v>7992</v>
      </c>
      <c r="TW30" s="206" t="s">
        <v>7992</v>
      </c>
      <c r="TX30" s="206" t="s">
        <v>7992</v>
      </c>
      <c r="TY30" s="206" t="s">
        <v>7992</v>
      </c>
      <c r="TZ30" s="206" t="s">
        <v>7992</v>
      </c>
      <c r="UA30" s="206" t="s">
        <v>7992</v>
      </c>
      <c r="UB30" s="206" t="s">
        <v>7992</v>
      </c>
      <c r="UC30" s="206" t="s">
        <v>7992</v>
      </c>
      <c r="UD30" s="206" t="s">
        <v>7992</v>
      </c>
      <c r="UE30" s="206" t="s">
        <v>7992</v>
      </c>
      <c r="UF30" s="206" t="s">
        <v>7992</v>
      </c>
      <c r="UG30" s="206" t="s">
        <v>7992</v>
      </c>
      <c r="UH30" s="206" t="s">
        <v>7992</v>
      </c>
      <c r="UI30" s="206" t="s">
        <v>7992</v>
      </c>
      <c r="UJ30" s="206" t="s">
        <v>7992</v>
      </c>
      <c r="UK30" s="206" t="s">
        <v>7992</v>
      </c>
      <c r="UL30" s="206" t="s">
        <v>7992</v>
      </c>
      <c r="UM30" s="206" t="s">
        <v>7992</v>
      </c>
      <c r="UN30" s="206" t="s">
        <v>7992</v>
      </c>
      <c r="UO30" s="206" t="s">
        <v>7992</v>
      </c>
      <c r="UP30" s="206" t="s">
        <v>7992</v>
      </c>
      <c r="UQ30" s="206" t="s">
        <v>7992</v>
      </c>
      <c r="UR30" s="206" t="s">
        <v>7992</v>
      </c>
      <c r="US30" s="206" t="s">
        <v>7992</v>
      </c>
      <c r="UT30" s="206" t="s">
        <v>7992</v>
      </c>
      <c r="UU30" s="206" t="s">
        <v>7992</v>
      </c>
      <c r="UV30" s="206" t="s">
        <v>7992</v>
      </c>
      <c r="UW30" s="206" t="s">
        <v>7992</v>
      </c>
      <c r="UX30" s="206" t="s">
        <v>7992</v>
      </c>
      <c r="UY30" s="206" t="s">
        <v>7992</v>
      </c>
      <c r="UZ30" s="206" t="s">
        <v>7992</v>
      </c>
      <c r="VA30" s="206" t="s">
        <v>7992</v>
      </c>
      <c r="VB30" s="206" t="s">
        <v>7992</v>
      </c>
      <c r="VC30" s="206" t="s">
        <v>7992</v>
      </c>
      <c r="VD30" s="206" t="s">
        <v>7992</v>
      </c>
      <c r="VE30" s="206" t="s">
        <v>7992</v>
      </c>
      <c r="VF30" s="206" t="s">
        <v>7992</v>
      </c>
      <c r="VG30" s="206" t="s">
        <v>7992</v>
      </c>
      <c r="VH30" s="206" t="s">
        <v>7992</v>
      </c>
      <c r="VI30" s="206" t="s">
        <v>7992</v>
      </c>
      <c r="VJ30" s="206" t="s">
        <v>7992</v>
      </c>
      <c r="VK30" s="206" t="s">
        <v>7992</v>
      </c>
      <c r="VL30" s="206" t="s">
        <v>7992</v>
      </c>
      <c r="VM30" s="206" t="s">
        <v>7992</v>
      </c>
      <c r="VN30" s="206" t="s">
        <v>7992</v>
      </c>
      <c r="VO30" s="206" t="s">
        <v>7992</v>
      </c>
      <c r="VP30" s="206" t="s">
        <v>7992</v>
      </c>
      <c r="VQ30" s="206" t="s">
        <v>7992</v>
      </c>
      <c r="VR30" s="206" t="s">
        <v>7992</v>
      </c>
      <c r="VS30" s="206" t="s">
        <v>7992</v>
      </c>
      <c r="VT30" s="206" t="s">
        <v>7992</v>
      </c>
      <c r="VU30" s="206" t="s">
        <v>7992</v>
      </c>
      <c r="VV30" s="206" t="s">
        <v>7992</v>
      </c>
      <c r="VW30" s="206" t="s">
        <v>7992</v>
      </c>
      <c r="VX30" s="206" t="s">
        <v>7992</v>
      </c>
      <c r="VY30" s="206" t="s">
        <v>7992</v>
      </c>
      <c r="VZ30" s="206" t="s">
        <v>7992</v>
      </c>
      <c r="WA30" s="206" t="s">
        <v>7992</v>
      </c>
      <c r="WB30" s="206" t="s">
        <v>7992</v>
      </c>
      <c r="WC30" s="206" t="s">
        <v>7992</v>
      </c>
      <c r="WD30" s="206" t="s">
        <v>7992</v>
      </c>
      <c r="WE30" s="206" t="s">
        <v>7992</v>
      </c>
      <c r="WF30" s="206" t="s">
        <v>7992</v>
      </c>
      <c r="WG30" s="206" t="s">
        <v>7992</v>
      </c>
      <c r="WH30" s="206" t="s">
        <v>7992</v>
      </c>
      <c r="WI30" s="206" t="s">
        <v>7992</v>
      </c>
      <c r="WJ30" s="206" t="s">
        <v>7992</v>
      </c>
      <c r="WK30" s="206" t="s">
        <v>7992</v>
      </c>
      <c r="WL30" s="206" t="s">
        <v>7992</v>
      </c>
      <c r="WM30" s="206" t="s">
        <v>7992</v>
      </c>
      <c r="WN30" s="206" t="s">
        <v>7992</v>
      </c>
      <c r="WO30" s="206" t="s">
        <v>7992</v>
      </c>
      <c r="WP30" s="206" t="s">
        <v>7992</v>
      </c>
      <c r="WQ30" s="206" t="s">
        <v>7992</v>
      </c>
      <c r="WR30" s="206" t="s">
        <v>7992</v>
      </c>
      <c r="WS30" s="206" t="s">
        <v>7992</v>
      </c>
      <c r="WT30" s="206" t="s">
        <v>7992</v>
      </c>
      <c r="WU30" s="206" t="s">
        <v>7992</v>
      </c>
      <c r="WV30" s="206" t="s">
        <v>7992</v>
      </c>
      <c r="WW30" s="206" t="s">
        <v>7992</v>
      </c>
      <c r="WX30" s="206" t="s">
        <v>7992</v>
      </c>
      <c r="WY30" s="206" t="s">
        <v>7992</v>
      </c>
      <c r="WZ30" s="206" t="s">
        <v>7992</v>
      </c>
      <c r="XA30" s="206" t="s">
        <v>7992</v>
      </c>
      <c r="XB30" s="206" t="s">
        <v>7992</v>
      </c>
      <c r="XC30" s="206" t="s">
        <v>7992</v>
      </c>
      <c r="XD30" s="206" t="s">
        <v>7992</v>
      </c>
      <c r="XE30" s="206" t="s">
        <v>7992</v>
      </c>
      <c r="XF30" s="206" t="s">
        <v>7992</v>
      </c>
      <c r="XG30" s="206" t="s">
        <v>7992</v>
      </c>
      <c r="XH30" s="206" t="s">
        <v>7992</v>
      </c>
      <c r="XI30" s="206" t="s">
        <v>7992</v>
      </c>
      <c r="XJ30" s="206" t="s">
        <v>7992</v>
      </c>
      <c r="XK30" s="206" t="s">
        <v>7992</v>
      </c>
      <c r="XL30" s="206" t="s">
        <v>7992</v>
      </c>
      <c r="XM30" s="206" t="s">
        <v>7992</v>
      </c>
      <c r="XN30" s="206" t="s">
        <v>7992</v>
      </c>
      <c r="XO30" s="206" t="s">
        <v>7992</v>
      </c>
      <c r="XP30" s="206" t="s">
        <v>7992</v>
      </c>
      <c r="XQ30" s="206" t="s">
        <v>7992</v>
      </c>
      <c r="XR30" s="206" t="s">
        <v>7992</v>
      </c>
      <c r="XS30" s="206" t="s">
        <v>7992</v>
      </c>
      <c r="XT30" s="206" t="s">
        <v>7992</v>
      </c>
      <c r="XU30" s="206" t="s">
        <v>7992</v>
      </c>
      <c r="XV30" s="206" t="s">
        <v>7992</v>
      </c>
      <c r="XW30" s="206" t="s">
        <v>7992</v>
      </c>
      <c r="XX30" s="206" t="s">
        <v>7992</v>
      </c>
      <c r="XY30" s="206" t="s">
        <v>7992</v>
      </c>
      <c r="XZ30" s="206" t="s">
        <v>7992</v>
      </c>
      <c r="YA30" s="206" t="s">
        <v>7992</v>
      </c>
      <c r="YB30" s="206" t="s">
        <v>7992</v>
      </c>
      <c r="YC30" s="206" t="s">
        <v>7992</v>
      </c>
      <c r="YD30" s="206" t="s">
        <v>7992</v>
      </c>
      <c r="YE30" s="206" t="s">
        <v>7992</v>
      </c>
      <c r="YF30" s="206" t="s">
        <v>7992</v>
      </c>
      <c r="YG30" s="206" t="s">
        <v>7992</v>
      </c>
      <c r="YH30" s="206" t="s">
        <v>7992</v>
      </c>
      <c r="YI30" s="206" t="s">
        <v>7992</v>
      </c>
      <c r="YJ30" s="206" t="s">
        <v>7992</v>
      </c>
      <c r="YK30" s="206" t="s">
        <v>7992</v>
      </c>
      <c r="YL30" s="206" t="s">
        <v>7992</v>
      </c>
      <c r="YM30" s="206" t="s">
        <v>7992</v>
      </c>
      <c r="YN30" s="206" t="s">
        <v>7992</v>
      </c>
      <c r="YO30" s="206" t="s">
        <v>7992</v>
      </c>
      <c r="YP30" s="206" t="s">
        <v>7992</v>
      </c>
      <c r="YQ30" s="206" t="s">
        <v>7992</v>
      </c>
      <c r="YR30" s="206" t="s">
        <v>7992</v>
      </c>
      <c r="YS30" s="206" t="s">
        <v>7992</v>
      </c>
      <c r="YT30" s="206" t="s">
        <v>7992</v>
      </c>
      <c r="YU30" s="206" t="s">
        <v>7992</v>
      </c>
      <c r="YV30" s="206" t="s">
        <v>7992</v>
      </c>
      <c r="YW30" s="206" t="s">
        <v>7992</v>
      </c>
      <c r="YX30" s="206" t="s">
        <v>7992</v>
      </c>
      <c r="YY30" s="206" t="s">
        <v>7992</v>
      </c>
      <c r="YZ30" s="206" t="s">
        <v>7992</v>
      </c>
      <c r="ZA30" s="206" t="s">
        <v>7992</v>
      </c>
      <c r="ZB30" s="206" t="s">
        <v>7992</v>
      </c>
      <c r="ZC30" s="206" t="s">
        <v>7992</v>
      </c>
      <c r="ZD30" s="206" t="s">
        <v>7992</v>
      </c>
      <c r="ZE30" s="206" t="s">
        <v>7992</v>
      </c>
      <c r="ZF30" s="206" t="s">
        <v>7992</v>
      </c>
      <c r="ZG30" s="206" t="s">
        <v>7992</v>
      </c>
      <c r="ZH30" s="206" t="s">
        <v>7992</v>
      </c>
      <c r="ZI30" s="206" t="s">
        <v>7992</v>
      </c>
      <c r="ZJ30" s="206" t="s">
        <v>7992</v>
      </c>
      <c r="ZK30" s="206" t="s">
        <v>7992</v>
      </c>
      <c r="ZL30" s="206" t="s">
        <v>7992</v>
      </c>
      <c r="ZM30" s="206" t="s">
        <v>7992</v>
      </c>
      <c r="ZN30" s="206" t="s">
        <v>7992</v>
      </c>
      <c r="ZO30" s="206" t="s">
        <v>7992</v>
      </c>
      <c r="ZP30" s="206" t="s">
        <v>7992</v>
      </c>
      <c r="ZQ30" s="206" t="s">
        <v>7992</v>
      </c>
      <c r="ZR30" s="206" t="s">
        <v>7992</v>
      </c>
      <c r="ZS30" s="206" t="s">
        <v>7992</v>
      </c>
      <c r="ZT30" s="206" t="s">
        <v>7992</v>
      </c>
      <c r="ZU30" s="206" t="s">
        <v>7992</v>
      </c>
      <c r="ZV30" s="206" t="s">
        <v>7992</v>
      </c>
      <c r="ZW30" s="206" t="s">
        <v>7992</v>
      </c>
      <c r="ZX30" s="206" t="s">
        <v>7992</v>
      </c>
      <c r="ZY30" s="206" t="s">
        <v>7992</v>
      </c>
      <c r="ZZ30" s="206" t="s">
        <v>7992</v>
      </c>
      <c r="AAA30" s="206" t="s">
        <v>7992</v>
      </c>
      <c r="AAB30" s="206" t="s">
        <v>7992</v>
      </c>
      <c r="AAC30" s="206" t="s">
        <v>7992</v>
      </c>
      <c r="AAD30" s="206" t="s">
        <v>7992</v>
      </c>
      <c r="AAE30" s="206" t="s">
        <v>7992</v>
      </c>
    </row>
    <row r="31" spans="1:727" s="206" customFormat="1" x14ac:dyDescent="0.25">
      <c r="A31" s="203" t="s">
        <v>3317</v>
      </c>
      <c r="B31" s="225" t="s">
        <v>7992</v>
      </c>
      <c r="C31" s="225" t="s">
        <v>7992</v>
      </c>
      <c r="D31" s="225" t="s">
        <v>7992</v>
      </c>
      <c r="E31" s="225" t="s">
        <v>7992</v>
      </c>
      <c r="F31" s="225" t="s">
        <v>7992</v>
      </c>
      <c r="G31" s="225" t="s">
        <v>7992</v>
      </c>
      <c r="H31" s="226" t="s">
        <v>7992</v>
      </c>
      <c r="I31" s="226" t="s">
        <v>7992</v>
      </c>
      <c r="J31" s="226" t="s">
        <v>7992</v>
      </c>
      <c r="K31" s="205" t="s">
        <v>7992</v>
      </c>
      <c r="L31" s="204" t="s">
        <v>7992</v>
      </c>
      <c r="M31" s="204" t="s">
        <v>7992</v>
      </c>
      <c r="N31" s="204" t="s">
        <v>7992</v>
      </c>
      <c r="O31" s="204" t="s">
        <v>7992</v>
      </c>
      <c r="P31" s="204" t="s">
        <v>7992</v>
      </c>
      <c r="Q31" s="204" t="s">
        <v>7992</v>
      </c>
      <c r="R31" s="204" t="s">
        <v>7992</v>
      </c>
      <c r="S31" s="204" t="s">
        <v>7992</v>
      </c>
      <c r="T31" s="207" t="s">
        <v>7992</v>
      </c>
      <c r="U31" s="207" t="s">
        <v>7992</v>
      </c>
      <c r="V31" s="204" t="s">
        <v>7992</v>
      </c>
      <c r="W31" s="204" t="s">
        <v>7992</v>
      </c>
      <c r="X31" s="207" t="s">
        <v>7992</v>
      </c>
      <c r="Y31" s="207" t="s">
        <v>7992</v>
      </c>
      <c r="Z31" s="204" t="s">
        <v>7992</v>
      </c>
      <c r="AA31" s="204" t="s">
        <v>7992</v>
      </c>
      <c r="AB31" s="204" t="s">
        <v>7992</v>
      </c>
      <c r="AC31" s="204" t="s">
        <v>7992</v>
      </c>
      <c r="AD31" s="204" t="s">
        <v>7992</v>
      </c>
      <c r="AE31" s="204" t="s">
        <v>7992</v>
      </c>
      <c r="AF31" s="204" t="s">
        <v>7992</v>
      </c>
      <c r="AG31" s="204" t="s">
        <v>7992</v>
      </c>
      <c r="AH31" s="204" t="s">
        <v>7992</v>
      </c>
      <c r="AI31" s="204" t="s">
        <v>7992</v>
      </c>
      <c r="AJ31" s="204" t="s">
        <v>7992</v>
      </c>
      <c r="AK31" s="204" t="s">
        <v>7992</v>
      </c>
      <c r="AL31" s="206" t="s">
        <v>7992</v>
      </c>
      <c r="AM31" s="206" t="s">
        <v>7992</v>
      </c>
      <c r="AN31" s="206" t="s">
        <v>7992</v>
      </c>
      <c r="AO31" s="206" t="s">
        <v>7992</v>
      </c>
      <c r="AP31" s="206" t="s">
        <v>7992</v>
      </c>
      <c r="AQ31" s="206" t="s">
        <v>7992</v>
      </c>
      <c r="AR31" s="206" t="s">
        <v>7992</v>
      </c>
      <c r="AS31" s="206" t="s">
        <v>7992</v>
      </c>
      <c r="AT31" s="206" t="s">
        <v>7992</v>
      </c>
      <c r="AU31" s="206" t="s">
        <v>7992</v>
      </c>
      <c r="AV31" s="206" t="s">
        <v>7992</v>
      </c>
      <c r="AW31" s="167" t="s">
        <v>7992</v>
      </c>
      <c r="AX31" s="206" t="s">
        <v>7992</v>
      </c>
      <c r="AY31" s="206" t="s">
        <v>7992</v>
      </c>
      <c r="AZ31" s="206" t="s">
        <v>7992</v>
      </c>
      <c r="BA31" s="206" t="s">
        <v>7992</v>
      </c>
      <c r="BB31" s="206" t="s">
        <v>7992</v>
      </c>
      <c r="BC31" s="206" t="s">
        <v>7992</v>
      </c>
      <c r="BD31" s="206" t="s">
        <v>7992</v>
      </c>
      <c r="BE31" s="206" t="s">
        <v>7992</v>
      </c>
      <c r="BF31" s="206" t="s">
        <v>7992</v>
      </c>
      <c r="BG31" s="206" t="s">
        <v>7992</v>
      </c>
      <c r="BH31" s="206" t="s">
        <v>7992</v>
      </c>
      <c r="BI31" s="206" t="s">
        <v>7992</v>
      </c>
      <c r="BJ31" s="206" t="s">
        <v>7992</v>
      </c>
      <c r="BK31" s="206" t="s">
        <v>7992</v>
      </c>
      <c r="BL31" s="206" t="s">
        <v>7992</v>
      </c>
      <c r="BM31" s="206" t="s">
        <v>7992</v>
      </c>
      <c r="BN31" s="206" t="s">
        <v>7992</v>
      </c>
      <c r="BO31" s="206" t="s">
        <v>7992</v>
      </c>
      <c r="BP31" s="206" t="s">
        <v>7992</v>
      </c>
      <c r="BQ31" s="206" t="s">
        <v>7992</v>
      </c>
      <c r="BR31" s="206" t="s">
        <v>7992</v>
      </c>
      <c r="BS31" s="206" t="s">
        <v>7992</v>
      </c>
      <c r="BT31" s="206" t="s">
        <v>7992</v>
      </c>
      <c r="BU31" s="206" t="s">
        <v>7992</v>
      </c>
      <c r="BV31" s="206" t="s">
        <v>7992</v>
      </c>
      <c r="BW31" s="206" t="s">
        <v>7992</v>
      </c>
      <c r="BX31" s="206" t="s">
        <v>7992</v>
      </c>
      <c r="BY31" s="206" t="s">
        <v>7992</v>
      </c>
      <c r="BZ31" s="206" t="s">
        <v>7992</v>
      </c>
      <c r="CA31" s="206" t="s">
        <v>7992</v>
      </c>
      <c r="CB31" s="206" t="s">
        <v>7992</v>
      </c>
      <c r="CC31" s="206" t="s">
        <v>7992</v>
      </c>
      <c r="CD31" s="206" t="s">
        <v>7992</v>
      </c>
      <c r="CE31" s="206" t="s">
        <v>7992</v>
      </c>
      <c r="CF31" s="206" t="s">
        <v>7992</v>
      </c>
      <c r="CG31" s="206" t="s">
        <v>7992</v>
      </c>
      <c r="CH31" s="206" t="s">
        <v>7992</v>
      </c>
      <c r="CI31" s="206" t="s">
        <v>7992</v>
      </c>
      <c r="CJ31" s="206" t="s">
        <v>7992</v>
      </c>
      <c r="CK31" s="206" t="s">
        <v>7992</v>
      </c>
      <c r="CL31" s="206" t="s">
        <v>7992</v>
      </c>
      <c r="CM31" s="206" t="s">
        <v>7992</v>
      </c>
      <c r="CN31" s="206" t="s">
        <v>7992</v>
      </c>
      <c r="CO31" s="206" t="s">
        <v>7992</v>
      </c>
      <c r="CP31" s="206" t="s">
        <v>7992</v>
      </c>
      <c r="CQ31" s="206" t="s">
        <v>7992</v>
      </c>
      <c r="CR31" s="206" t="s">
        <v>7992</v>
      </c>
      <c r="CS31" s="206" t="s">
        <v>7992</v>
      </c>
      <c r="CT31" s="206" t="s">
        <v>7992</v>
      </c>
      <c r="CU31" s="206" t="s">
        <v>7992</v>
      </c>
      <c r="CV31" s="206" t="s">
        <v>7992</v>
      </c>
      <c r="CW31" s="206" t="s">
        <v>7992</v>
      </c>
      <c r="CX31" s="206" t="s">
        <v>7992</v>
      </c>
      <c r="CY31" s="206" t="s">
        <v>7992</v>
      </c>
      <c r="CZ31" s="206" t="s">
        <v>7992</v>
      </c>
      <c r="DA31" s="206" t="s">
        <v>7992</v>
      </c>
      <c r="DB31" s="206" t="s">
        <v>7992</v>
      </c>
      <c r="DC31" s="206" t="s">
        <v>7992</v>
      </c>
      <c r="DD31" s="206" t="s">
        <v>7992</v>
      </c>
      <c r="DE31" s="206" t="s">
        <v>7992</v>
      </c>
      <c r="DF31" s="206" t="s">
        <v>7992</v>
      </c>
      <c r="DG31" s="206" t="s">
        <v>7992</v>
      </c>
      <c r="DH31" s="206" t="s">
        <v>7992</v>
      </c>
      <c r="DI31" s="206" t="s">
        <v>7992</v>
      </c>
      <c r="DJ31" s="206" t="s">
        <v>7992</v>
      </c>
      <c r="DK31" s="206" t="s">
        <v>7992</v>
      </c>
      <c r="DL31" s="206" t="s">
        <v>7992</v>
      </c>
      <c r="DM31" s="206" t="s">
        <v>7992</v>
      </c>
      <c r="DN31" s="206" t="s">
        <v>7992</v>
      </c>
      <c r="DO31" s="206" t="s">
        <v>7992</v>
      </c>
      <c r="DP31" s="206" t="s">
        <v>7992</v>
      </c>
      <c r="DQ31" s="206" t="s">
        <v>7992</v>
      </c>
      <c r="DR31" s="206" t="s">
        <v>7992</v>
      </c>
      <c r="DS31" s="206" t="s">
        <v>7992</v>
      </c>
      <c r="DT31" s="206" t="s">
        <v>7992</v>
      </c>
      <c r="DU31" s="206" t="s">
        <v>7992</v>
      </c>
      <c r="DV31" s="206" t="s">
        <v>7992</v>
      </c>
      <c r="DW31" s="206" t="s">
        <v>7992</v>
      </c>
      <c r="DX31" s="206" t="s">
        <v>7992</v>
      </c>
      <c r="DY31" s="206" t="s">
        <v>7992</v>
      </c>
      <c r="DZ31" s="206" t="s">
        <v>7992</v>
      </c>
      <c r="EA31" s="206" t="s">
        <v>7992</v>
      </c>
      <c r="EB31" s="206" t="s">
        <v>7992</v>
      </c>
      <c r="EC31" s="206" t="s">
        <v>7992</v>
      </c>
      <c r="ED31" s="206" t="s">
        <v>7992</v>
      </c>
      <c r="EE31" s="206" t="s">
        <v>7992</v>
      </c>
      <c r="EF31" s="206" t="s">
        <v>7992</v>
      </c>
      <c r="EG31" s="206" t="s">
        <v>7992</v>
      </c>
      <c r="EH31" s="206" t="s">
        <v>7992</v>
      </c>
      <c r="EI31" s="206" t="s">
        <v>7992</v>
      </c>
      <c r="EJ31" s="206" t="s">
        <v>7992</v>
      </c>
      <c r="EK31" s="206" t="s">
        <v>7992</v>
      </c>
      <c r="EL31" s="206" t="s">
        <v>7992</v>
      </c>
      <c r="EM31" s="206" t="s">
        <v>7992</v>
      </c>
      <c r="EN31" s="206" t="s">
        <v>7992</v>
      </c>
      <c r="EO31" s="206" t="s">
        <v>7992</v>
      </c>
      <c r="EP31" s="206" t="s">
        <v>7992</v>
      </c>
      <c r="EQ31" s="206" t="s">
        <v>7992</v>
      </c>
      <c r="ER31" s="206" t="s">
        <v>7992</v>
      </c>
      <c r="ES31" s="206" t="s">
        <v>7992</v>
      </c>
      <c r="ET31" s="206" t="s">
        <v>7992</v>
      </c>
      <c r="EU31" s="206" t="s">
        <v>7992</v>
      </c>
      <c r="EV31" s="206" t="s">
        <v>7992</v>
      </c>
      <c r="EW31" s="206" t="s">
        <v>7992</v>
      </c>
      <c r="EX31" s="206" t="s">
        <v>7992</v>
      </c>
      <c r="EY31" s="206" t="s">
        <v>7992</v>
      </c>
      <c r="EZ31" s="206" t="s">
        <v>7992</v>
      </c>
      <c r="FA31" s="206" t="s">
        <v>7992</v>
      </c>
      <c r="FB31" s="206" t="s">
        <v>7992</v>
      </c>
      <c r="FC31" s="206" t="s">
        <v>7992</v>
      </c>
      <c r="FD31" s="206" t="s">
        <v>7992</v>
      </c>
      <c r="FE31" s="206" t="s">
        <v>7992</v>
      </c>
      <c r="FF31" s="206" t="s">
        <v>7992</v>
      </c>
      <c r="FG31" s="206" t="s">
        <v>7992</v>
      </c>
      <c r="FH31" s="206" t="s">
        <v>7992</v>
      </c>
      <c r="FI31" s="206" t="s">
        <v>7992</v>
      </c>
      <c r="FJ31" s="206" t="s">
        <v>7992</v>
      </c>
      <c r="FK31" s="206" t="s">
        <v>7992</v>
      </c>
      <c r="FL31" s="206" t="s">
        <v>7992</v>
      </c>
      <c r="FM31" s="206" t="s">
        <v>7992</v>
      </c>
      <c r="FN31" s="206" t="s">
        <v>7992</v>
      </c>
      <c r="FO31" s="206" t="s">
        <v>7992</v>
      </c>
      <c r="FP31" s="206" t="s">
        <v>7992</v>
      </c>
      <c r="FQ31" s="206" t="s">
        <v>7992</v>
      </c>
      <c r="FR31" s="206" t="s">
        <v>7992</v>
      </c>
      <c r="FS31" s="206" t="s">
        <v>7992</v>
      </c>
      <c r="FT31" s="206" t="s">
        <v>7992</v>
      </c>
      <c r="FU31" s="206" t="s">
        <v>7992</v>
      </c>
      <c r="FV31" s="206" t="s">
        <v>7992</v>
      </c>
      <c r="FW31" s="206" t="s">
        <v>7992</v>
      </c>
      <c r="FX31" s="206" t="s">
        <v>7992</v>
      </c>
      <c r="FY31" s="206" t="s">
        <v>7992</v>
      </c>
      <c r="FZ31" s="206" t="s">
        <v>7992</v>
      </c>
      <c r="GA31" s="206" t="s">
        <v>7992</v>
      </c>
      <c r="GB31" s="206" t="s">
        <v>7992</v>
      </c>
      <c r="GC31" s="206" t="s">
        <v>7992</v>
      </c>
      <c r="GD31" s="206" t="s">
        <v>7992</v>
      </c>
      <c r="GE31" s="206" t="s">
        <v>7992</v>
      </c>
      <c r="GF31" s="206" t="s">
        <v>7992</v>
      </c>
      <c r="GG31" s="206" t="s">
        <v>7992</v>
      </c>
      <c r="GH31" s="206" t="s">
        <v>7992</v>
      </c>
      <c r="GI31" s="206" t="s">
        <v>7992</v>
      </c>
      <c r="GJ31" s="206" t="s">
        <v>7992</v>
      </c>
      <c r="GK31" s="206" t="s">
        <v>7992</v>
      </c>
      <c r="GL31" s="206" t="s">
        <v>7992</v>
      </c>
      <c r="GM31" s="206" t="s">
        <v>7992</v>
      </c>
      <c r="GN31" s="206" t="s">
        <v>7992</v>
      </c>
      <c r="GO31" s="206" t="s">
        <v>7992</v>
      </c>
      <c r="GP31" s="206" t="s">
        <v>7992</v>
      </c>
      <c r="GQ31" s="206" t="s">
        <v>7992</v>
      </c>
      <c r="GR31" s="206" t="s">
        <v>7992</v>
      </c>
      <c r="GS31" s="206" t="s">
        <v>7992</v>
      </c>
      <c r="GT31" s="206" t="s">
        <v>7992</v>
      </c>
      <c r="GU31" s="206" t="s">
        <v>7992</v>
      </c>
      <c r="GV31" s="206" t="s">
        <v>7992</v>
      </c>
      <c r="GW31" s="206" t="s">
        <v>7992</v>
      </c>
      <c r="GX31" s="206" t="s">
        <v>7992</v>
      </c>
      <c r="GY31" s="206" t="s">
        <v>7992</v>
      </c>
      <c r="GZ31" s="206" t="s">
        <v>7992</v>
      </c>
      <c r="HA31" s="206" t="s">
        <v>7992</v>
      </c>
      <c r="HB31" s="206" t="s">
        <v>7992</v>
      </c>
      <c r="HC31" s="206" t="s">
        <v>7992</v>
      </c>
      <c r="HD31" s="206" t="s">
        <v>7992</v>
      </c>
      <c r="HE31" s="206" t="s">
        <v>7992</v>
      </c>
      <c r="HF31" s="206" t="s">
        <v>7992</v>
      </c>
      <c r="HG31" s="206" t="s">
        <v>7992</v>
      </c>
      <c r="HH31" s="206" t="s">
        <v>7992</v>
      </c>
      <c r="HI31" s="206" t="s">
        <v>7992</v>
      </c>
      <c r="HJ31" s="206" t="s">
        <v>7992</v>
      </c>
      <c r="HK31" s="206" t="s">
        <v>7992</v>
      </c>
      <c r="HL31" s="206" t="s">
        <v>7992</v>
      </c>
      <c r="HM31" s="206" t="s">
        <v>7992</v>
      </c>
      <c r="HN31" s="206" t="s">
        <v>7992</v>
      </c>
      <c r="HO31" s="206" t="s">
        <v>7992</v>
      </c>
      <c r="HP31" s="206" t="s">
        <v>7992</v>
      </c>
      <c r="HQ31" s="206" t="s">
        <v>7992</v>
      </c>
      <c r="HR31" s="206" t="s">
        <v>7992</v>
      </c>
      <c r="HS31" s="206" t="s">
        <v>7992</v>
      </c>
      <c r="HT31" s="206" t="s">
        <v>7992</v>
      </c>
      <c r="HU31" s="206" t="s">
        <v>7992</v>
      </c>
      <c r="HV31" s="206" t="s">
        <v>7992</v>
      </c>
      <c r="HW31" s="206" t="s">
        <v>7992</v>
      </c>
      <c r="HX31" s="206" t="s">
        <v>7992</v>
      </c>
      <c r="HY31" s="206" t="s">
        <v>7992</v>
      </c>
      <c r="HZ31" s="206" t="s">
        <v>7992</v>
      </c>
      <c r="IA31" s="206" t="s">
        <v>7992</v>
      </c>
      <c r="IB31" s="206" t="s">
        <v>7992</v>
      </c>
      <c r="IC31" s="206" t="s">
        <v>7992</v>
      </c>
      <c r="ID31" s="206" t="s">
        <v>7992</v>
      </c>
      <c r="IE31" s="206" t="s">
        <v>7992</v>
      </c>
      <c r="IF31" s="206" t="s">
        <v>7992</v>
      </c>
      <c r="IG31" s="206" t="s">
        <v>7992</v>
      </c>
      <c r="IH31" s="206" t="s">
        <v>7992</v>
      </c>
      <c r="II31" s="206" t="s">
        <v>7992</v>
      </c>
      <c r="IJ31" s="206" t="s">
        <v>7992</v>
      </c>
      <c r="IK31" s="206" t="s">
        <v>7992</v>
      </c>
      <c r="IL31" s="206" t="s">
        <v>7992</v>
      </c>
      <c r="IM31" s="206" t="s">
        <v>7992</v>
      </c>
      <c r="IN31" s="206" t="s">
        <v>7992</v>
      </c>
      <c r="IO31" s="206" t="s">
        <v>7992</v>
      </c>
      <c r="IP31" s="206" t="s">
        <v>7992</v>
      </c>
      <c r="IQ31" s="206" t="s">
        <v>7992</v>
      </c>
      <c r="IR31" s="206" t="s">
        <v>7992</v>
      </c>
      <c r="IS31" s="206" t="s">
        <v>7992</v>
      </c>
      <c r="IT31" s="206" t="s">
        <v>7992</v>
      </c>
      <c r="IU31" s="206" t="s">
        <v>7992</v>
      </c>
      <c r="IV31" s="206" t="s">
        <v>7992</v>
      </c>
      <c r="IW31" s="206" t="s">
        <v>7992</v>
      </c>
      <c r="IX31" s="206" t="s">
        <v>7992</v>
      </c>
      <c r="IY31" s="206" t="s">
        <v>7992</v>
      </c>
      <c r="IZ31" s="206" t="s">
        <v>7992</v>
      </c>
      <c r="JA31" s="206" t="s">
        <v>7992</v>
      </c>
      <c r="JB31" s="206" t="s">
        <v>7992</v>
      </c>
      <c r="JC31" s="206" t="s">
        <v>7992</v>
      </c>
      <c r="JD31" s="206" t="s">
        <v>7992</v>
      </c>
      <c r="JE31" s="206" t="s">
        <v>7992</v>
      </c>
      <c r="JF31" s="206" t="s">
        <v>7992</v>
      </c>
      <c r="JG31" s="206" t="s">
        <v>7992</v>
      </c>
      <c r="JH31" s="206" t="s">
        <v>7992</v>
      </c>
      <c r="JI31" s="206" t="s">
        <v>7992</v>
      </c>
      <c r="JJ31" s="206" t="s">
        <v>7992</v>
      </c>
      <c r="JK31" s="206" t="s">
        <v>7992</v>
      </c>
      <c r="JL31" s="206" t="s">
        <v>7992</v>
      </c>
      <c r="JM31" s="206" t="s">
        <v>7992</v>
      </c>
      <c r="JN31" s="206" t="s">
        <v>7992</v>
      </c>
      <c r="JO31" s="206" t="s">
        <v>7992</v>
      </c>
      <c r="JP31" s="206" t="s">
        <v>7992</v>
      </c>
      <c r="JQ31" s="206" t="s">
        <v>7992</v>
      </c>
      <c r="JR31" s="206" t="s">
        <v>7992</v>
      </c>
      <c r="JS31" s="206" t="s">
        <v>7992</v>
      </c>
      <c r="JT31" s="206" t="s">
        <v>7992</v>
      </c>
      <c r="JU31" s="206" t="s">
        <v>7992</v>
      </c>
      <c r="JV31" s="206" t="s">
        <v>7992</v>
      </c>
      <c r="JW31" s="206" t="s">
        <v>7992</v>
      </c>
      <c r="JX31" s="206" t="s">
        <v>7992</v>
      </c>
      <c r="JY31" s="206" t="s">
        <v>7992</v>
      </c>
      <c r="JZ31" s="206" t="s">
        <v>7992</v>
      </c>
      <c r="KA31" s="206" t="s">
        <v>7992</v>
      </c>
      <c r="KB31" s="206" t="s">
        <v>7992</v>
      </c>
      <c r="KC31" s="206" t="s">
        <v>7992</v>
      </c>
      <c r="KD31" s="206" t="s">
        <v>7992</v>
      </c>
      <c r="KE31" s="206" t="s">
        <v>7992</v>
      </c>
      <c r="KF31" s="206" t="s">
        <v>7992</v>
      </c>
      <c r="KG31" s="206" t="s">
        <v>7992</v>
      </c>
      <c r="KH31" s="206" t="s">
        <v>7992</v>
      </c>
      <c r="KI31" s="206" t="s">
        <v>7992</v>
      </c>
      <c r="KJ31" s="206" t="s">
        <v>7992</v>
      </c>
      <c r="KK31" s="206" t="s">
        <v>7992</v>
      </c>
      <c r="KL31" s="206" t="s">
        <v>7992</v>
      </c>
      <c r="KM31" s="206" t="s">
        <v>7992</v>
      </c>
      <c r="KN31" s="206" t="s">
        <v>7992</v>
      </c>
      <c r="KO31" s="206" t="s">
        <v>7992</v>
      </c>
      <c r="KP31" s="206" t="s">
        <v>7992</v>
      </c>
      <c r="KQ31" s="206" t="s">
        <v>7992</v>
      </c>
      <c r="KR31" s="206" t="s">
        <v>7992</v>
      </c>
      <c r="KS31" s="206" t="s">
        <v>7992</v>
      </c>
      <c r="KT31" s="206" t="s">
        <v>7992</v>
      </c>
      <c r="KU31" s="206" t="s">
        <v>7992</v>
      </c>
      <c r="KV31" s="206" t="s">
        <v>7992</v>
      </c>
      <c r="KW31" s="206" t="s">
        <v>7992</v>
      </c>
      <c r="KX31" s="206" t="s">
        <v>7992</v>
      </c>
      <c r="KY31" s="206" t="s">
        <v>7992</v>
      </c>
      <c r="KZ31" s="206" t="s">
        <v>7992</v>
      </c>
      <c r="LA31" s="206" t="s">
        <v>7992</v>
      </c>
      <c r="LB31" s="206" t="s">
        <v>7992</v>
      </c>
      <c r="LC31" s="206" t="s">
        <v>7992</v>
      </c>
      <c r="LD31" s="206" t="s">
        <v>7992</v>
      </c>
      <c r="LE31" s="206" t="s">
        <v>7992</v>
      </c>
      <c r="LF31" s="206" t="s">
        <v>7992</v>
      </c>
      <c r="LG31" s="206" t="s">
        <v>7992</v>
      </c>
      <c r="LH31" s="206" t="s">
        <v>7992</v>
      </c>
      <c r="LI31" s="206" t="s">
        <v>7992</v>
      </c>
      <c r="LJ31" s="206" t="s">
        <v>7992</v>
      </c>
      <c r="LK31" s="206" t="s">
        <v>7992</v>
      </c>
      <c r="LL31" s="206" t="s">
        <v>7992</v>
      </c>
      <c r="LM31" s="206" t="s">
        <v>7992</v>
      </c>
      <c r="LN31" s="206" t="s">
        <v>7992</v>
      </c>
      <c r="LO31" s="206" t="s">
        <v>7992</v>
      </c>
      <c r="LP31" s="206" t="s">
        <v>7992</v>
      </c>
      <c r="LQ31" s="206" t="s">
        <v>7992</v>
      </c>
      <c r="LR31" s="206" t="s">
        <v>7992</v>
      </c>
      <c r="LS31" s="206" t="s">
        <v>7992</v>
      </c>
      <c r="LT31" s="206" t="s">
        <v>7992</v>
      </c>
      <c r="LU31" s="206" t="s">
        <v>7992</v>
      </c>
      <c r="LV31" s="206" t="s">
        <v>7992</v>
      </c>
      <c r="LW31" s="206" t="s">
        <v>7992</v>
      </c>
      <c r="LX31" s="206" t="s">
        <v>7992</v>
      </c>
      <c r="LY31" s="206" t="s">
        <v>7992</v>
      </c>
      <c r="LZ31" s="206" t="s">
        <v>7992</v>
      </c>
      <c r="MA31" s="206" t="s">
        <v>7992</v>
      </c>
      <c r="MB31" s="206" t="s">
        <v>7992</v>
      </c>
      <c r="MC31" s="206" t="s">
        <v>7992</v>
      </c>
      <c r="MD31" s="206" t="s">
        <v>7992</v>
      </c>
      <c r="ME31" s="206" t="s">
        <v>7992</v>
      </c>
      <c r="MF31" s="206" t="s">
        <v>7992</v>
      </c>
      <c r="MG31" s="206" t="s">
        <v>7992</v>
      </c>
      <c r="MH31" s="206" t="s">
        <v>7992</v>
      </c>
      <c r="MI31" s="206" t="s">
        <v>7992</v>
      </c>
      <c r="MJ31" s="206" t="s">
        <v>7992</v>
      </c>
      <c r="MK31" s="206" t="s">
        <v>7992</v>
      </c>
      <c r="ML31" s="206" t="s">
        <v>7992</v>
      </c>
      <c r="MM31" s="206" t="s">
        <v>7992</v>
      </c>
      <c r="MN31" s="206" t="s">
        <v>7992</v>
      </c>
      <c r="MO31" s="206" t="s">
        <v>7992</v>
      </c>
      <c r="MP31" s="206" t="s">
        <v>7992</v>
      </c>
      <c r="MQ31" s="206" t="s">
        <v>7992</v>
      </c>
      <c r="MR31" s="206" t="s">
        <v>7992</v>
      </c>
      <c r="MS31" s="206" t="s">
        <v>7992</v>
      </c>
      <c r="MT31" s="206" t="s">
        <v>7992</v>
      </c>
      <c r="MU31" s="206" t="s">
        <v>7992</v>
      </c>
      <c r="MV31" s="206" t="s">
        <v>7992</v>
      </c>
      <c r="MW31" s="206" t="s">
        <v>7992</v>
      </c>
      <c r="MX31" s="206" t="s">
        <v>7992</v>
      </c>
      <c r="MY31" s="206" t="s">
        <v>7992</v>
      </c>
      <c r="MZ31" s="206" t="s">
        <v>7992</v>
      </c>
      <c r="NA31" s="206" t="s">
        <v>7992</v>
      </c>
      <c r="NB31" s="206" t="s">
        <v>7992</v>
      </c>
      <c r="NC31" s="206" t="s">
        <v>7992</v>
      </c>
      <c r="ND31" s="206" t="s">
        <v>7992</v>
      </c>
      <c r="NE31" s="206" t="s">
        <v>7992</v>
      </c>
      <c r="NF31" s="206" t="s">
        <v>7992</v>
      </c>
      <c r="NG31" s="206" t="s">
        <v>7992</v>
      </c>
      <c r="NH31" s="206" t="s">
        <v>7992</v>
      </c>
      <c r="NI31" s="206" t="s">
        <v>7992</v>
      </c>
      <c r="NJ31" s="206" t="s">
        <v>7992</v>
      </c>
      <c r="NK31" s="206" t="s">
        <v>7992</v>
      </c>
      <c r="NL31" s="206" t="s">
        <v>7992</v>
      </c>
      <c r="NM31" s="206" t="s">
        <v>7992</v>
      </c>
      <c r="NN31" s="206" t="s">
        <v>7992</v>
      </c>
      <c r="NO31" s="206" t="s">
        <v>7992</v>
      </c>
      <c r="NP31" s="206" t="s">
        <v>7992</v>
      </c>
      <c r="NQ31" s="206" t="s">
        <v>7992</v>
      </c>
      <c r="NR31" s="206" t="s">
        <v>7992</v>
      </c>
      <c r="NS31" s="206" t="s">
        <v>7992</v>
      </c>
      <c r="NT31" s="206" t="s">
        <v>7992</v>
      </c>
      <c r="NU31" s="206" t="s">
        <v>7992</v>
      </c>
      <c r="NV31" s="206" t="s">
        <v>7992</v>
      </c>
      <c r="NW31" s="206" t="s">
        <v>7992</v>
      </c>
      <c r="NX31" s="206" t="s">
        <v>7992</v>
      </c>
      <c r="NY31" s="206" t="s">
        <v>7992</v>
      </c>
      <c r="NZ31" s="206" t="s">
        <v>7992</v>
      </c>
      <c r="OA31" s="206" t="s">
        <v>7992</v>
      </c>
      <c r="OB31" s="206" t="s">
        <v>7992</v>
      </c>
      <c r="OC31" s="206" t="s">
        <v>7992</v>
      </c>
      <c r="OD31" s="206" t="s">
        <v>7992</v>
      </c>
      <c r="OE31" s="206" t="s">
        <v>7992</v>
      </c>
      <c r="OF31" s="206" t="s">
        <v>7992</v>
      </c>
      <c r="OG31" s="206" t="s">
        <v>7992</v>
      </c>
      <c r="OH31" s="206" t="s">
        <v>7992</v>
      </c>
      <c r="OI31" s="206" t="s">
        <v>7992</v>
      </c>
      <c r="OJ31" s="206" t="s">
        <v>7992</v>
      </c>
      <c r="OK31" s="206" t="s">
        <v>7992</v>
      </c>
      <c r="OL31" s="206" t="s">
        <v>7992</v>
      </c>
      <c r="OM31" s="206" t="s">
        <v>7992</v>
      </c>
      <c r="ON31" s="206" t="s">
        <v>7992</v>
      </c>
      <c r="OO31" s="206" t="s">
        <v>7992</v>
      </c>
      <c r="OP31" s="206" t="s">
        <v>7992</v>
      </c>
      <c r="OQ31" s="206" t="s">
        <v>7992</v>
      </c>
      <c r="OR31" s="206" t="s">
        <v>7992</v>
      </c>
      <c r="OS31" s="206" t="s">
        <v>7992</v>
      </c>
      <c r="OT31" s="206" t="s">
        <v>7992</v>
      </c>
      <c r="OU31" s="206" t="s">
        <v>7992</v>
      </c>
      <c r="OV31" s="206" t="s">
        <v>7992</v>
      </c>
      <c r="OW31" s="206" t="s">
        <v>7992</v>
      </c>
      <c r="OX31" s="206" t="s">
        <v>7992</v>
      </c>
      <c r="OY31" s="206" t="s">
        <v>7992</v>
      </c>
      <c r="OZ31" s="206" t="s">
        <v>7992</v>
      </c>
      <c r="PA31" s="206" t="s">
        <v>7992</v>
      </c>
      <c r="PB31" s="206" t="s">
        <v>7992</v>
      </c>
      <c r="PC31" s="206" t="s">
        <v>7992</v>
      </c>
      <c r="PD31" s="206" t="s">
        <v>7992</v>
      </c>
      <c r="PE31" s="206" t="s">
        <v>7992</v>
      </c>
      <c r="PF31" s="206" t="s">
        <v>7992</v>
      </c>
      <c r="PG31" s="206" t="s">
        <v>7992</v>
      </c>
      <c r="PH31" s="206" t="s">
        <v>7992</v>
      </c>
      <c r="PI31" s="206" t="s">
        <v>7992</v>
      </c>
      <c r="PJ31" s="206" t="s">
        <v>7992</v>
      </c>
      <c r="PK31" s="206" t="s">
        <v>7992</v>
      </c>
      <c r="PL31" s="206" t="s">
        <v>7992</v>
      </c>
      <c r="PM31" s="206" t="s">
        <v>7992</v>
      </c>
      <c r="PN31" s="206" t="s">
        <v>7992</v>
      </c>
      <c r="PO31" s="206" t="s">
        <v>7992</v>
      </c>
      <c r="PP31" s="206" t="s">
        <v>7992</v>
      </c>
      <c r="PQ31" s="206" t="s">
        <v>7992</v>
      </c>
      <c r="PR31" s="206" t="s">
        <v>7992</v>
      </c>
      <c r="PS31" s="206" t="s">
        <v>7992</v>
      </c>
      <c r="PT31" s="206" t="s">
        <v>7992</v>
      </c>
      <c r="PU31" s="206" t="s">
        <v>7992</v>
      </c>
      <c r="PV31" s="206" t="s">
        <v>7992</v>
      </c>
      <c r="PW31" s="206" t="s">
        <v>7992</v>
      </c>
      <c r="PX31" s="206" t="s">
        <v>7992</v>
      </c>
      <c r="PY31" s="206" t="s">
        <v>7992</v>
      </c>
      <c r="PZ31" s="206" t="s">
        <v>7992</v>
      </c>
      <c r="QA31" s="206" t="s">
        <v>7992</v>
      </c>
      <c r="QB31" s="206" t="s">
        <v>7992</v>
      </c>
      <c r="QC31" s="206" t="s">
        <v>7992</v>
      </c>
      <c r="QD31" s="206" t="s">
        <v>7992</v>
      </c>
      <c r="QE31" s="206" t="s">
        <v>7992</v>
      </c>
      <c r="QF31" s="206" t="s">
        <v>7992</v>
      </c>
      <c r="QG31" s="206" t="s">
        <v>7992</v>
      </c>
      <c r="QH31" s="206" t="s">
        <v>7992</v>
      </c>
      <c r="QI31" s="206" t="s">
        <v>7992</v>
      </c>
      <c r="QJ31" s="206" t="s">
        <v>7992</v>
      </c>
      <c r="QK31" s="206" t="s">
        <v>7992</v>
      </c>
      <c r="QL31" s="206" t="s">
        <v>7992</v>
      </c>
      <c r="QM31" s="206" t="s">
        <v>7992</v>
      </c>
      <c r="QN31" s="206" t="s">
        <v>7992</v>
      </c>
      <c r="QO31" s="206" t="s">
        <v>7992</v>
      </c>
      <c r="QP31" s="206" t="s">
        <v>7992</v>
      </c>
      <c r="QQ31" s="206" t="s">
        <v>7992</v>
      </c>
      <c r="QR31" s="206" t="s">
        <v>7992</v>
      </c>
      <c r="QS31" s="206" t="s">
        <v>7992</v>
      </c>
      <c r="QT31" s="206" t="s">
        <v>7992</v>
      </c>
      <c r="QU31" s="206" t="s">
        <v>7992</v>
      </c>
      <c r="QV31" s="206" t="s">
        <v>7992</v>
      </c>
      <c r="QW31" s="206" t="s">
        <v>7992</v>
      </c>
      <c r="QX31" s="206" t="s">
        <v>7992</v>
      </c>
      <c r="QY31" s="206" t="s">
        <v>7992</v>
      </c>
      <c r="QZ31" s="206" t="s">
        <v>7992</v>
      </c>
      <c r="RA31" s="206" t="s">
        <v>7992</v>
      </c>
      <c r="RB31" s="206" t="s">
        <v>7992</v>
      </c>
      <c r="RC31" s="206" t="s">
        <v>7992</v>
      </c>
      <c r="RD31" s="206" t="s">
        <v>7992</v>
      </c>
      <c r="RE31" s="206" t="s">
        <v>7992</v>
      </c>
      <c r="RF31" s="206" t="s">
        <v>7992</v>
      </c>
      <c r="RG31" s="206" t="s">
        <v>7992</v>
      </c>
      <c r="RH31" s="206" t="s">
        <v>7992</v>
      </c>
      <c r="RI31" s="206" t="s">
        <v>7992</v>
      </c>
      <c r="RJ31" s="206" t="s">
        <v>7992</v>
      </c>
      <c r="RK31" s="206" t="s">
        <v>7992</v>
      </c>
      <c r="RL31" s="206" t="s">
        <v>7992</v>
      </c>
      <c r="RM31" s="206" t="s">
        <v>7992</v>
      </c>
      <c r="RN31" s="206" t="s">
        <v>7992</v>
      </c>
      <c r="RO31" s="206" t="s">
        <v>7992</v>
      </c>
      <c r="RP31" s="206" t="s">
        <v>7992</v>
      </c>
      <c r="RQ31" s="206" t="s">
        <v>7992</v>
      </c>
      <c r="RR31" s="206" t="s">
        <v>7992</v>
      </c>
      <c r="RS31" s="206" t="s">
        <v>7992</v>
      </c>
      <c r="RT31" s="206" t="s">
        <v>7992</v>
      </c>
      <c r="RU31" s="206" t="s">
        <v>7992</v>
      </c>
      <c r="RV31" s="206" t="s">
        <v>7992</v>
      </c>
      <c r="RW31" s="206" t="s">
        <v>7992</v>
      </c>
      <c r="RX31" s="206" t="s">
        <v>7992</v>
      </c>
      <c r="RY31" s="206" t="s">
        <v>7992</v>
      </c>
      <c r="RZ31" s="206" t="s">
        <v>7992</v>
      </c>
      <c r="SA31" s="206" t="s">
        <v>7992</v>
      </c>
      <c r="SB31" s="206" t="s">
        <v>7992</v>
      </c>
      <c r="SC31" s="206" t="s">
        <v>7992</v>
      </c>
      <c r="SD31" s="206" t="s">
        <v>7992</v>
      </c>
      <c r="SE31" s="206" t="s">
        <v>7992</v>
      </c>
      <c r="SF31" s="206" t="s">
        <v>7992</v>
      </c>
      <c r="SG31" s="206" t="s">
        <v>7992</v>
      </c>
      <c r="SH31" s="206" t="s">
        <v>7992</v>
      </c>
      <c r="SI31" s="206" t="s">
        <v>7992</v>
      </c>
      <c r="SJ31" s="206" t="s">
        <v>7992</v>
      </c>
      <c r="SK31" s="206" t="s">
        <v>7992</v>
      </c>
      <c r="SL31" s="206" t="s">
        <v>7992</v>
      </c>
      <c r="SM31" s="206" t="s">
        <v>7992</v>
      </c>
      <c r="SN31" s="206" t="s">
        <v>7992</v>
      </c>
      <c r="SO31" s="206" t="s">
        <v>7992</v>
      </c>
      <c r="SP31" s="206" t="s">
        <v>7992</v>
      </c>
      <c r="SQ31" s="206" t="s">
        <v>7992</v>
      </c>
      <c r="SR31" s="206" t="s">
        <v>7992</v>
      </c>
      <c r="SS31" s="206" t="s">
        <v>7992</v>
      </c>
      <c r="ST31" s="206" t="s">
        <v>7992</v>
      </c>
      <c r="SU31" s="206" t="s">
        <v>7992</v>
      </c>
      <c r="SV31" s="206" t="s">
        <v>7992</v>
      </c>
      <c r="SW31" s="206" t="s">
        <v>7992</v>
      </c>
      <c r="SX31" s="206" t="s">
        <v>7992</v>
      </c>
      <c r="SY31" s="206" t="s">
        <v>7992</v>
      </c>
      <c r="SZ31" s="206" t="s">
        <v>7992</v>
      </c>
      <c r="TA31" s="206" t="s">
        <v>7992</v>
      </c>
      <c r="TB31" s="206" t="s">
        <v>7992</v>
      </c>
      <c r="TC31" s="206" t="s">
        <v>7992</v>
      </c>
      <c r="TD31" s="206" t="s">
        <v>7992</v>
      </c>
      <c r="TE31" s="206" t="s">
        <v>7992</v>
      </c>
      <c r="TF31" s="206" t="s">
        <v>7992</v>
      </c>
      <c r="TG31" s="206" t="s">
        <v>7992</v>
      </c>
      <c r="TH31" s="206" t="s">
        <v>7992</v>
      </c>
      <c r="TI31" s="206" t="s">
        <v>7992</v>
      </c>
      <c r="TJ31" s="206" t="s">
        <v>7992</v>
      </c>
      <c r="TK31" s="206" t="s">
        <v>7992</v>
      </c>
      <c r="TL31" s="206" t="s">
        <v>7992</v>
      </c>
      <c r="TM31" s="206" t="s">
        <v>7992</v>
      </c>
      <c r="TN31" s="206" t="s">
        <v>7992</v>
      </c>
      <c r="TO31" s="206" t="s">
        <v>7992</v>
      </c>
      <c r="TP31" s="206" t="s">
        <v>7992</v>
      </c>
      <c r="TQ31" s="206" t="s">
        <v>7992</v>
      </c>
      <c r="TR31" s="206" t="s">
        <v>7992</v>
      </c>
      <c r="TS31" s="206" t="s">
        <v>7992</v>
      </c>
      <c r="TT31" s="206" t="s">
        <v>7992</v>
      </c>
      <c r="TU31" s="206" t="s">
        <v>7992</v>
      </c>
      <c r="TV31" s="206" t="s">
        <v>7992</v>
      </c>
      <c r="TW31" s="206" t="s">
        <v>7992</v>
      </c>
      <c r="TX31" s="206" t="s">
        <v>7992</v>
      </c>
      <c r="TY31" s="206" t="s">
        <v>7992</v>
      </c>
      <c r="TZ31" s="206" t="s">
        <v>7992</v>
      </c>
      <c r="UA31" s="206" t="s">
        <v>7992</v>
      </c>
      <c r="UB31" s="206" t="s">
        <v>7992</v>
      </c>
      <c r="UC31" s="206" t="s">
        <v>7992</v>
      </c>
      <c r="UD31" s="206" t="s">
        <v>7992</v>
      </c>
      <c r="UE31" s="206" t="s">
        <v>7992</v>
      </c>
      <c r="UF31" s="206" t="s">
        <v>7992</v>
      </c>
      <c r="UG31" s="206" t="s">
        <v>7992</v>
      </c>
      <c r="UH31" s="206" t="s">
        <v>7992</v>
      </c>
      <c r="UI31" s="206" t="s">
        <v>7992</v>
      </c>
      <c r="UJ31" s="206" t="s">
        <v>7992</v>
      </c>
      <c r="UK31" s="206" t="s">
        <v>7992</v>
      </c>
      <c r="UL31" s="206" t="s">
        <v>7992</v>
      </c>
      <c r="UM31" s="206" t="s">
        <v>7992</v>
      </c>
      <c r="UN31" s="206" t="s">
        <v>7992</v>
      </c>
      <c r="UO31" s="206" t="s">
        <v>7992</v>
      </c>
      <c r="UP31" s="206" t="s">
        <v>7992</v>
      </c>
      <c r="UQ31" s="206" t="s">
        <v>7992</v>
      </c>
      <c r="UR31" s="206" t="s">
        <v>7992</v>
      </c>
      <c r="US31" s="206" t="s">
        <v>7992</v>
      </c>
      <c r="UT31" s="206" t="s">
        <v>7992</v>
      </c>
      <c r="UU31" s="206" t="s">
        <v>7992</v>
      </c>
      <c r="UV31" s="206" t="s">
        <v>7992</v>
      </c>
      <c r="UW31" s="206" t="s">
        <v>7992</v>
      </c>
      <c r="UX31" s="206" t="s">
        <v>7992</v>
      </c>
      <c r="UY31" s="206" t="s">
        <v>7992</v>
      </c>
      <c r="UZ31" s="206" t="s">
        <v>7992</v>
      </c>
      <c r="VA31" s="206" t="s">
        <v>7992</v>
      </c>
      <c r="VB31" s="206" t="s">
        <v>7992</v>
      </c>
      <c r="VC31" s="206" t="s">
        <v>7992</v>
      </c>
      <c r="VD31" s="206" t="s">
        <v>7992</v>
      </c>
      <c r="VE31" s="206" t="s">
        <v>7992</v>
      </c>
      <c r="VF31" s="206" t="s">
        <v>7992</v>
      </c>
      <c r="VG31" s="206" t="s">
        <v>7992</v>
      </c>
      <c r="VH31" s="206" t="s">
        <v>7992</v>
      </c>
      <c r="VI31" s="206" t="s">
        <v>7992</v>
      </c>
      <c r="VJ31" s="206" t="s">
        <v>7992</v>
      </c>
      <c r="VK31" s="206" t="s">
        <v>7992</v>
      </c>
      <c r="VL31" s="206" t="s">
        <v>7992</v>
      </c>
      <c r="VM31" s="206" t="s">
        <v>7992</v>
      </c>
      <c r="VN31" s="206" t="s">
        <v>7992</v>
      </c>
      <c r="VO31" s="206" t="s">
        <v>7992</v>
      </c>
      <c r="VP31" s="206" t="s">
        <v>7992</v>
      </c>
      <c r="VQ31" s="206" t="s">
        <v>7992</v>
      </c>
      <c r="VR31" s="206" t="s">
        <v>7992</v>
      </c>
      <c r="VS31" s="206" t="s">
        <v>7992</v>
      </c>
      <c r="VT31" s="206" t="s">
        <v>7992</v>
      </c>
      <c r="VU31" s="206" t="s">
        <v>7992</v>
      </c>
      <c r="VV31" s="206" t="s">
        <v>7992</v>
      </c>
      <c r="VW31" s="206" t="s">
        <v>7992</v>
      </c>
      <c r="VX31" s="206" t="s">
        <v>7992</v>
      </c>
      <c r="VY31" s="206" t="s">
        <v>7992</v>
      </c>
      <c r="VZ31" s="206" t="s">
        <v>7992</v>
      </c>
      <c r="WA31" s="206" t="s">
        <v>7992</v>
      </c>
      <c r="WB31" s="206" t="s">
        <v>7992</v>
      </c>
      <c r="WC31" s="206" t="s">
        <v>7992</v>
      </c>
      <c r="WD31" s="206" t="s">
        <v>7992</v>
      </c>
      <c r="WE31" s="206" t="s">
        <v>7992</v>
      </c>
      <c r="WF31" s="206" t="s">
        <v>7992</v>
      </c>
      <c r="WG31" s="206" t="s">
        <v>7992</v>
      </c>
      <c r="WH31" s="206" t="s">
        <v>7992</v>
      </c>
      <c r="WI31" s="206" t="s">
        <v>7992</v>
      </c>
      <c r="WJ31" s="206" t="s">
        <v>7992</v>
      </c>
      <c r="WK31" s="206" t="s">
        <v>7992</v>
      </c>
      <c r="WL31" s="206" t="s">
        <v>7992</v>
      </c>
      <c r="WM31" s="206" t="s">
        <v>7992</v>
      </c>
      <c r="WN31" s="206" t="s">
        <v>7992</v>
      </c>
      <c r="WO31" s="206" t="s">
        <v>7992</v>
      </c>
      <c r="WP31" s="206" t="s">
        <v>7992</v>
      </c>
      <c r="WQ31" s="206" t="s">
        <v>7992</v>
      </c>
      <c r="WR31" s="206" t="s">
        <v>7992</v>
      </c>
      <c r="WS31" s="206" t="s">
        <v>7992</v>
      </c>
      <c r="WT31" s="206" t="s">
        <v>7992</v>
      </c>
      <c r="WU31" s="206" t="s">
        <v>7992</v>
      </c>
      <c r="WV31" s="206" t="s">
        <v>7992</v>
      </c>
      <c r="WW31" s="206" t="s">
        <v>7992</v>
      </c>
      <c r="WX31" s="206" t="s">
        <v>7992</v>
      </c>
      <c r="WY31" s="206" t="s">
        <v>7992</v>
      </c>
      <c r="WZ31" s="206" t="s">
        <v>7992</v>
      </c>
      <c r="XA31" s="206" t="s">
        <v>7992</v>
      </c>
      <c r="XB31" s="206" t="s">
        <v>7992</v>
      </c>
      <c r="XC31" s="206" t="s">
        <v>7992</v>
      </c>
      <c r="XD31" s="206" t="s">
        <v>7992</v>
      </c>
      <c r="XE31" s="206" t="s">
        <v>7992</v>
      </c>
      <c r="XF31" s="206" t="s">
        <v>7992</v>
      </c>
      <c r="XG31" s="206" t="s">
        <v>7992</v>
      </c>
      <c r="XH31" s="206" t="s">
        <v>7992</v>
      </c>
      <c r="XI31" s="206" t="s">
        <v>7992</v>
      </c>
      <c r="XJ31" s="206" t="s">
        <v>7992</v>
      </c>
      <c r="XK31" s="206" t="s">
        <v>7992</v>
      </c>
      <c r="XL31" s="206" t="s">
        <v>7992</v>
      </c>
      <c r="XM31" s="206" t="s">
        <v>7992</v>
      </c>
      <c r="XN31" s="206" t="s">
        <v>7992</v>
      </c>
      <c r="XO31" s="206" t="s">
        <v>7992</v>
      </c>
      <c r="XP31" s="206" t="s">
        <v>7992</v>
      </c>
      <c r="XQ31" s="206" t="s">
        <v>7992</v>
      </c>
      <c r="XR31" s="206" t="s">
        <v>7992</v>
      </c>
      <c r="XS31" s="206" t="s">
        <v>7992</v>
      </c>
      <c r="XT31" s="206" t="s">
        <v>7992</v>
      </c>
      <c r="XU31" s="206" t="s">
        <v>7992</v>
      </c>
      <c r="XV31" s="206" t="s">
        <v>7992</v>
      </c>
      <c r="XW31" s="206" t="s">
        <v>7992</v>
      </c>
      <c r="XX31" s="206" t="s">
        <v>7992</v>
      </c>
      <c r="XY31" s="206" t="s">
        <v>7992</v>
      </c>
      <c r="XZ31" s="206" t="s">
        <v>7992</v>
      </c>
      <c r="YA31" s="206" t="s">
        <v>7992</v>
      </c>
      <c r="YB31" s="206" t="s">
        <v>7992</v>
      </c>
      <c r="YC31" s="206" t="s">
        <v>7992</v>
      </c>
      <c r="YD31" s="206" t="s">
        <v>7992</v>
      </c>
      <c r="YE31" s="206" t="s">
        <v>7992</v>
      </c>
      <c r="YF31" s="206" t="s">
        <v>7992</v>
      </c>
      <c r="YG31" s="206" t="s">
        <v>7992</v>
      </c>
      <c r="YH31" s="206" t="s">
        <v>7992</v>
      </c>
      <c r="YI31" s="206" t="s">
        <v>7992</v>
      </c>
      <c r="YJ31" s="206" t="s">
        <v>7992</v>
      </c>
      <c r="YK31" s="206" t="s">
        <v>7992</v>
      </c>
      <c r="YL31" s="206" t="s">
        <v>7992</v>
      </c>
      <c r="YM31" s="206" t="s">
        <v>7992</v>
      </c>
      <c r="YN31" s="206" t="s">
        <v>7992</v>
      </c>
      <c r="YO31" s="206" t="s">
        <v>7992</v>
      </c>
      <c r="YP31" s="206" t="s">
        <v>7992</v>
      </c>
      <c r="YQ31" s="206" t="s">
        <v>7992</v>
      </c>
      <c r="YR31" s="206" t="s">
        <v>7992</v>
      </c>
      <c r="YS31" s="206" t="s">
        <v>7992</v>
      </c>
      <c r="YT31" s="206" t="s">
        <v>7992</v>
      </c>
      <c r="YU31" s="206" t="s">
        <v>7992</v>
      </c>
      <c r="YV31" s="206" t="s">
        <v>7992</v>
      </c>
      <c r="YW31" s="206" t="s">
        <v>7992</v>
      </c>
      <c r="YX31" s="206" t="s">
        <v>7992</v>
      </c>
      <c r="YY31" s="206" t="s">
        <v>7992</v>
      </c>
      <c r="YZ31" s="206" t="s">
        <v>7992</v>
      </c>
      <c r="ZA31" s="206" t="s">
        <v>7992</v>
      </c>
      <c r="ZB31" s="206" t="s">
        <v>7992</v>
      </c>
      <c r="ZC31" s="206" t="s">
        <v>7992</v>
      </c>
      <c r="ZD31" s="206" t="s">
        <v>7992</v>
      </c>
      <c r="ZE31" s="206" t="s">
        <v>7992</v>
      </c>
      <c r="ZF31" s="206" t="s">
        <v>7992</v>
      </c>
      <c r="ZG31" s="206" t="s">
        <v>7992</v>
      </c>
      <c r="ZH31" s="206" t="s">
        <v>7992</v>
      </c>
      <c r="ZI31" s="206" t="s">
        <v>7992</v>
      </c>
      <c r="ZJ31" s="206" t="s">
        <v>7992</v>
      </c>
      <c r="ZK31" s="206" t="s">
        <v>7992</v>
      </c>
      <c r="ZL31" s="206" t="s">
        <v>7992</v>
      </c>
      <c r="ZM31" s="206" t="s">
        <v>7992</v>
      </c>
      <c r="ZN31" s="206" t="s">
        <v>7992</v>
      </c>
      <c r="ZO31" s="206" t="s">
        <v>7992</v>
      </c>
      <c r="ZP31" s="206" t="s">
        <v>7992</v>
      </c>
      <c r="ZQ31" s="206" t="s">
        <v>7992</v>
      </c>
      <c r="ZR31" s="206" t="s">
        <v>7992</v>
      </c>
      <c r="ZS31" s="206" t="s">
        <v>7992</v>
      </c>
      <c r="ZT31" s="206" t="s">
        <v>7992</v>
      </c>
      <c r="ZU31" s="206" t="s">
        <v>7992</v>
      </c>
      <c r="ZV31" s="206" t="s">
        <v>7992</v>
      </c>
      <c r="ZW31" s="206" t="s">
        <v>7992</v>
      </c>
      <c r="ZX31" s="206" t="s">
        <v>7992</v>
      </c>
      <c r="ZY31" s="206" t="s">
        <v>7992</v>
      </c>
      <c r="ZZ31" s="206" t="s">
        <v>7992</v>
      </c>
      <c r="AAA31" s="206" t="s">
        <v>7992</v>
      </c>
      <c r="AAB31" s="206" t="s">
        <v>7992</v>
      </c>
      <c r="AAC31" s="206" t="s">
        <v>7992</v>
      </c>
      <c r="AAD31" s="206" t="s">
        <v>7992</v>
      </c>
      <c r="AAE31" s="206" t="s">
        <v>7992</v>
      </c>
    </row>
    <row r="32" spans="1:727" s="206" customFormat="1" x14ac:dyDescent="0.25">
      <c r="A32" s="203" t="s">
        <v>3328</v>
      </c>
      <c r="B32" s="225" t="s">
        <v>7992</v>
      </c>
      <c r="C32" s="225" t="s">
        <v>7992</v>
      </c>
      <c r="D32" s="225" t="s">
        <v>7992</v>
      </c>
      <c r="E32" s="225" t="s">
        <v>7992</v>
      </c>
      <c r="F32" s="225" t="s">
        <v>7992</v>
      </c>
      <c r="G32" s="225" t="s">
        <v>7992</v>
      </c>
      <c r="H32" s="226" t="s">
        <v>7992</v>
      </c>
      <c r="I32" s="227" t="s">
        <v>7992</v>
      </c>
      <c r="J32" s="227" t="s">
        <v>7992</v>
      </c>
      <c r="K32" s="206" t="s">
        <v>7992</v>
      </c>
      <c r="L32" s="206" t="s">
        <v>7992</v>
      </c>
      <c r="M32" s="208" t="s">
        <v>7992</v>
      </c>
      <c r="N32" s="206" t="s">
        <v>7992</v>
      </c>
      <c r="O32" s="208" t="s">
        <v>7992</v>
      </c>
      <c r="P32" s="206" t="s">
        <v>7992</v>
      </c>
      <c r="Q32" s="206" t="s">
        <v>7992</v>
      </c>
      <c r="R32" s="206" t="s">
        <v>7992</v>
      </c>
      <c r="S32" s="206" t="s">
        <v>7992</v>
      </c>
      <c r="T32" s="206" t="s">
        <v>7992</v>
      </c>
      <c r="U32" s="206" t="s">
        <v>7992</v>
      </c>
      <c r="V32" s="206" t="s">
        <v>7992</v>
      </c>
      <c r="W32" s="206" t="s">
        <v>7992</v>
      </c>
      <c r="X32" s="206" t="s">
        <v>7992</v>
      </c>
      <c r="Y32" s="206" t="s">
        <v>7992</v>
      </c>
      <c r="Z32" s="167" t="s">
        <v>7992</v>
      </c>
      <c r="AA32" s="206" t="s">
        <v>7992</v>
      </c>
      <c r="AB32" s="206" t="s">
        <v>7992</v>
      </c>
      <c r="AC32" s="206" t="s">
        <v>7992</v>
      </c>
      <c r="AD32" s="206" t="s">
        <v>7992</v>
      </c>
      <c r="AE32" s="206" t="s">
        <v>7992</v>
      </c>
      <c r="AF32" s="206" t="s">
        <v>7992</v>
      </c>
      <c r="AG32" s="206" t="s">
        <v>7992</v>
      </c>
      <c r="AH32" s="206" t="s">
        <v>7992</v>
      </c>
      <c r="AI32" s="206" t="s">
        <v>7992</v>
      </c>
      <c r="AJ32" s="206" t="s">
        <v>7992</v>
      </c>
      <c r="AK32" s="206" t="s">
        <v>7992</v>
      </c>
      <c r="AL32" s="206" t="s">
        <v>7992</v>
      </c>
      <c r="AM32" s="206" t="s">
        <v>7992</v>
      </c>
      <c r="AN32" s="206" t="s">
        <v>7992</v>
      </c>
      <c r="AO32" s="206" t="s">
        <v>7992</v>
      </c>
      <c r="AP32" s="206" t="s">
        <v>7992</v>
      </c>
      <c r="AQ32" s="206" t="s">
        <v>7992</v>
      </c>
      <c r="AR32" s="206" t="s">
        <v>7992</v>
      </c>
      <c r="AS32" s="206" t="s">
        <v>7992</v>
      </c>
      <c r="AT32" s="206" t="s">
        <v>7992</v>
      </c>
      <c r="AU32" s="206" t="s">
        <v>7992</v>
      </c>
      <c r="AV32" s="206" t="s">
        <v>7992</v>
      </c>
      <c r="AW32" s="167" t="s">
        <v>7992</v>
      </c>
      <c r="AX32" s="206" t="s">
        <v>7992</v>
      </c>
      <c r="AY32" s="206" t="s">
        <v>7992</v>
      </c>
      <c r="AZ32" s="206" t="s">
        <v>7992</v>
      </c>
      <c r="BA32" s="206" t="s">
        <v>7992</v>
      </c>
      <c r="BB32" s="206" t="s">
        <v>7992</v>
      </c>
      <c r="BC32" s="206" t="s">
        <v>7992</v>
      </c>
      <c r="BD32" s="206" t="s">
        <v>7992</v>
      </c>
      <c r="BE32" s="206" t="s">
        <v>7992</v>
      </c>
      <c r="BF32" s="206" t="s">
        <v>7992</v>
      </c>
      <c r="BG32" s="206" t="s">
        <v>7992</v>
      </c>
      <c r="BH32" s="206" t="s">
        <v>7992</v>
      </c>
      <c r="BI32" s="206" t="s">
        <v>7992</v>
      </c>
      <c r="BJ32" s="206" t="s">
        <v>7992</v>
      </c>
      <c r="BK32" s="206" t="s">
        <v>7992</v>
      </c>
      <c r="BL32" s="206" t="s">
        <v>7992</v>
      </c>
      <c r="BM32" s="206" t="s">
        <v>7992</v>
      </c>
      <c r="BN32" s="206" t="s">
        <v>7992</v>
      </c>
      <c r="BO32" s="206" t="s">
        <v>7992</v>
      </c>
      <c r="BP32" s="206" t="s">
        <v>7992</v>
      </c>
      <c r="BQ32" s="206" t="s">
        <v>7992</v>
      </c>
      <c r="BR32" s="206" t="s">
        <v>7992</v>
      </c>
      <c r="BS32" s="206" t="s">
        <v>7992</v>
      </c>
      <c r="BT32" s="206" t="s">
        <v>7992</v>
      </c>
      <c r="BU32" s="206" t="s">
        <v>7992</v>
      </c>
      <c r="BV32" s="206" t="s">
        <v>7992</v>
      </c>
      <c r="BW32" s="206" t="s">
        <v>7992</v>
      </c>
      <c r="BX32" s="206" t="s">
        <v>7992</v>
      </c>
      <c r="BY32" s="206" t="s">
        <v>7992</v>
      </c>
      <c r="BZ32" s="206" t="s">
        <v>7992</v>
      </c>
      <c r="CA32" s="206" t="s">
        <v>7992</v>
      </c>
      <c r="CB32" s="206" t="s">
        <v>7992</v>
      </c>
      <c r="CC32" s="206" t="s">
        <v>7992</v>
      </c>
      <c r="CD32" s="206" t="s">
        <v>7992</v>
      </c>
      <c r="CE32" s="206" t="s">
        <v>7992</v>
      </c>
      <c r="CF32" s="206" t="s">
        <v>7992</v>
      </c>
      <c r="CG32" s="206" t="s">
        <v>7992</v>
      </c>
      <c r="CH32" s="206" t="s">
        <v>7992</v>
      </c>
      <c r="CI32" s="206" t="s">
        <v>7992</v>
      </c>
      <c r="CJ32" s="206" t="s">
        <v>7992</v>
      </c>
      <c r="CK32" s="206" t="s">
        <v>7992</v>
      </c>
      <c r="CL32" s="206" t="s">
        <v>7992</v>
      </c>
      <c r="CM32" s="206" t="s">
        <v>7992</v>
      </c>
      <c r="CN32" s="206" t="s">
        <v>7992</v>
      </c>
      <c r="CO32" s="206" t="s">
        <v>7992</v>
      </c>
      <c r="CP32" s="206" t="s">
        <v>7992</v>
      </c>
      <c r="CQ32" s="206" t="s">
        <v>7992</v>
      </c>
      <c r="CR32" s="206" t="s">
        <v>7992</v>
      </c>
      <c r="CS32" s="206" t="s">
        <v>7992</v>
      </c>
      <c r="CT32" s="206" t="s">
        <v>7992</v>
      </c>
      <c r="CU32" s="206" t="s">
        <v>7992</v>
      </c>
      <c r="CV32" s="206" t="s">
        <v>7992</v>
      </c>
      <c r="CW32" s="206" t="s">
        <v>7992</v>
      </c>
      <c r="CX32" s="206" t="s">
        <v>7992</v>
      </c>
      <c r="CY32" s="206" t="s">
        <v>7992</v>
      </c>
      <c r="CZ32" s="206" t="s">
        <v>7992</v>
      </c>
      <c r="DA32" s="206" t="s">
        <v>7992</v>
      </c>
      <c r="DB32" s="206" t="s">
        <v>7992</v>
      </c>
      <c r="DC32" s="206" t="s">
        <v>7992</v>
      </c>
      <c r="DD32" s="206" t="s">
        <v>7992</v>
      </c>
      <c r="DE32" s="206" t="s">
        <v>7992</v>
      </c>
      <c r="DF32" s="206" t="s">
        <v>7992</v>
      </c>
      <c r="DG32" s="206" t="s">
        <v>7992</v>
      </c>
      <c r="DH32" s="206" t="s">
        <v>7992</v>
      </c>
      <c r="DI32" s="206" t="s">
        <v>7992</v>
      </c>
      <c r="DJ32" s="206" t="s">
        <v>7992</v>
      </c>
      <c r="DK32" s="206" t="s">
        <v>7992</v>
      </c>
      <c r="DL32" s="206" t="s">
        <v>7992</v>
      </c>
      <c r="DM32" s="206" t="s">
        <v>7992</v>
      </c>
      <c r="DN32" s="206" t="s">
        <v>7992</v>
      </c>
      <c r="DO32" s="206" t="s">
        <v>7992</v>
      </c>
      <c r="DP32" s="206" t="s">
        <v>7992</v>
      </c>
      <c r="DQ32" s="206" t="s">
        <v>7992</v>
      </c>
      <c r="DR32" s="206" t="s">
        <v>7992</v>
      </c>
      <c r="DS32" s="206" t="s">
        <v>7992</v>
      </c>
      <c r="DT32" s="206" t="s">
        <v>7992</v>
      </c>
      <c r="DU32" s="206" t="s">
        <v>7992</v>
      </c>
      <c r="DV32" s="206" t="s">
        <v>7992</v>
      </c>
      <c r="DW32" s="206" t="s">
        <v>7992</v>
      </c>
      <c r="DX32" s="206" t="s">
        <v>7992</v>
      </c>
      <c r="DY32" s="206" t="s">
        <v>7992</v>
      </c>
      <c r="DZ32" s="206" t="s">
        <v>7992</v>
      </c>
      <c r="EA32" s="206" t="s">
        <v>7992</v>
      </c>
      <c r="EB32" s="206" t="s">
        <v>7992</v>
      </c>
      <c r="EC32" s="206" t="s">
        <v>7992</v>
      </c>
      <c r="ED32" s="206" t="s">
        <v>7992</v>
      </c>
      <c r="EE32" s="206" t="s">
        <v>7992</v>
      </c>
      <c r="EF32" s="206" t="s">
        <v>7992</v>
      </c>
      <c r="EG32" s="206" t="s">
        <v>7992</v>
      </c>
      <c r="EH32" s="206" t="s">
        <v>7992</v>
      </c>
      <c r="EI32" s="206" t="s">
        <v>7992</v>
      </c>
      <c r="EJ32" s="206" t="s">
        <v>7992</v>
      </c>
      <c r="EK32" s="206" t="s">
        <v>7992</v>
      </c>
      <c r="EL32" s="206" t="s">
        <v>7992</v>
      </c>
      <c r="EM32" s="206" t="s">
        <v>7992</v>
      </c>
      <c r="EN32" s="206" t="s">
        <v>7992</v>
      </c>
      <c r="EO32" s="206" t="s">
        <v>7992</v>
      </c>
      <c r="EP32" s="206" t="s">
        <v>7992</v>
      </c>
      <c r="EQ32" s="206" t="s">
        <v>7992</v>
      </c>
      <c r="ER32" s="206" t="s">
        <v>7992</v>
      </c>
      <c r="ES32" s="206" t="s">
        <v>7992</v>
      </c>
      <c r="ET32" s="206" t="s">
        <v>7992</v>
      </c>
      <c r="EU32" s="206" t="s">
        <v>7992</v>
      </c>
      <c r="EV32" s="206" t="s">
        <v>7992</v>
      </c>
      <c r="EW32" s="206" t="s">
        <v>7992</v>
      </c>
      <c r="EX32" s="206" t="s">
        <v>7992</v>
      </c>
      <c r="EY32" s="206" t="s">
        <v>7992</v>
      </c>
      <c r="EZ32" s="206" t="s">
        <v>7992</v>
      </c>
      <c r="FA32" s="206" t="s">
        <v>7992</v>
      </c>
      <c r="FB32" s="206" t="s">
        <v>7992</v>
      </c>
      <c r="FC32" s="206" t="s">
        <v>7992</v>
      </c>
      <c r="FD32" s="206" t="s">
        <v>7992</v>
      </c>
      <c r="FE32" s="206" t="s">
        <v>7992</v>
      </c>
      <c r="FF32" s="206" t="s">
        <v>7992</v>
      </c>
      <c r="FG32" s="206" t="s">
        <v>7992</v>
      </c>
      <c r="FH32" s="206" t="s">
        <v>7992</v>
      </c>
      <c r="FI32" s="206" t="s">
        <v>7992</v>
      </c>
      <c r="FJ32" s="206" t="s">
        <v>7992</v>
      </c>
      <c r="FK32" s="206" t="s">
        <v>7992</v>
      </c>
      <c r="FL32" s="206" t="s">
        <v>7992</v>
      </c>
      <c r="FM32" s="206" t="s">
        <v>7992</v>
      </c>
      <c r="FN32" s="206" t="s">
        <v>7992</v>
      </c>
      <c r="FO32" s="206" t="s">
        <v>7992</v>
      </c>
      <c r="FP32" s="206" t="s">
        <v>7992</v>
      </c>
      <c r="FQ32" s="206" t="s">
        <v>7992</v>
      </c>
      <c r="FR32" s="206" t="s">
        <v>7992</v>
      </c>
      <c r="FS32" s="206" t="s">
        <v>7992</v>
      </c>
      <c r="FT32" s="206" t="s">
        <v>7992</v>
      </c>
      <c r="FU32" s="206" t="s">
        <v>7992</v>
      </c>
      <c r="FV32" s="206" t="s">
        <v>7992</v>
      </c>
      <c r="FW32" s="206" t="s">
        <v>7992</v>
      </c>
      <c r="FX32" s="206" t="s">
        <v>7992</v>
      </c>
      <c r="FY32" s="206" t="s">
        <v>7992</v>
      </c>
      <c r="FZ32" s="206" t="s">
        <v>7992</v>
      </c>
      <c r="GA32" s="206" t="s">
        <v>7992</v>
      </c>
      <c r="GB32" s="206" t="s">
        <v>7992</v>
      </c>
      <c r="GC32" s="206" t="s">
        <v>7992</v>
      </c>
      <c r="GD32" s="206" t="s">
        <v>7992</v>
      </c>
      <c r="GE32" s="206" t="s">
        <v>7992</v>
      </c>
      <c r="GF32" s="206" t="s">
        <v>7992</v>
      </c>
      <c r="GG32" s="206" t="s">
        <v>7992</v>
      </c>
      <c r="GH32" s="206" t="s">
        <v>7992</v>
      </c>
      <c r="GI32" s="206" t="s">
        <v>7992</v>
      </c>
      <c r="GJ32" s="206" t="s">
        <v>7992</v>
      </c>
      <c r="GK32" s="206" t="s">
        <v>7992</v>
      </c>
      <c r="GL32" s="206" t="s">
        <v>7992</v>
      </c>
      <c r="GM32" s="206" t="s">
        <v>7992</v>
      </c>
      <c r="GN32" s="206" t="s">
        <v>7992</v>
      </c>
      <c r="GO32" s="206" t="s">
        <v>7992</v>
      </c>
      <c r="GP32" s="206" t="s">
        <v>7992</v>
      </c>
      <c r="GQ32" s="206" t="s">
        <v>7992</v>
      </c>
      <c r="GR32" s="206" t="s">
        <v>7992</v>
      </c>
      <c r="GS32" s="206" t="s">
        <v>7992</v>
      </c>
      <c r="GT32" s="206" t="s">
        <v>7992</v>
      </c>
      <c r="GU32" s="206" t="s">
        <v>7992</v>
      </c>
      <c r="GV32" s="206" t="s">
        <v>7992</v>
      </c>
      <c r="GW32" s="206" t="s">
        <v>7992</v>
      </c>
      <c r="GX32" s="206" t="s">
        <v>7992</v>
      </c>
      <c r="GY32" s="206" t="s">
        <v>7992</v>
      </c>
      <c r="GZ32" s="206" t="s">
        <v>7992</v>
      </c>
      <c r="HA32" s="206" t="s">
        <v>7992</v>
      </c>
      <c r="HB32" s="206" t="s">
        <v>7992</v>
      </c>
      <c r="HC32" s="206" t="s">
        <v>7992</v>
      </c>
      <c r="HD32" s="206" t="s">
        <v>7992</v>
      </c>
      <c r="HE32" s="206" t="s">
        <v>7992</v>
      </c>
      <c r="HF32" s="206" t="s">
        <v>7992</v>
      </c>
      <c r="HG32" s="206" t="s">
        <v>7992</v>
      </c>
      <c r="HH32" s="206" t="s">
        <v>7992</v>
      </c>
      <c r="HI32" s="206" t="s">
        <v>7992</v>
      </c>
      <c r="HJ32" s="206" t="s">
        <v>7992</v>
      </c>
      <c r="HK32" s="206" t="s">
        <v>7992</v>
      </c>
      <c r="HL32" s="206" t="s">
        <v>7992</v>
      </c>
      <c r="HM32" s="206" t="s">
        <v>7992</v>
      </c>
      <c r="HN32" s="206" t="s">
        <v>7992</v>
      </c>
      <c r="HO32" s="206" t="s">
        <v>7992</v>
      </c>
      <c r="HP32" s="206" t="s">
        <v>7992</v>
      </c>
      <c r="HQ32" s="206" t="s">
        <v>7992</v>
      </c>
      <c r="HR32" s="206" t="s">
        <v>7992</v>
      </c>
      <c r="HS32" s="206" t="s">
        <v>7992</v>
      </c>
      <c r="HT32" s="206" t="s">
        <v>7992</v>
      </c>
      <c r="HU32" s="206" t="s">
        <v>7992</v>
      </c>
      <c r="HV32" s="206" t="s">
        <v>7992</v>
      </c>
      <c r="HW32" s="206" t="s">
        <v>7992</v>
      </c>
      <c r="HX32" s="206" t="s">
        <v>7992</v>
      </c>
      <c r="HY32" s="206" t="s">
        <v>7992</v>
      </c>
      <c r="HZ32" s="206" t="s">
        <v>7992</v>
      </c>
      <c r="IA32" s="206" t="s">
        <v>7992</v>
      </c>
      <c r="IB32" s="206" t="s">
        <v>7992</v>
      </c>
      <c r="IC32" s="206" t="s">
        <v>7992</v>
      </c>
      <c r="ID32" s="206" t="s">
        <v>7992</v>
      </c>
      <c r="IE32" s="206" t="s">
        <v>7992</v>
      </c>
      <c r="IF32" s="206" t="s">
        <v>7992</v>
      </c>
      <c r="IG32" s="206" t="s">
        <v>7992</v>
      </c>
      <c r="IH32" s="206" t="s">
        <v>7992</v>
      </c>
      <c r="II32" s="206" t="s">
        <v>7992</v>
      </c>
      <c r="IJ32" s="206" t="s">
        <v>7992</v>
      </c>
      <c r="IK32" s="206" t="s">
        <v>7992</v>
      </c>
      <c r="IL32" s="206" t="s">
        <v>7992</v>
      </c>
      <c r="IM32" s="206" t="s">
        <v>7992</v>
      </c>
      <c r="IN32" s="206" t="s">
        <v>7992</v>
      </c>
      <c r="IO32" s="206" t="s">
        <v>7992</v>
      </c>
      <c r="IP32" s="206" t="s">
        <v>7992</v>
      </c>
      <c r="IQ32" s="206" t="s">
        <v>7992</v>
      </c>
      <c r="IR32" s="206" t="s">
        <v>7992</v>
      </c>
      <c r="IS32" s="206" t="s">
        <v>7992</v>
      </c>
      <c r="IT32" s="206" t="s">
        <v>7992</v>
      </c>
      <c r="IU32" s="206" t="s">
        <v>7992</v>
      </c>
      <c r="IV32" s="206" t="s">
        <v>7992</v>
      </c>
      <c r="IW32" s="206" t="s">
        <v>7992</v>
      </c>
      <c r="IX32" s="206" t="s">
        <v>7992</v>
      </c>
      <c r="IY32" s="206" t="s">
        <v>7992</v>
      </c>
      <c r="IZ32" s="206" t="s">
        <v>7992</v>
      </c>
      <c r="JA32" s="206" t="s">
        <v>7992</v>
      </c>
      <c r="JB32" s="206" t="s">
        <v>7992</v>
      </c>
      <c r="JC32" s="206" t="s">
        <v>7992</v>
      </c>
      <c r="JD32" s="206" t="s">
        <v>7992</v>
      </c>
      <c r="JE32" s="206" t="s">
        <v>7992</v>
      </c>
      <c r="JF32" s="206" t="s">
        <v>7992</v>
      </c>
      <c r="JG32" s="206" t="s">
        <v>7992</v>
      </c>
      <c r="JH32" s="206" t="s">
        <v>7992</v>
      </c>
      <c r="JI32" s="206" t="s">
        <v>7992</v>
      </c>
      <c r="JJ32" s="206" t="s">
        <v>7992</v>
      </c>
      <c r="JK32" s="206" t="s">
        <v>7992</v>
      </c>
      <c r="JL32" s="206" t="s">
        <v>7992</v>
      </c>
      <c r="JM32" s="206" t="s">
        <v>7992</v>
      </c>
      <c r="JN32" s="206" t="s">
        <v>7992</v>
      </c>
      <c r="JO32" s="206" t="s">
        <v>7992</v>
      </c>
      <c r="JP32" s="206" t="s">
        <v>7992</v>
      </c>
      <c r="JQ32" s="206" t="s">
        <v>7992</v>
      </c>
      <c r="JR32" s="206" t="s">
        <v>7992</v>
      </c>
      <c r="JS32" s="206" t="s">
        <v>7992</v>
      </c>
      <c r="JT32" s="206" t="s">
        <v>7992</v>
      </c>
      <c r="JU32" s="206" t="s">
        <v>7992</v>
      </c>
      <c r="JV32" s="206" t="s">
        <v>7992</v>
      </c>
      <c r="JW32" s="206" t="s">
        <v>7992</v>
      </c>
      <c r="JX32" s="206" t="s">
        <v>7992</v>
      </c>
      <c r="JY32" s="206" t="s">
        <v>7992</v>
      </c>
      <c r="JZ32" s="206" t="s">
        <v>7992</v>
      </c>
      <c r="KA32" s="206" t="s">
        <v>7992</v>
      </c>
      <c r="KB32" s="206" t="s">
        <v>7992</v>
      </c>
      <c r="KC32" s="206" t="s">
        <v>7992</v>
      </c>
      <c r="KD32" s="206" t="s">
        <v>7992</v>
      </c>
      <c r="KE32" s="206" t="s">
        <v>7992</v>
      </c>
      <c r="KF32" s="206" t="s">
        <v>7992</v>
      </c>
      <c r="KG32" s="206" t="s">
        <v>7992</v>
      </c>
      <c r="KH32" s="206" t="s">
        <v>7992</v>
      </c>
      <c r="KI32" s="206" t="s">
        <v>7992</v>
      </c>
      <c r="KJ32" s="206" t="s">
        <v>7992</v>
      </c>
      <c r="KK32" s="206" t="s">
        <v>7992</v>
      </c>
      <c r="KL32" s="206" t="s">
        <v>7992</v>
      </c>
      <c r="KM32" s="206" t="s">
        <v>7992</v>
      </c>
      <c r="KN32" s="206" t="s">
        <v>7992</v>
      </c>
      <c r="KO32" s="206" t="s">
        <v>7992</v>
      </c>
      <c r="KP32" s="206" t="s">
        <v>7992</v>
      </c>
      <c r="KQ32" s="206" t="s">
        <v>7992</v>
      </c>
      <c r="KR32" s="206" t="s">
        <v>7992</v>
      </c>
      <c r="KS32" s="206" t="s">
        <v>7992</v>
      </c>
      <c r="KT32" s="206" t="s">
        <v>7992</v>
      </c>
      <c r="KU32" s="206" t="s">
        <v>7992</v>
      </c>
      <c r="KV32" s="206" t="s">
        <v>7992</v>
      </c>
      <c r="KW32" s="206" t="s">
        <v>7992</v>
      </c>
      <c r="KX32" s="206" t="s">
        <v>7992</v>
      </c>
      <c r="KY32" s="206" t="s">
        <v>7992</v>
      </c>
      <c r="KZ32" s="206" t="s">
        <v>7992</v>
      </c>
      <c r="LA32" s="206" t="s">
        <v>7992</v>
      </c>
      <c r="LB32" s="206" t="s">
        <v>7992</v>
      </c>
      <c r="LC32" s="206" t="s">
        <v>7992</v>
      </c>
      <c r="LD32" s="206" t="s">
        <v>7992</v>
      </c>
      <c r="LE32" s="206" t="s">
        <v>7992</v>
      </c>
      <c r="LF32" s="206" t="s">
        <v>7992</v>
      </c>
      <c r="LG32" s="206" t="s">
        <v>7992</v>
      </c>
      <c r="LH32" s="206" t="s">
        <v>7992</v>
      </c>
      <c r="LI32" s="206" t="s">
        <v>7992</v>
      </c>
      <c r="LJ32" s="206" t="s">
        <v>7992</v>
      </c>
      <c r="LK32" s="206" t="s">
        <v>7992</v>
      </c>
      <c r="LL32" s="206" t="s">
        <v>7992</v>
      </c>
      <c r="LM32" s="206" t="s">
        <v>7992</v>
      </c>
      <c r="LN32" s="206" t="s">
        <v>7992</v>
      </c>
      <c r="LO32" s="206" t="s">
        <v>7992</v>
      </c>
      <c r="LP32" s="206" t="s">
        <v>7992</v>
      </c>
      <c r="LQ32" s="206" t="s">
        <v>7992</v>
      </c>
      <c r="LR32" s="206" t="s">
        <v>7992</v>
      </c>
      <c r="LS32" s="206" t="s">
        <v>7992</v>
      </c>
      <c r="LT32" s="206" t="s">
        <v>7992</v>
      </c>
      <c r="LU32" s="206" t="s">
        <v>7992</v>
      </c>
      <c r="LV32" s="206" t="s">
        <v>7992</v>
      </c>
      <c r="LW32" s="206" t="s">
        <v>7992</v>
      </c>
      <c r="LX32" s="206" t="s">
        <v>7992</v>
      </c>
      <c r="LY32" s="206" t="s">
        <v>7992</v>
      </c>
      <c r="LZ32" s="206" t="s">
        <v>7992</v>
      </c>
      <c r="MA32" s="206" t="s">
        <v>7992</v>
      </c>
      <c r="MB32" s="206" t="s">
        <v>7992</v>
      </c>
      <c r="MC32" s="206" t="s">
        <v>7992</v>
      </c>
      <c r="MD32" s="206" t="s">
        <v>7992</v>
      </c>
      <c r="ME32" s="206" t="s">
        <v>7992</v>
      </c>
      <c r="MF32" s="206" t="s">
        <v>7992</v>
      </c>
      <c r="MG32" s="206" t="s">
        <v>7992</v>
      </c>
      <c r="MH32" s="206" t="s">
        <v>7992</v>
      </c>
      <c r="MI32" s="206" t="s">
        <v>7992</v>
      </c>
      <c r="MJ32" s="206" t="s">
        <v>7992</v>
      </c>
      <c r="MK32" s="206" t="s">
        <v>7992</v>
      </c>
      <c r="ML32" s="206" t="s">
        <v>7992</v>
      </c>
      <c r="MM32" s="206" t="s">
        <v>7992</v>
      </c>
      <c r="MN32" s="206" t="s">
        <v>7992</v>
      </c>
      <c r="MO32" s="206" t="s">
        <v>7992</v>
      </c>
      <c r="MP32" s="206" t="s">
        <v>7992</v>
      </c>
      <c r="MQ32" s="206" t="s">
        <v>7992</v>
      </c>
      <c r="MR32" s="206" t="s">
        <v>7992</v>
      </c>
      <c r="MS32" s="206" t="s">
        <v>7992</v>
      </c>
      <c r="MT32" s="206" t="s">
        <v>7992</v>
      </c>
      <c r="MU32" s="206" t="s">
        <v>7992</v>
      </c>
      <c r="MV32" s="206" t="s">
        <v>7992</v>
      </c>
      <c r="MW32" s="206" t="s">
        <v>7992</v>
      </c>
      <c r="MX32" s="206" t="s">
        <v>7992</v>
      </c>
      <c r="MY32" s="206" t="s">
        <v>7992</v>
      </c>
      <c r="MZ32" s="206" t="s">
        <v>7992</v>
      </c>
      <c r="NA32" s="206" t="s">
        <v>7992</v>
      </c>
      <c r="NB32" s="206" t="s">
        <v>7992</v>
      </c>
      <c r="NC32" s="206" t="s">
        <v>7992</v>
      </c>
      <c r="ND32" s="206" t="s">
        <v>7992</v>
      </c>
      <c r="NE32" s="206" t="s">
        <v>7992</v>
      </c>
      <c r="NF32" s="206" t="s">
        <v>7992</v>
      </c>
      <c r="NG32" s="206" t="s">
        <v>7992</v>
      </c>
      <c r="NH32" s="206" t="s">
        <v>7992</v>
      </c>
      <c r="NI32" s="206" t="s">
        <v>7992</v>
      </c>
      <c r="NJ32" s="206" t="s">
        <v>7992</v>
      </c>
      <c r="NK32" s="206" t="s">
        <v>7992</v>
      </c>
      <c r="NL32" s="206" t="s">
        <v>7992</v>
      </c>
      <c r="NM32" s="206" t="s">
        <v>7992</v>
      </c>
      <c r="NN32" s="206" t="s">
        <v>7992</v>
      </c>
      <c r="NO32" s="206" t="s">
        <v>7992</v>
      </c>
      <c r="NP32" s="206" t="s">
        <v>7992</v>
      </c>
      <c r="NQ32" s="206" t="s">
        <v>7992</v>
      </c>
      <c r="NR32" s="206" t="s">
        <v>7992</v>
      </c>
      <c r="NS32" s="206" t="s">
        <v>7992</v>
      </c>
      <c r="NT32" s="206" t="s">
        <v>7992</v>
      </c>
      <c r="NU32" s="206" t="s">
        <v>7992</v>
      </c>
      <c r="NV32" s="206" t="s">
        <v>7992</v>
      </c>
      <c r="NW32" s="206" t="s">
        <v>7992</v>
      </c>
      <c r="NX32" s="206" t="s">
        <v>7992</v>
      </c>
      <c r="NY32" s="206" t="s">
        <v>7992</v>
      </c>
      <c r="NZ32" s="206" t="s">
        <v>7992</v>
      </c>
      <c r="OA32" s="206" t="s">
        <v>7992</v>
      </c>
      <c r="OB32" s="206" t="s">
        <v>7992</v>
      </c>
      <c r="OC32" s="206" t="s">
        <v>7992</v>
      </c>
      <c r="OD32" s="206" t="s">
        <v>7992</v>
      </c>
      <c r="OE32" s="206" t="s">
        <v>7992</v>
      </c>
      <c r="OF32" s="206" t="s">
        <v>7992</v>
      </c>
      <c r="OG32" s="206" t="s">
        <v>7992</v>
      </c>
      <c r="OH32" s="206" t="s">
        <v>7992</v>
      </c>
      <c r="OI32" s="206" t="s">
        <v>7992</v>
      </c>
      <c r="OJ32" s="206" t="s">
        <v>7992</v>
      </c>
      <c r="OK32" s="206" t="s">
        <v>7992</v>
      </c>
      <c r="OL32" s="206" t="s">
        <v>7992</v>
      </c>
      <c r="OM32" s="206" t="s">
        <v>7992</v>
      </c>
      <c r="ON32" s="206" t="s">
        <v>7992</v>
      </c>
      <c r="OO32" s="206" t="s">
        <v>7992</v>
      </c>
      <c r="OP32" s="206" t="s">
        <v>7992</v>
      </c>
      <c r="OQ32" s="206" t="s">
        <v>7992</v>
      </c>
      <c r="OR32" s="206" t="s">
        <v>7992</v>
      </c>
      <c r="OS32" s="206" t="s">
        <v>7992</v>
      </c>
      <c r="OT32" s="206" t="s">
        <v>7992</v>
      </c>
      <c r="OU32" s="206" t="s">
        <v>7992</v>
      </c>
      <c r="OV32" s="206" t="s">
        <v>7992</v>
      </c>
      <c r="OW32" s="206" t="s">
        <v>7992</v>
      </c>
      <c r="OX32" s="206" t="s">
        <v>7992</v>
      </c>
      <c r="OY32" s="206" t="s">
        <v>7992</v>
      </c>
      <c r="OZ32" s="206" t="s">
        <v>7992</v>
      </c>
      <c r="PA32" s="206" t="s">
        <v>7992</v>
      </c>
      <c r="PB32" s="206" t="s">
        <v>7992</v>
      </c>
      <c r="PC32" s="206" t="s">
        <v>7992</v>
      </c>
      <c r="PD32" s="206" t="s">
        <v>7992</v>
      </c>
      <c r="PE32" s="206" t="s">
        <v>7992</v>
      </c>
      <c r="PF32" s="206" t="s">
        <v>7992</v>
      </c>
      <c r="PG32" s="206" t="s">
        <v>7992</v>
      </c>
      <c r="PH32" s="206" t="s">
        <v>7992</v>
      </c>
      <c r="PI32" s="206" t="s">
        <v>7992</v>
      </c>
      <c r="PJ32" s="206" t="s">
        <v>7992</v>
      </c>
      <c r="PK32" s="206" t="s">
        <v>7992</v>
      </c>
      <c r="PL32" s="206" t="s">
        <v>7992</v>
      </c>
      <c r="PM32" s="206" t="s">
        <v>7992</v>
      </c>
      <c r="PN32" s="206" t="s">
        <v>7992</v>
      </c>
      <c r="PO32" s="206" t="s">
        <v>7992</v>
      </c>
      <c r="PP32" s="206" t="s">
        <v>7992</v>
      </c>
      <c r="PQ32" s="206" t="s">
        <v>7992</v>
      </c>
      <c r="PR32" s="206" t="s">
        <v>7992</v>
      </c>
      <c r="PS32" s="206" t="s">
        <v>7992</v>
      </c>
      <c r="PT32" s="206" t="s">
        <v>7992</v>
      </c>
      <c r="PU32" s="206" t="s">
        <v>7992</v>
      </c>
      <c r="PV32" s="206" t="s">
        <v>7992</v>
      </c>
      <c r="PW32" s="206" t="s">
        <v>7992</v>
      </c>
      <c r="PX32" s="206" t="s">
        <v>7992</v>
      </c>
      <c r="PY32" s="206" t="s">
        <v>7992</v>
      </c>
      <c r="PZ32" s="206" t="s">
        <v>7992</v>
      </c>
      <c r="QA32" s="206" t="s">
        <v>7992</v>
      </c>
      <c r="QB32" s="206" t="s">
        <v>7992</v>
      </c>
      <c r="QC32" s="206" t="s">
        <v>7992</v>
      </c>
      <c r="QD32" s="206" t="s">
        <v>7992</v>
      </c>
      <c r="QE32" s="206" t="s">
        <v>7992</v>
      </c>
      <c r="QF32" s="206" t="s">
        <v>7992</v>
      </c>
      <c r="QG32" s="206" t="s">
        <v>7992</v>
      </c>
      <c r="QH32" s="206" t="s">
        <v>7992</v>
      </c>
      <c r="QI32" s="206" t="s">
        <v>7992</v>
      </c>
      <c r="QJ32" s="206" t="s">
        <v>7992</v>
      </c>
      <c r="QK32" s="206" t="s">
        <v>7992</v>
      </c>
      <c r="QL32" s="206" t="s">
        <v>7992</v>
      </c>
      <c r="QM32" s="206" t="s">
        <v>7992</v>
      </c>
      <c r="QN32" s="206" t="s">
        <v>7992</v>
      </c>
      <c r="QO32" s="206" t="s">
        <v>7992</v>
      </c>
      <c r="QP32" s="206" t="s">
        <v>7992</v>
      </c>
      <c r="QQ32" s="206" t="s">
        <v>7992</v>
      </c>
      <c r="QR32" s="206" t="s">
        <v>7992</v>
      </c>
      <c r="QS32" s="206" t="s">
        <v>7992</v>
      </c>
      <c r="QT32" s="206" t="s">
        <v>7992</v>
      </c>
      <c r="QU32" s="206" t="s">
        <v>7992</v>
      </c>
      <c r="QV32" s="206" t="s">
        <v>7992</v>
      </c>
      <c r="QW32" s="206" t="s">
        <v>7992</v>
      </c>
      <c r="QX32" s="206" t="s">
        <v>7992</v>
      </c>
      <c r="QY32" s="206" t="s">
        <v>7992</v>
      </c>
      <c r="QZ32" s="206" t="s">
        <v>7992</v>
      </c>
      <c r="RA32" s="206" t="s">
        <v>7992</v>
      </c>
      <c r="RB32" s="206" t="s">
        <v>7992</v>
      </c>
      <c r="RC32" s="206" t="s">
        <v>7992</v>
      </c>
      <c r="RD32" s="206" t="s">
        <v>7992</v>
      </c>
      <c r="RE32" s="206" t="s">
        <v>7992</v>
      </c>
      <c r="RF32" s="206" t="s">
        <v>7992</v>
      </c>
      <c r="RG32" s="206" t="s">
        <v>7992</v>
      </c>
      <c r="RH32" s="206" t="s">
        <v>7992</v>
      </c>
      <c r="RI32" s="206" t="s">
        <v>7992</v>
      </c>
      <c r="RJ32" s="206" t="s">
        <v>7992</v>
      </c>
      <c r="RK32" s="206" t="s">
        <v>7992</v>
      </c>
      <c r="RL32" s="206" t="s">
        <v>7992</v>
      </c>
      <c r="RM32" s="206" t="s">
        <v>7992</v>
      </c>
      <c r="RN32" s="206" t="s">
        <v>7992</v>
      </c>
      <c r="RO32" s="206" t="s">
        <v>7992</v>
      </c>
      <c r="RP32" s="206" t="s">
        <v>7992</v>
      </c>
      <c r="RQ32" s="206" t="s">
        <v>7992</v>
      </c>
      <c r="RR32" s="206" t="s">
        <v>7992</v>
      </c>
      <c r="RS32" s="206" t="s">
        <v>7992</v>
      </c>
      <c r="RT32" s="206" t="s">
        <v>7992</v>
      </c>
      <c r="RU32" s="206" t="s">
        <v>7992</v>
      </c>
      <c r="RV32" s="206" t="s">
        <v>7992</v>
      </c>
      <c r="RW32" s="206" t="s">
        <v>7992</v>
      </c>
      <c r="RX32" s="206" t="s">
        <v>7992</v>
      </c>
      <c r="RY32" s="206" t="s">
        <v>7992</v>
      </c>
      <c r="RZ32" s="206" t="s">
        <v>7992</v>
      </c>
      <c r="SA32" s="206" t="s">
        <v>7992</v>
      </c>
      <c r="SB32" s="206" t="s">
        <v>7992</v>
      </c>
      <c r="SC32" s="206" t="s">
        <v>7992</v>
      </c>
      <c r="SD32" s="206" t="s">
        <v>7992</v>
      </c>
      <c r="SE32" s="206" t="s">
        <v>7992</v>
      </c>
      <c r="SF32" s="206" t="s">
        <v>7992</v>
      </c>
      <c r="SG32" s="206" t="s">
        <v>7992</v>
      </c>
      <c r="SH32" s="206" t="s">
        <v>7992</v>
      </c>
      <c r="SI32" s="206" t="s">
        <v>7992</v>
      </c>
      <c r="SJ32" s="206" t="s">
        <v>7992</v>
      </c>
      <c r="SK32" s="206" t="s">
        <v>7992</v>
      </c>
      <c r="SL32" s="206" t="s">
        <v>7992</v>
      </c>
      <c r="SM32" s="206" t="s">
        <v>7992</v>
      </c>
      <c r="SN32" s="206" t="s">
        <v>7992</v>
      </c>
      <c r="SO32" s="206" t="s">
        <v>7992</v>
      </c>
      <c r="SP32" s="206" t="s">
        <v>7992</v>
      </c>
      <c r="SQ32" s="206" t="s">
        <v>7992</v>
      </c>
      <c r="SR32" s="206" t="s">
        <v>7992</v>
      </c>
      <c r="SS32" s="206" t="s">
        <v>7992</v>
      </c>
      <c r="ST32" s="206" t="s">
        <v>7992</v>
      </c>
      <c r="SU32" s="206" t="s">
        <v>7992</v>
      </c>
      <c r="SV32" s="206" t="s">
        <v>7992</v>
      </c>
      <c r="SW32" s="206" t="s">
        <v>7992</v>
      </c>
      <c r="SX32" s="206" t="s">
        <v>7992</v>
      </c>
      <c r="SY32" s="206" t="s">
        <v>7992</v>
      </c>
      <c r="SZ32" s="206" t="s">
        <v>7992</v>
      </c>
      <c r="TA32" s="206" t="s">
        <v>7992</v>
      </c>
      <c r="TB32" s="206" t="s">
        <v>7992</v>
      </c>
      <c r="TC32" s="206" t="s">
        <v>7992</v>
      </c>
      <c r="TD32" s="206" t="s">
        <v>7992</v>
      </c>
      <c r="TE32" s="206" t="s">
        <v>7992</v>
      </c>
      <c r="TF32" s="206" t="s">
        <v>7992</v>
      </c>
      <c r="TG32" s="206" t="s">
        <v>7992</v>
      </c>
      <c r="TH32" s="206" t="s">
        <v>7992</v>
      </c>
      <c r="TI32" s="206" t="s">
        <v>7992</v>
      </c>
      <c r="TJ32" s="206" t="s">
        <v>7992</v>
      </c>
      <c r="TK32" s="206" t="s">
        <v>7992</v>
      </c>
      <c r="TL32" s="206" t="s">
        <v>7992</v>
      </c>
      <c r="TM32" s="206" t="s">
        <v>7992</v>
      </c>
      <c r="TN32" s="206" t="s">
        <v>7992</v>
      </c>
      <c r="TO32" s="206" t="s">
        <v>7992</v>
      </c>
      <c r="TP32" s="206" t="s">
        <v>7992</v>
      </c>
      <c r="TQ32" s="206" t="s">
        <v>7992</v>
      </c>
      <c r="TR32" s="206" t="s">
        <v>7992</v>
      </c>
      <c r="TS32" s="206" t="s">
        <v>7992</v>
      </c>
      <c r="TT32" s="206" t="s">
        <v>7992</v>
      </c>
      <c r="TU32" s="206" t="s">
        <v>7992</v>
      </c>
      <c r="TV32" s="206" t="s">
        <v>7992</v>
      </c>
      <c r="TW32" s="206" t="s">
        <v>7992</v>
      </c>
      <c r="TX32" s="206" t="s">
        <v>7992</v>
      </c>
      <c r="TY32" s="206" t="s">
        <v>7992</v>
      </c>
      <c r="TZ32" s="206" t="s">
        <v>7992</v>
      </c>
      <c r="UA32" s="206" t="s">
        <v>7992</v>
      </c>
      <c r="UB32" s="206" t="s">
        <v>7992</v>
      </c>
      <c r="UC32" s="206" t="s">
        <v>7992</v>
      </c>
      <c r="UD32" s="206" t="s">
        <v>7992</v>
      </c>
      <c r="UE32" s="206" t="s">
        <v>7992</v>
      </c>
      <c r="UF32" s="206" t="s">
        <v>7992</v>
      </c>
      <c r="UG32" s="206" t="s">
        <v>7992</v>
      </c>
      <c r="UH32" s="206" t="s">
        <v>7992</v>
      </c>
      <c r="UI32" s="206" t="s">
        <v>7992</v>
      </c>
      <c r="UJ32" s="206" t="s">
        <v>7992</v>
      </c>
      <c r="UK32" s="206" t="s">
        <v>7992</v>
      </c>
      <c r="UL32" s="206" t="s">
        <v>7992</v>
      </c>
      <c r="UM32" s="206" t="s">
        <v>7992</v>
      </c>
      <c r="UN32" s="206" t="s">
        <v>7992</v>
      </c>
      <c r="UO32" s="206" t="s">
        <v>7992</v>
      </c>
      <c r="UP32" s="206" t="s">
        <v>7992</v>
      </c>
      <c r="UQ32" s="206" t="s">
        <v>7992</v>
      </c>
      <c r="UR32" s="206" t="s">
        <v>7992</v>
      </c>
      <c r="US32" s="206" t="s">
        <v>7992</v>
      </c>
      <c r="UT32" s="206" t="s">
        <v>7992</v>
      </c>
      <c r="UU32" s="206" t="s">
        <v>7992</v>
      </c>
      <c r="UV32" s="206" t="s">
        <v>7992</v>
      </c>
      <c r="UW32" s="206" t="s">
        <v>7992</v>
      </c>
      <c r="UX32" s="206" t="s">
        <v>7992</v>
      </c>
      <c r="UY32" s="206" t="s">
        <v>7992</v>
      </c>
      <c r="UZ32" s="206" t="s">
        <v>7992</v>
      </c>
      <c r="VA32" s="206" t="s">
        <v>7992</v>
      </c>
      <c r="VB32" s="206" t="s">
        <v>7992</v>
      </c>
      <c r="VC32" s="206" t="s">
        <v>7992</v>
      </c>
      <c r="VD32" s="206" t="s">
        <v>7992</v>
      </c>
      <c r="VE32" s="206" t="s">
        <v>7992</v>
      </c>
      <c r="VF32" s="206" t="s">
        <v>7992</v>
      </c>
      <c r="VG32" s="206" t="s">
        <v>7992</v>
      </c>
      <c r="VH32" s="206" t="s">
        <v>7992</v>
      </c>
      <c r="VI32" s="206" t="s">
        <v>7992</v>
      </c>
      <c r="VJ32" s="206" t="s">
        <v>7992</v>
      </c>
      <c r="VK32" s="206" t="s">
        <v>7992</v>
      </c>
      <c r="VL32" s="206" t="s">
        <v>7992</v>
      </c>
      <c r="VM32" s="206" t="s">
        <v>7992</v>
      </c>
      <c r="VN32" s="206" t="s">
        <v>7992</v>
      </c>
      <c r="VO32" s="206" t="s">
        <v>7992</v>
      </c>
      <c r="VP32" s="206" t="s">
        <v>7992</v>
      </c>
      <c r="VQ32" s="206" t="s">
        <v>7992</v>
      </c>
      <c r="VR32" s="206" t="s">
        <v>7992</v>
      </c>
      <c r="VS32" s="206" t="s">
        <v>7992</v>
      </c>
      <c r="VT32" s="206" t="s">
        <v>7992</v>
      </c>
      <c r="VU32" s="206" t="s">
        <v>7992</v>
      </c>
      <c r="VV32" s="206" t="s">
        <v>7992</v>
      </c>
      <c r="VW32" s="206" t="s">
        <v>7992</v>
      </c>
      <c r="VX32" s="206" t="s">
        <v>7992</v>
      </c>
      <c r="VY32" s="206" t="s">
        <v>7992</v>
      </c>
      <c r="VZ32" s="206" t="s">
        <v>7992</v>
      </c>
      <c r="WA32" s="206" t="s">
        <v>7992</v>
      </c>
      <c r="WB32" s="206" t="s">
        <v>7992</v>
      </c>
      <c r="WC32" s="206" t="s">
        <v>7992</v>
      </c>
      <c r="WD32" s="206" t="s">
        <v>7992</v>
      </c>
      <c r="WE32" s="206" t="s">
        <v>7992</v>
      </c>
      <c r="WF32" s="206" t="s">
        <v>7992</v>
      </c>
      <c r="WG32" s="206" t="s">
        <v>7992</v>
      </c>
      <c r="WH32" s="206" t="s">
        <v>7992</v>
      </c>
      <c r="WI32" s="206" t="s">
        <v>7992</v>
      </c>
      <c r="WJ32" s="206" t="s">
        <v>7992</v>
      </c>
      <c r="WK32" s="206" t="s">
        <v>7992</v>
      </c>
      <c r="WL32" s="206" t="s">
        <v>7992</v>
      </c>
      <c r="WM32" s="206" t="s">
        <v>7992</v>
      </c>
      <c r="WN32" s="206" t="s">
        <v>7992</v>
      </c>
      <c r="WO32" s="206" t="s">
        <v>7992</v>
      </c>
      <c r="WP32" s="206" t="s">
        <v>7992</v>
      </c>
      <c r="WQ32" s="206" t="s">
        <v>7992</v>
      </c>
      <c r="WR32" s="206" t="s">
        <v>7992</v>
      </c>
      <c r="WS32" s="206" t="s">
        <v>7992</v>
      </c>
      <c r="WT32" s="206" t="s">
        <v>7992</v>
      </c>
      <c r="WU32" s="206" t="s">
        <v>7992</v>
      </c>
      <c r="WV32" s="206" t="s">
        <v>7992</v>
      </c>
      <c r="WW32" s="206" t="s">
        <v>7992</v>
      </c>
      <c r="WX32" s="206" t="s">
        <v>7992</v>
      </c>
      <c r="WY32" s="206" t="s">
        <v>7992</v>
      </c>
      <c r="WZ32" s="206" t="s">
        <v>7992</v>
      </c>
      <c r="XA32" s="206" t="s">
        <v>7992</v>
      </c>
      <c r="XB32" s="206" t="s">
        <v>7992</v>
      </c>
      <c r="XC32" s="206" t="s">
        <v>7992</v>
      </c>
      <c r="XD32" s="206" t="s">
        <v>7992</v>
      </c>
      <c r="XE32" s="206" t="s">
        <v>7992</v>
      </c>
      <c r="XF32" s="206" t="s">
        <v>7992</v>
      </c>
      <c r="XG32" s="206" t="s">
        <v>7992</v>
      </c>
      <c r="XH32" s="206" t="s">
        <v>7992</v>
      </c>
      <c r="XI32" s="206" t="s">
        <v>7992</v>
      </c>
      <c r="XJ32" s="206" t="s">
        <v>7992</v>
      </c>
      <c r="XK32" s="206" t="s">
        <v>7992</v>
      </c>
      <c r="XL32" s="206" t="s">
        <v>7992</v>
      </c>
      <c r="XM32" s="206" t="s">
        <v>7992</v>
      </c>
      <c r="XN32" s="206" t="s">
        <v>7992</v>
      </c>
      <c r="XO32" s="206" t="s">
        <v>7992</v>
      </c>
      <c r="XP32" s="206" t="s">
        <v>7992</v>
      </c>
      <c r="XQ32" s="206" t="s">
        <v>7992</v>
      </c>
      <c r="XR32" s="206" t="s">
        <v>7992</v>
      </c>
      <c r="XS32" s="206" t="s">
        <v>7992</v>
      </c>
      <c r="XT32" s="206" t="s">
        <v>7992</v>
      </c>
      <c r="XU32" s="206" t="s">
        <v>7992</v>
      </c>
      <c r="XV32" s="206" t="s">
        <v>7992</v>
      </c>
      <c r="XW32" s="206" t="s">
        <v>7992</v>
      </c>
      <c r="XX32" s="206" t="s">
        <v>7992</v>
      </c>
      <c r="XY32" s="206" t="s">
        <v>7992</v>
      </c>
      <c r="XZ32" s="206" t="s">
        <v>7992</v>
      </c>
      <c r="YA32" s="206" t="s">
        <v>7992</v>
      </c>
      <c r="YB32" s="206" t="s">
        <v>7992</v>
      </c>
      <c r="YC32" s="206" t="s">
        <v>7992</v>
      </c>
      <c r="YD32" s="206" t="s">
        <v>7992</v>
      </c>
      <c r="YE32" s="206" t="s">
        <v>7992</v>
      </c>
      <c r="YF32" s="206" t="s">
        <v>7992</v>
      </c>
      <c r="YG32" s="206" t="s">
        <v>7992</v>
      </c>
      <c r="YH32" s="206" t="s">
        <v>7992</v>
      </c>
      <c r="YI32" s="206" t="s">
        <v>7992</v>
      </c>
      <c r="YJ32" s="206" t="s">
        <v>7992</v>
      </c>
      <c r="YK32" s="206" t="s">
        <v>7992</v>
      </c>
      <c r="YL32" s="206" t="s">
        <v>7992</v>
      </c>
      <c r="YM32" s="206" t="s">
        <v>7992</v>
      </c>
      <c r="YN32" s="206" t="s">
        <v>7992</v>
      </c>
      <c r="YO32" s="206" t="s">
        <v>7992</v>
      </c>
      <c r="YP32" s="206" t="s">
        <v>7992</v>
      </c>
      <c r="YQ32" s="206" t="s">
        <v>7992</v>
      </c>
      <c r="YR32" s="206" t="s">
        <v>7992</v>
      </c>
      <c r="YS32" s="206" t="s">
        <v>7992</v>
      </c>
      <c r="YT32" s="206" t="s">
        <v>7992</v>
      </c>
      <c r="YU32" s="206" t="s">
        <v>7992</v>
      </c>
      <c r="YV32" s="206" t="s">
        <v>7992</v>
      </c>
      <c r="YW32" s="206" t="s">
        <v>7992</v>
      </c>
      <c r="YX32" s="206" t="s">
        <v>7992</v>
      </c>
      <c r="YY32" s="206" t="s">
        <v>7992</v>
      </c>
      <c r="YZ32" s="206" t="s">
        <v>7992</v>
      </c>
      <c r="ZA32" s="206" t="s">
        <v>7992</v>
      </c>
      <c r="ZB32" s="206" t="s">
        <v>7992</v>
      </c>
      <c r="ZC32" s="206" t="s">
        <v>7992</v>
      </c>
      <c r="ZD32" s="206" t="s">
        <v>7992</v>
      </c>
      <c r="ZE32" s="206" t="s">
        <v>7992</v>
      </c>
      <c r="ZF32" s="206" t="s">
        <v>7992</v>
      </c>
      <c r="ZG32" s="206" t="s">
        <v>7992</v>
      </c>
      <c r="ZH32" s="206" t="s">
        <v>7992</v>
      </c>
      <c r="ZI32" s="206" t="s">
        <v>7992</v>
      </c>
      <c r="ZJ32" s="206" t="s">
        <v>7992</v>
      </c>
      <c r="ZK32" s="206" t="s">
        <v>7992</v>
      </c>
      <c r="ZL32" s="206" t="s">
        <v>7992</v>
      </c>
      <c r="ZM32" s="206" t="s">
        <v>7992</v>
      </c>
      <c r="ZN32" s="206" t="s">
        <v>7992</v>
      </c>
      <c r="ZO32" s="206" t="s">
        <v>7992</v>
      </c>
      <c r="ZP32" s="206" t="s">
        <v>7992</v>
      </c>
      <c r="ZQ32" s="206" t="s">
        <v>7992</v>
      </c>
      <c r="ZR32" s="206" t="s">
        <v>7992</v>
      </c>
      <c r="ZS32" s="206" t="s">
        <v>7992</v>
      </c>
      <c r="ZT32" s="206" t="s">
        <v>7992</v>
      </c>
      <c r="ZU32" s="206" t="s">
        <v>7992</v>
      </c>
      <c r="ZV32" s="206" t="s">
        <v>7992</v>
      </c>
      <c r="ZW32" s="206" t="s">
        <v>7992</v>
      </c>
      <c r="ZX32" s="206" t="s">
        <v>7992</v>
      </c>
      <c r="ZY32" s="206" t="s">
        <v>7992</v>
      </c>
      <c r="ZZ32" s="206" t="s">
        <v>7992</v>
      </c>
      <c r="AAA32" s="206" t="s">
        <v>7992</v>
      </c>
      <c r="AAB32" s="206" t="s">
        <v>7992</v>
      </c>
      <c r="AAC32" s="206" t="s">
        <v>7992</v>
      </c>
      <c r="AAD32" s="206" t="s">
        <v>7992</v>
      </c>
      <c r="AAE32" s="206" t="s">
        <v>7992</v>
      </c>
    </row>
    <row r="33" spans="1:707" s="206" customFormat="1" x14ac:dyDescent="0.25">
      <c r="A33" s="203" t="s">
        <v>3322</v>
      </c>
      <c r="B33" s="225" t="s">
        <v>7992</v>
      </c>
      <c r="C33" s="225" t="s">
        <v>7992</v>
      </c>
      <c r="D33" s="225" t="s">
        <v>7992</v>
      </c>
      <c r="E33" s="225" t="s">
        <v>7992</v>
      </c>
      <c r="F33" s="225" t="s">
        <v>7992</v>
      </c>
      <c r="G33" s="225" t="s">
        <v>7992</v>
      </c>
      <c r="H33" s="226" t="s">
        <v>7992</v>
      </c>
      <c r="I33" s="227" t="s">
        <v>7992</v>
      </c>
      <c r="J33" s="227" t="s">
        <v>7992</v>
      </c>
      <c r="K33" s="206" t="s">
        <v>7992</v>
      </c>
      <c r="L33" s="206" t="s">
        <v>7992</v>
      </c>
      <c r="M33" s="208" t="s">
        <v>7992</v>
      </c>
      <c r="N33" s="206" t="s">
        <v>7992</v>
      </c>
      <c r="O33" s="208" t="s">
        <v>7992</v>
      </c>
      <c r="P33" s="206" t="s">
        <v>7992</v>
      </c>
      <c r="Q33" s="206" t="s">
        <v>7992</v>
      </c>
      <c r="R33" s="206" t="s">
        <v>7992</v>
      </c>
      <c r="S33" s="206" t="s">
        <v>7992</v>
      </c>
      <c r="T33" s="206" t="s">
        <v>7992</v>
      </c>
      <c r="U33" s="206" t="s">
        <v>7992</v>
      </c>
      <c r="V33" s="206" t="s">
        <v>7992</v>
      </c>
      <c r="W33" s="206" t="s">
        <v>7992</v>
      </c>
      <c r="X33" s="206" t="s">
        <v>7992</v>
      </c>
      <c r="Y33" s="206" t="s">
        <v>7992</v>
      </c>
      <c r="Z33" s="167" t="s">
        <v>7992</v>
      </c>
      <c r="AA33" s="206" t="s">
        <v>7992</v>
      </c>
      <c r="AB33" s="206" t="s">
        <v>7992</v>
      </c>
      <c r="AC33" s="206" t="s">
        <v>7992</v>
      </c>
      <c r="AD33" s="206" t="s">
        <v>7992</v>
      </c>
      <c r="AE33" s="206" t="s">
        <v>7992</v>
      </c>
      <c r="AF33" s="206" t="s">
        <v>7992</v>
      </c>
      <c r="AG33" s="206" t="s">
        <v>7992</v>
      </c>
      <c r="AH33" s="206" t="s">
        <v>7992</v>
      </c>
      <c r="AI33" s="206" t="s">
        <v>7992</v>
      </c>
      <c r="AJ33" s="206" t="s">
        <v>7992</v>
      </c>
      <c r="AK33" s="206" t="s">
        <v>7992</v>
      </c>
      <c r="AL33" s="206" t="s">
        <v>7992</v>
      </c>
      <c r="AM33" s="206" t="s">
        <v>7992</v>
      </c>
      <c r="AN33" s="206" t="s">
        <v>7992</v>
      </c>
      <c r="AO33" s="206" t="s">
        <v>7992</v>
      </c>
      <c r="AP33" s="206" t="s">
        <v>7992</v>
      </c>
      <c r="AQ33" s="206" t="s">
        <v>7992</v>
      </c>
      <c r="AR33" s="206" t="s">
        <v>7992</v>
      </c>
      <c r="AS33" s="206" t="s">
        <v>7992</v>
      </c>
      <c r="AT33" s="206" t="s">
        <v>7992</v>
      </c>
      <c r="AU33" s="206" t="s">
        <v>7992</v>
      </c>
      <c r="AV33" s="206" t="s">
        <v>7992</v>
      </c>
      <c r="AW33" s="167" t="s">
        <v>7992</v>
      </c>
      <c r="AX33" s="206" t="s">
        <v>7992</v>
      </c>
      <c r="AY33" s="206" t="s">
        <v>7992</v>
      </c>
      <c r="AZ33" s="206" t="s">
        <v>7992</v>
      </c>
      <c r="BA33" s="206" t="s">
        <v>7992</v>
      </c>
      <c r="BB33" s="206" t="s">
        <v>7992</v>
      </c>
      <c r="BC33" s="206" t="s">
        <v>7992</v>
      </c>
      <c r="BD33" s="206" t="s">
        <v>7992</v>
      </c>
      <c r="BE33" s="206" t="s">
        <v>7992</v>
      </c>
      <c r="BF33" s="206" t="s">
        <v>7992</v>
      </c>
      <c r="BG33" s="206" t="s">
        <v>7992</v>
      </c>
      <c r="BH33" s="206" t="s">
        <v>7992</v>
      </c>
      <c r="BI33" s="206" t="s">
        <v>7992</v>
      </c>
      <c r="BJ33" s="206" t="s">
        <v>7992</v>
      </c>
      <c r="BK33" s="206" t="s">
        <v>7992</v>
      </c>
      <c r="BL33" s="206" t="s">
        <v>7992</v>
      </c>
      <c r="BM33" s="206" t="s">
        <v>7992</v>
      </c>
      <c r="BN33" s="206" t="s">
        <v>7992</v>
      </c>
      <c r="BO33" s="206" t="s">
        <v>7992</v>
      </c>
      <c r="BP33" s="206" t="s">
        <v>7992</v>
      </c>
      <c r="BQ33" s="206" t="s">
        <v>7992</v>
      </c>
      <c r="BR33" s="206" t="s">
        <v>7992</v>
      </c>
      <c r="BS33" s="206" t="s">
        <v>7992</v>
      </c>
      <c r="BT33" s="206" t="s">
        <v>7992</v>
      </c>
      <c r="BU33" s="206" t="s">
        <v>7992</v>
      </c>
      <c r="BV33" s="206" t="s">
        <v>7992</v>
      </c>
      <c r="BW33" s="206" t="s">
        <v>7992</v>
      </c>
      <c r="BX33" s="206" t="s">
        <v>7992</v>
      </c>
      <c r="BY33" s="206" t="s">
        <v>7992</v>
      </c>
      <c r="BZ33" s="206" t="s">
        <v>7992</v>
      </c>
      <c r="CA33" s="206" t="s">
        <v>7992</v>
      </c>
      <c r="CB33" s="206" t="s">
        <v>7992</v>
      </c>
      <c r="CC33" s="206" t="s">
        <v>7992</v>
      </c>
      <c r="CD33" s="206" t="s">
        <v>7992</v>
      </c>
      <c r="CE33" s="206" t="s">
        <v>7992</v>
      </c>
      <c r="CF33" s="206" t="s">
        <v>7992</v>
      </c>
      <c r="CG33" s="206" t="s">
        <v>7992</v>
      </c>
      <c r="CH33" s="206" t="s">
        <v>7992</v>
      </c>
      <c r="CI33" s="206" t="s">
        <v>7992</v>
      </c>
      <c r="CJ33" s="206" t="s">
        <v>7992</v>
      </c>
      <c r="CK33" s="206" t="s">
        <v>7992</v>
      </c>
      <c r="CL33" s="206" t="s">
        <v>7992</v>
      </c>
      <c r="CM33" s="206" t="s">
        <v>7992</v>
      </c>
      <c r="CN33" s="206" t="s">
        <v>7992</v>
      </c>
      <c r="CO33" s="206" t="s">
        <v>7992</v>
      </c>
      <c r="CP33" s="206" t="s">
        <v>7992</v>
      </c>
      <c r="CQ33" s="206" t="s">
        <v>7992</v>
      </c>
      <c r="CR33" s="206" t="s">
        <v>7992</v>
      </c>
      <c r="CS33" s="206" t="s">
        <v>7992</v>
      </c>
      <c r="CT33" s="206" t="s">
        <v>7992</v>
      </c>
      <c r="CU33" s="206" t="s">
        <v>7992</v>
      </c>
      <c r="CV33" s="206" t="s">
        <v>7992</v>
      </c>
      <c r="CW33" s="206" t="s">
        <v>7992</v>
      </c>
      <c r="CX33" s="206" t="s">
        <v>7992</v>
      </c>
      <c r="CY33" s="206" t="s">
        <v>7992</v>
      </c>
      <c r="CZ33" s="206" t="s">
        <v>7992</v>
      </c>
      <c r="DA33" s="206" t="s">
        <v>7992</v>
      </c>
      <c r="DB33" s="206" t="s">
        <v>7992</v>
      </c>
      <c r="DC33" s="206" t="s">
        <v>7992</v>
      </c>
      <c r="DD33" s="206" t="s">
        <v>7992</v>
      </c>
      <c r="DE33" s="206" t="s">
        <v>7992</v>
      </c>
      <c r="DF33" s="206" t="s">
        <v>7992</v>
      </c>
      <c r="DG33" s="206" t="s">
        <v>7992</v>
      </c>
      <c r="DH33" s="206" t="s">
        <v>7992</v>
      </c>
      <c r="DI33" s="206" t="s">
        <v>7992</v>
      </c>
      <c r="DJ33" s="206" t="s">
        <v>7992</v>
      </c>
      <c r="DK33" s="206" t="s">
        <v>7992</v>
      </c>
      <c r="DL33" s="206" t="s">
        <v>7992</v>
      </c>
      <c r="DM33" s="206" t="s">
        <v>7992</v>
      </c>
      <c r="DN33" s="206" t="s">
        <v>7992</v>
      </c>
      <c r="DO33" s="206" t="s">
        <v>7992</v>
      </c>
      <c r="DP33" s="206" t="s">
        <v>7992</v>
      </c>
      <c r="DQ33" s="206" t="s">
        <v>7992</v>
      </c>
      <c r="DR33" s="206" t="s">
        <v>7992</v>
      </c>
      <c r="DS33" s="206" t="s">
        <v>7992</v>
      </c>
      <c r="DT33" s="206" t="s">
        <v>7992</v>
      </c>
      <c r="DU33" s="206" t="s">
        <v>7992</v>
      </c>
      <c r="DV33" s="206" t="s">
        <v>7992</v>
      </c>
      <c r="DW33" s="206" t="s">
        <v>7992</v>
      </c>
      <c r="DX33" s="206" t="s">
        <v>7992</v>
      </c>
      <c r="DY33" s="206" t="s">
        <v>7992</v>
      </c>
      <c r="DZ33" s="206" t="s">
        <v>7992</v>
      </c>
      <c r="EA33" s="206" t="s">
        <v>7992</v>
      </c>
      <c r="EB33" s="206" t="s">
        <v>7992</v>
      </c>
      <c r="EC33" s="206" t="s">
        <v>7992</v>
      </c>
      <c r="ED33" s="206" t="s">
        <v>7992</v>
      </c>
      <c r="EE33" s="206" t="s">
        <v>7992</v>
      </c>
      <c r="EF33" s="206" t="s">
        <v>7992</v>
      </c>
      <c r="EG33" s="206" t="s">
        <v>7992</v>
      </c>
      <c r="EH33" s="206" t="s">
        <v>7992</v>
      </c>
      <c r="EI33" s="206" t="s">
        <v>7992</v>
      </c>
      <c r="EJ33" s="206" t="s">
        <v>7992</v>
      </c>
      <c r="EK33" s="206" t="s">
        <v>7992</v>
      </c>
      <c r="EL33" s="206" t="s">
        <v>7992</v>
      </c>
      <c r="EM33" s="206" t="s">
        <v>7992</v>
      </c>
      <c r="EN33" s="206" t="s">
        <v>7992</v>
      </c>
      <c r="EO33" s="206" t="s">
        <v>7992</v>
      </c>
      <c r="EP33" s="206" t="s">
        <v>7992</v>
      </c>
      <c r="EQ33" s="206" t="s">
        <v>7992</v>
      </c>
      <c r="ER33" s="206" t="s">
        <v>7992</v>
      </c>
      <c r="ES33" s="206" t="s">
        <v>7992</v>
      </c>
      <c r="ET33" s="206" t="s">
        <v>7992</v>
      </c>
      <c r="EU33" s="206" t="s">
        <v>7992</v>
      </c>
      <c r="EV33" s="206" t="s">
        <v>7992</v>
      </c>
      <c r="EW33" s="206" t="s">
        <v>7992</v>
      </c>
      <c r="EX33" s="206" t="s">
        <v>7992</v>
      </c>
      <c r="EY33" s="206" t="s">
        <v>7992</v>
      </c>
      <c r="EZ33" s="206" t="s">
        <v>7992</v>
      </c>
      <c r="FA33" s="206" t="s">
        <v>7992</v>
      </c>
      <c r="FB33" s="206" t="s">
        <v>7992</v>
      </c>
      <c r="FC33" s="206" t="s">
        <v>7992</v>
      </c>
      <c r="FD33" s="206" t="s">
        <v>7992</v>
      </c>
      <c r="FE33" s="206" t="s">
        <v>7992</v>
      </c>
      <c r="FF33" s="206" t="s">
        <v>7992</v>
      </c>
      <c r="FG33" s="206" t="s">
        <v>7992</v>
      </c>
      <c r="FH33" s="206" t="s">
        <v>7992</v>
      </c>
      <c r="FI33" s="206" t="s">
        <v>7992</v>
      </c>
      <c r="FJ33" s="206" t="s">
        <v>7992</v>
      </c>
      <c r="FK33" s="206" t="s">
        <v>7992</v>
      </c>
      <c r="FL33" s="206" t="s">
        <v>7992</v>
      </c>
      <c r="FM33" s="206" t="s">
        <v>7992</v>
      </c>
      <c r="FN33" s="206" t="s">
        <v>7992</v>
      </c>
      <c r="FO33" s="206" t="s">
        <v>7992</v>
      </c>
      <c r="FP33" s="206" t="s">
        <v>7992</v>
      </c>
      <c r="FQ33" s="206" t="s">
        <v>7992</v>
      </c>
      <c r="FR33" s="206" t="s">
        <v>7992</v>
      </c>
      <c r="FS33" s="206" t="s">
        <v>7992</v>
      </c>
      <c r="FT33" s="206" t="s">
        <v>7992</v>
      </c>
      <c r="FU33" s="206" t="s">
        <v>7992</v>
      </c>
      <c r="FV33" s="206" t="s">
        <v>7992</v>
      </c>
      <c r="FW33" s="206" t="s">
        <v>7992</v>
      </c>
      <c r="FX33" s="206" t="s">
        <v>7992</v>
      </c>
      <c r="FY33" s="206" t="s">
        <v>7992</v>
      </c>
      <c r="FZ33" s="206" t="s">
        <v>7992</v>
      </c>
      <c r="GA33" s="206" t="s">
        <v>7992</v>
      </c>
      <c r="GB33" s="206" t="s">
        <v>7992</v>
      </c>
      <c r="GC33" s="206" t="s">
        <v>7992</v>
      </c>
      <c r="GD33" s="206" t="s">
        <v>7992</v>
      </c>
      <c r="GE33" s="206" t="s">
        <v>7992</v>
      </c>
      <c r="GF33" s="206" t="s">
        <v>7992</v>
      </c>
      <c r="GG33" s="206" t="s">
        <v>7992</v>
      </c>
      <c r="GH33" s="206" t="s">
        <v>7992</v>
      </c>
      <c r="GI33" s="206" t="s">
        <v>7992</v>
      </c>
      <c r="GJ33" s="206" t="s">
        <v>7992</v>
      </c>
      <c r="GK33" s="206" t="s">
        <v>7992</v>
      </c>
      <c r="GL33" s="206" t="s">
        <v>7992</v>
      </c>
      <c r="GM33" s="206" t="s">
        <v>7992</v>
      </c>
      <c r="GN33" s="206" t="s">
        <v>7992</v>
      </c>
      <c r="GO33" s="206" t="s">
        <v>7992</v>
      </c>
      <c r="GP33" s="206" t="s">
        <v>7992</v>
      </c>
      <c r="GQ33" s="206" t="s">
        <v>7992</v>
      </c>
      <c r="GR33" s="206" t="s">
        <v>7992</v>
      </c>
      <c r="GS33" s="206" t="s">
        <v>7992</v>
      </c>
      <c r="GT33" s="206" t="s">
        <v>7992</v>
      </c>
      <c r="GU33" s="206" t="s">
        <v>7992</v>
      </c>
      <c r="GV33" s="206" t="s">
        <v>7992</v>
      </c>
      <c r="GW33" s="206" t="s">
        <v>7992</v>
      </c>
      <c r="GX33" s="206" t="s">
        <v>7992</v>
      </c>
      <c r="GY33" s="206" t="s">
        <v>7992</v>
      </c>
      <c r="GZ33" s="206" t="s">
        <v>7992</v>
      </c>
      <c r="HA33" s="206" t="s">
        <v>7992</v>
      </c>
      <c r="HB33" s="206" t="s">
        <v>7992</v>
      </c>
      <c r="HC33" s="206" t="s">
        <v>7992</v>
      </c>
      <c r="HD33" s="206" t="s">
        <v>7992</v>
      </c>
      <c r="HE33" s="206" t="s">
        <v>7992</v>
      </c>
      <c r="HF33" s="206" t="s">
        <v>7992</v>
      </c>
      <c r="HG33" s="206" t="s">
        <v>7992</v>
      </c>
      <c r="HH33" s="206" t="s">
        <v>7992</v>
      </c>
      <c r="HI33" s="206" t="s">
        <v>7992</v>
      </c>
      <c r="HJ33" s="206" t="s">
        <v>7992</v>
      </c>
      <c r="HK33" s="206" t="s">
        <v>7992</v>
      </c>
      <c r="HL33" s="206" t="s">
        <v>7992</v>
      </c>
      <c r="HM33" s="206" t="s">
        <v>7992</v>
      </c>
      <c r="HN33" s="206" t="s">
        <v>7992</v>
      </c>
      <c r="HO33" s="206" t="s">
        <v>7992</v>
      </c>
      <c r="HP33" s="206" t="s">
        <v>7992</v>
      </c>
      <c r="HQ33" s="206" t="s">
        <v>7992</v>
      </c>
      <c r="HR33" s="206" t="s">
        <v>7992</v>
      </c>
      <c r="HS33" s="206" t="s">
        <v>7992</v>
      </c>
      <c r="HT33" s="206" t="s">
        <v>7992</v>
      </c>
      <c r="HU33" s="206" t="s">
        <v>7992</v>
      </c>
      <c r="HV33" s="206" t="s">
        <v>7992</v>
      </c>
      <c r="HW33" s="206" t="s">
        <v>7992</v>
      </c>
      <c r="HX33" s="206" t="s">
        <v>7992</v>
      </c>
      <c r="HY33" s="206" t="s">
        <v>7992</v>
      </c>
      <c r="HZ33" s="206" t="s">
        <v>7992</v>
      </c>
      <c r="IA33" s="206" t="s">
        <v>7992</v>
      </c>
      <c r="IB33" s="206" t="s">
        <v>7992</v>
      </c>
      <c r="IC33" s="206" t="s">
        <v>7992</v>
      </c>
      <c r="ID33" s="206" t="s">
        <v>7992</v>
      </c>
      <c r="IE33" s="206" t="s">
        <v>7992</v>
      </c>
      <c r="IF33" s="206" t="s">
        <v>7992</v>
      </c>
      <c r="IG33" s="206" t="s">
        <v>7992</v>
      </c>
      <c r="IH33" s="206" t="s">
        <v>7992</v>
      </c>
      <c r="II33" s="206" t="s">
        <v>7992</v>
      </c>
      <c r="IJ33" s="206" t="s">
        <v>7992</v>
      </c>
      <c r="IK33" s="206" t="s">
        <v>7992</v>
      </c>
      <c r="IL33" s="206" t="s">
        <v>7992</v>
      </c>
      <c r="IM33" s="206" t="s">
        <v>7992</v>
      </c>
      <c r="IN33" s="206" t="s">
        <v>7992</v>
      </c>
      <c r="IO33" s="206" t="s">
        <v>7992</v>
      </c>
      <c r="IP33" s="206" t="s">
        <v>7992</v>
      </c>
      <c r="IQ33" s="206" t="s">
        <v>7992</v>
      </c>
      <c r="IR33" s="206" t="s">
        <v>7992</v>
      </c>
      <c r="IS33" s="206" t="s">
        <v>7992</v>
      </c>
      <c r="IT33" s="206" t="s">
        <v>7992</v>
      </c>
      <c r="IU33" s="206" t="s">
        <v>7992</v>
      </c>
      <c r="IV33" s="206" t="s">
        <v>7992</v>
      </c>
      <c r="IW33" s="206" t="s">
        <v>7992</v>
      </c>
      <c r="IX33" s="206" t="s">
        <v>7992</v>
      </c>
      <c r="IY33" s="206" t="s">
        <v>7992</v>
      </c>
      <c r="IZ33" s="206" t="s">
        <v>7992</v>
      </c>
      <c r="JA33" s="206" t="s">
        <v>7992</v>
      </c>
      <c r="JB33" s="206" t="s">
        <v>7992</v>
      </c>
      <c r="JC33" s="206" t="s">
        <v>7992</v>
      </c>
      <c r="JD33" s="206" t="s">
        <v>7992</v>
      </c>
      <c r="JE33" s="206" t="s">
        <v>7992</v>
      </c>
      <c r="JF33" s="206" t="s">
        <v>7992</v>
      </c>
      <c r="JG33" s="206" t="s">
        <v>7992</v>
      </c>
      <c r="JH33" s="206" t="s">
        <v>7992</v>
      </c>
      <c r="JI33" s="206" t="s">
        <v>7992</v>
      </c>
      <c r="JJ33" s="206" t="s">
        <v>7992</v>
      </c>
      <c r="JK33" s="206" t="s">
        <v>7992</v>
      </c>
      <c r="JL33" s="206" t="s">
        <v>7992</v>
      </c>
      <c r="JM33" s="206" t="s">
        <v>7992</v>
      </c>
      <c r="JN33" s="206" t="s">
        <v>7992</v>
      </c>
      <c r="JO33" s="206" t="s">
        <v>7992</v>
      </c>
      <c r="JP33" s="206" t="s">
        <v>7992</v>
      </c>
      <c r="JQ33" s="206" t="s">
        <v>7992</v>
      </c>
      <c r="JR33" s="206" t="s">
        <v>7992</v>
      </c>
      <c r="JS33" s="206" t="s">
        <v>7992</v>
      </c>
      <c r="JT33" s="206" t="s">
        <v>7992</v>
      </c>
      <c r="JU33" s="206" t="s">
        <v>7992</v>
      </c>
      <c r="JV33" s="206" t="s">
        <v>7992</v>
      </c>
      <c r="JW33" s="206" t="s">
        <v>7992</v>
      </c>
      <c r="JX33" s="206" t="s">
        <v>7992</v>
      </c>
      <c r="JY33" s="206" t="s">
        <v>7992</v>
      </c>
      <c r="JZ33" s="206" t="s">
        <v>7992</v>
      </c>
      <c r="KA33" s="206" t="s">
        <v>7992</v>
      </c>
      <c r="KB33" s="206" t="s">
        <v>7992</v>
      </c>
      <c r="KC33" s="206" t="s">
        <v>7992</v>
      </c>
      <c r="KD33" s="206" t="s">
        <v>7992</v>
      </c>
      <c r="KE33" s="206" t="s">
        <v>7992</v>
      </c>
      <c r="KF33" s="206" t="s">
        <v>7992</v>
      </c>
      <c r="KG33" s="206" t="s">
        <v>7992</v>
      </c>
      <c r="KH33" s="206" t="s">
        <v>7992</v>
      </c>
      <c r="KI33" s="206" t="s">
        <v>7992</v>
      </c>
      <c r="KJ33" s="206" t="s">
        <v>7992</v>
      </c>
      <c r="KK33" s="206" t="s">
        <v>7992</v>
      </c>
      <c r="KL33" s="206" t="s">
        <v>7992</v>
      </c>
      <c r="KM33" s="206" t="s">
        <v>7992</v>
      </c>
      <c r="KN33" s="206" t="s">
        <v>7992</v>
      </c>
      <c r="KO33" s="206" t="s">
        <v>7992</v>
      </c>
      <c r="KP33" s="206" t="s">
        <v>7992</v>
      </c>
      <c r="KQ33" s="206" t="s">
        <v>7992</v>
      </c>
      <c r="KR33" s="206" t="s">
        <v>7992</v>
      </c>
      <c r="KS33" s="206" t="s">
        <v>7992</v>
      </c>
      <c r="KT33" s="206" t="s">
        <v>7992</v>
      </c>
      <c r="KU33" s="206" t="s">
        <v>7992</v>
      </c>
      <c r="KV33" s="206" t="s">
        <v>7992</v>
      </c>
      <c r="KW33" s="206" t="s">
        <v>7992</v>
      </c>
      <c r="KX33" s="206" t="s">
        <v>7992</v>
      </c>
      <c r="KY33" s="206" t="s">
        <v>7992</v>
      </c>
      <c r="KZ33" s="206" t="s">
        <v>7992</v>
      </c>
      <c r="LA33" s="206" t="s">
        <v>7992</v>
      </c>
      <c r="LB33" s="206" t="s">
        <v>7992</v>
      </c>
      <c r="LC33" s="206" t="s">
        <v>7992</v>
      </c>
      <c r="LD33" s="206" t="s">
        <v>7992</v>
      </c>
      <c r="LE33" s="206" t="s">
        <v>7992</v>
      </c>
      <c r="LF33" s="206" t="s">
        <v>7992</v>
      </c>
      <c r="LG33" s="206" t="s">
        <v>7992</v>
      </c>
      <c r="LH33" s="206" t="s">
        <v>7992</v>
      </c>
      <c r="LI33" s="206" t="s">
        <v>7992</v>
      </c>
      <c r="LJ33" s="206" t="s">
        <v>7992</v>
      </c>
      <c r="LK33" s="206" t="s">
        <v>7992</v>
      </c>
      <c r="LL33" s="206" t="s">
        <v>7992</v>
      </c>
      <c r="LM33" s="206" t="s">
        <v>7992</v>
      </c>
      <c r="LN33" s="206" t="s">
        <v>7992</v>
      </c>
      <c r="LO33" s="206" t="s">
        <v>7992</v>
      </c>
      <c r="LP33" s="206" t="s">
        <v>7992</v>
      </c>
      <c r="LQ33" s="206" t="s">
        <v>7992</v>
      </c>
      <c r="LR33" s="206" t="s">
        <v>7992</v>
      </c>
      <c r="LS33" s="206" t="s">
        <v>7992</v>
      </c>
      <c r="LT33" s="206" t="s">
        <v>7992</v>
      </c>
      <c r="LU33" s="206" t="s">
        <v>7992</v>
      </c>
      <c r="LV33" s="206" t="s">
        <v>7992</v>
      </c>
      <c r="LW33" s="206" t="s">
        <v>7992</v>
      </c>
      <c r="LX33" s="206" t="s">
        <v>7992</v>
      </c>
      <c r="LY33" s="206" t="s">
        <v>7992</v>
      </c>
      <c r="LZ33" s="206" t="s">
        <v>7992</v>
      </c>
      <c r="MA33" s="206" t="s">
        <v>7992</v>
      </c>
      <c r="MB33" s="206" t="s">
        <v>7992</v>
      </c>
      <c r="MC33" s="206" t="s">
        <v>7992</v>
      </c>
      <c r="MD33" s="206" t="s">
        <v>7992</v>
      </c>
      <c r="ME33" s="206" t="s">
        <v>7992</v>
      </c>
      <c r="MF33" s="206" t="s">
        <v>7992</v>
      </c>
      <c r="MG33" s="206" t="s">
        <v>7992</v>
      </c>
      <c r="MH33" s="206" t="s">
        <v>7992</v>
      </c>
      <c r="MI33" s="206" t="s">
        <v>7992</v>
      </c>
      <c r="MJ33" s="206" t="s">
        <v>7992</v>
      </c>
      <c r="MK33" s="206" t="s">
        <v>7992</v>
      </c>
      <c r="ML33" s="206" t="s">
        <v>7992</v>
      </c>
      <c r="MM33" s="206" t="s">
        <v>7992</v>
      </c>
      <c r="MN33" s="206" t="s">
        <v>7992</v>
      </c>
      <c r="MO33" s="206" t="s">
        <v>7992</v>
      </c>
      <c r="MP33" s="206" t="s">
        <v>7992</v>
      </c>
      <c r="MQ33" s="206" t="s">
        <v>7992</v>
      </c>
      <c r="MR33" s="206" t="s">
        <v>7992</v>
      </c>
      <c r="MS33" s="206" t="s">
        <v>7992</v>
      </c>
      <c r="MT33" s="206" t="s">
        <v>7992</v>
      </c>
      <c r="MU33" s="206" t="s">
        <v>7992</v>
      </c>
      <c r="MV33" s="206" t="s">
        <v>7992</v>
      </c>
      <c r="MW33" s="206" t="s">
        <v>7992</v>
      </c>
      <c r="MX33" s="206" t="s">
        <v>7992</v>
      </c>
      <c r="MY33" s="206" t="s">
        <v>7992</v>
      </c>
      <c r="MZ33" s="206" t="s">
        <v>7992</v>
      </c>
      <c r="NA33" s="206" t="s">
        <v>7992</v>
      </c>
      <c r="NB33" s="206" t="s">
        <v>7992</v>
      </c>
      <c r="NC33" s="206" t="s">
        <v>7992</v>
      </c>
      <c r="ND33" s="206" t="s">
        <v>7992</v>
      </c>
      <c r="NE33" s="206" t="s">
        <v>7992</v>
      </c>
      <c r="NF33" s="206" t="s">
        <v>7992</v>
      </c>
      <c r="NG33" s="206" t="s">
        <v>7992</v>
      </c>
      <c r="NH33" s="206" t="s">
        <v>7992</v>
      </c>
      <c r="NI33" s="206" t="s">
        <v>7992</v>
      </c>
      <c r="NJ33" s="206" t="s">
        <v>7992</v>
      </c>
      <c r="NK33" s="206" t="s">
        <v>7992</v>
      </c>
      <c r="NL33" s="206" t="s">
        <v>7992</v>
      </c>
      <c r="NM33" s="206" t="s">
        <v>7992</v>
      </c>
      <c r="NN33" s="206" t="s">
        <v>7992</v>
      </c>
      <c r="NO33" s="206" t="s">
        <v>7992</v>
      </c>
      <c r="NP33" s="206" t="s">
        <v>7992</v>
      </c>
      <c r="NQ33" s="206" t="s">
        <v>7992</v>
      </c>
      <c r="NR33" s="206" t="s">
        <v>7992</v>
      </c>
      <c r="NS33" s="206" t="s">
        <v>7992</v>
      </c>
      <c r="NT33" s="206" t="s">
        <v>7992</v>
      </c>
      <c r="NU33" s="206" t="s">
        <v>7992</v>
      </c>
      <c r="NV33" s="206" t="s">
        <v>7992</v>
      </c>
      <c r="NW33" s="206" t="s">
        <v>7992</v>
      </c>
      <c r="NX33" s="206" t="s">
        <v>7992</v>
      </c>
      <c r="NY33" s="206" t="s">
        <v>7992</v>
      </c>
      <c r="NZ33" s="206" t="s">
        <v>7992</v>
      </c>
      <c r="OA33" s="206" t="s">
        <v>7992</v>
      </c>
      <c r="OB33" s="206" t="s">
        <v>7992</v>
      </c>
      <c r="OC33" s="206" t="s">
        <v>7992</v>
      </c>
      <c r="OD33" s="206" t="s">
        <v>7992</v>
      </c>
      <c r="OE33" s="206" t="s">
        <v>7992</v>
      </c>
      <c r="OF33" s="206" t="s">
        <v>7992</v>
      </c>
      <c r="OG33" s="206" t="s">
        <v>7992</v>
      </c>
      <c r="OH33" s="206" t="s">
        <v>7992</v>
      </c>
      <c r="OI33" s="206" t="s">
        <v>7992</v>
      </c>
      <c r="OJ33" s="206" t="s">
        <v>7992</v>
      </c>
      <c r="OK33" s="206" t="s">
        <v>7992</v>
      </c>
      <c r="OL33" s="206" t="s">
        <v>7992</v>
      </c>
      <c r="OM33" s="206" t="s">
        <v>7992</v>
      </c>
      <c r="ON33" s="206" t="s">
        <v>7992</v>
      </c>
      <c r="OO33" s="206" t="s">
        <v>7992</v>
      </c>
      <c r="OP33" s="206" t="s">
        <v>7992</v>
      </c>
      <c r="OQ33" s="206" t="s">
        <v>7992</v>
      </c>
      <c r="OR33" s="206" t="s">
        <v>7992</v>
      </c>
      <c r="OS33" s="206" t="s">
        <v>7992</v>
      </c>
      <c r="OT33" s="206" t="s">
        <v>7992</v>
      </c>
      <c r="OU33" s="206" t="s">
        <v>7992</v>
      </c>
      <c r="OV33" s="206" t="s">
        <v>7992</v>
      </c>
      <c r="OW33" s="206" t="s">
        <v>7992</v>
      </c>
      <c r="OX33" s="206" t="s">
        <v>7992</v>
      </c>
      <c r="OY33" s="206" t="s">
        <v>7992</v>
      </c>
      <c r="OZ33" s="206" t="s">
        <v>7992</v>
      </c>
      <c r="PA33" s="206" t="s">
        <v>7992</v>
      </c>
      <c r="PB33" s="206" t="s">
        <v>7992</v>
      </c>
      <c r="PC33" s="206" t="s">
        <v>7992</v>
      </c>
      <c r="PD33" s="206" t="s">
        <v>7992</v>
      </c>
      <c r="PE33" s="206" t="s">
        <v>7992</v>
      </c>
      <c r="PF33" s="206" t="s">
        <v>7992</v>
      </c>
      <c r="PG33" s="206" t="s">
        <v>7992</v>
      </c>
      <c r="PH33" s="206" t="s">
        <v>7992</v>
      </c>
      <c r="PI33" s="206" t="s">
        <v>7992</v>
      </c>
      <c r="PJ33" s="206" t="s">
        <v>7992</v>
      </c>
      <c r="PK33" s="206" t="s">
        <v>7992</v>
      </c>
      <c r="PL33" s="206" t="s">
        <v>7992</v>
      </c>
      <c r="PM33" s="206" t="s">
        <v>7992</v>
      </c>
      <c r="PN33" s="206" t="s">
        <v>7992</v>
      </c>
      <c r="PO33" s="206" t="s">
        <v>7992</v>
      </c>
      <c r="PP33" s="206" t="s">
        <v>7992</v>
      </c>
      <c r="PQ33" s="206" t="s">
        <v>7992</v>
      </c>
      <c r="PR33" s="206" t="s">
        <v>7992</v>
      </c>
      <c r="PS33" s="206" t="s">
        <v>7992</v>
      </c>
      <c r="PT33" s="206" t="s">
        <v>7992</v>
      </c>
      <c r="PU33" s="206" t="s">
        <v>7992</v>
      </c>
      <c r="PV33" s="206" t="s">
        <v>7992</v>
      </c>
      <c r="PW33" s="206" t="s">
        <v>7992</v>
      </c>
      <c r="PX33" s="206" t="s">
        <v>7992</v>
      </c>
      <c r="PY33" s="206" t="s">
        <v>7992</v>
      </c>
      <c r="PZ33" s="206" t="s">
        <v>7992</v>
      </c>
      <c r="QA33" s="206" t="s">
        <v>7992</v>
      </c>
      <c r="QB33" s="206" t="s">
        <v>7992</v>
      </c>
      <c r="QC33" s="206" t="s">
        <v>7992</v>
      </c>
      <c r="QD33" s="206" t="s">
        <v>7992</v>
      </c>
      <c r="QE33" s="206" t="s">
        <v>7992</v>
      </c>
      <c r="QF33" s="206" t="s">
        <v>7992</v>
      </c>
      <c r="QG33" s="206" t="s">
        <v>7992</v>
      </c>
      <c r="QH33" s="206" t="s">
        <v>7992</v>
      </c>
      <c r="QI33" s="206" t="s">
        <v>7992</v>
      </c>
      <c r="QJ33" s="206" t="s">
        <v>7992</v>
      </c>
      <c r="QK33" s="206" t="s">
        <v>7992</v>
      </c>
      <c r="QL33" s="206" t="s">
        <v>7992</v>
      </c>
      <c r="QM33" s="206" t="s">
        <v>7992</v>
      </c>
      <c r="QN33" s="206" t="s">
        <v>7992</v>
      </c>
      <c r="QO33" s="206" t="s">
        <v>7992</v>
      </c>
      <c r="QP33" s="206" t="s">
        <v>7992</v>
      </c>
      <c r="QQ33" s="206" t="s">
        <v>7992</v>
      </c>
      <c r="QR33" s="206" t="s">
        <v>7992</v>
      </c>
      <c r="QS33" s="206" t="s">
        <v>7992</v>
      </c>
      <c r="QT33" s="206" t="s">
        <v>7992</v>
      </c>
      <c r="QU33" s="206" t="s">
        <v>7992</v>
      </c>
      <c r="QV33" s="206" t="s">
        <v>7992</v>
      </c>
      <c r="QW33" s="206" t="s">
        <v>7992</v>
      </c>
      <c r="QX33" s="206" t="s">
        <v>7992</v>
      </c>
      <c r="QY33" s="206" t="s">
        <v>7992</v>
      </c>
      <c r="QZ33" s="206" t="s">
        <v>7992</v>
      </c>
      <c r="RA33" s="206" t="s">
        <v>7992</v>
      </c>
      <c r="RB33" s="206" t="s">
        <v>7992</v>
      </c>
      <c r="RC33" s="206" t="s">
        <v>7992</v>
      </c>
      <c r="RD33" s="206" t="s">
        <v>7992</v>
      </c>
      <c r="RE33" s="206" t="s">
        <v>7992</v>
      </c>
      <c r="RF33" s="206" t="s">
        <v>7992</v>
      </c>
      <c r="RG33" s="206" t="s">
        <v>7992</v>
      </c>
      <c r="RH33" s="206" t="s">
        <v>7992</v>
      </c>
      <c r="RI33" s="206" t="s">
        <v>7992</v>
      </c>
      <c r="RJ33" s="206" t="s">
        <v>7992</v>
      </c>
      <c r="RK33" s="206" t="s">
        <v>7992</v>
      </c>
      <c r="RL33" s="206" t="s">
        <v>7992</v>
      </c>
      <c r="RM33" s="206" t="s">
        <v>7992</v>
      </c>
      <c r="RN33" s="206" t="s">
        <v>7992</v>
      </c>
      <c r="RO33" s="206" t="s">
        <v>7992</v>
      </c>
      <c r="RP33" s="206" t="s">
        <v>7992</v>
      </c>
      <c r="RQ33" s="206" t="s">
        <v>7992</v>
      </c>
      <c r="RR33" s="206" t="s">
        <v>7992</v>
      </c>
      <c r="RS33" s="206" t="s">
        <v>7992</v>
      </c>
      <c r="RT33" s="206" t="s">
        <v>7992</v>
      </c>
      <c r="RU33" s="206" t="s">
        <v>7992</v>
      </c>
      <c r="RV33" s="206" t="s">
        <v>7992</v>
      </c>
      <c r="RW33" s="206" t="s">
        <v>7992</v>
      </c>
      <c r="RX33" s="206" t="s">
        <v>7992</v>
      </c>
      <c r="RY33" s="206" t="s">
        <v>7992</v>
      </c>
      <c r="RZ33" s="206" t="s">
        <v>7992</v>
      </c>
      <c r="SA33" s="206" t="s">
        <v>7992</v>
      </c>
      <c r="SB33" s="206" t="s">
        <v>7992</v>
      </c>
      <c r="SC33" s="206" t="s">
        <v>7992</v>
      </c>
      <c r="SD33" s="206" t="s">
        <v>7992</v>
      </c>
      <c r="SE33" s="206" t="s">
        <v>7992</v>
      </c>
      <c r="SF33" s="206" t="s">
        <v>7992</v>
      </c>
      <c r="SG33" s="206" t="s">
        <v>7992</v>
      </c>
      <c r="SH33" s="206" t="s">
        <v>7992</v>
      </c>
      <c r="SI33" s="206" t="s">
        <v>7992</v>
      </c>
      <c r="SJ33" s="206" t="s">
        <v>7992</v>
      </c>
      <c r="SK33" s="206" t="s">
        <v>7992</v>
      </c>
      <c r="SL33" s="206" t="s">
        <v>7992</v>
      </c>
      <c r="SM33" s="206" t="s">
        <v>7992</v>
      </c>
      <c r="SN33" s="206" t="s">
        <v>7992</v>
      </c>
      <c r="SO33" s="206" t="s">
        <v>7992</v>
      </c>
      <c r="SP33" s="206" t="s">
        <v>7992</v>
      </c>
      <c r="SQ33" s="206" t="s">
        <v>7992</v>
      </c>
      <c r="SR33" s="206" t="s">
        <v>7992</v>
      </c>
      <c r="SS33" s="206" t="s">
        <v>7992</v>
      </c>
      <c r="ST33" s="206" t="s">
        <v>7992</v>
      </c>
      <c r="SU33" s="206" t="s">
        <v>7992</v>
      </c>
      <c r="SV33" s="206" t="s">
        <v>7992</v>
      </c>
      <c r="SW33" s="206" t="s">
        <v>7992</v>
      </c>
      <c r="SX33" s="206" t="s">
        <v>7992</v>
      </c>
      <c r="SY33" s="206" t="s">
        <v>7992</v>
      </c>
      <c r="SZ33" s="206" t="s">
        <v>7992</v>
      </c>
      <c r="TA33" s="206" t="s">
        <v>7992</v>
      </c>
      <c r="TB33" s="206" t="s">
        <v>7992</v>
      </c>
      <c r="TC33" s="206" t="s">
        <v>7992</v>
      </c>
      <c r="TD33" s="206" t="s">
        <v>7992</v>
      </c>
      <c r="TE33" s="206" t="s">
        <v>7992</v>
      </c>
      <c r="TF33" s="206" t="s">
        <v>7992</v>
      </c>
      <c r="TG33" s="206" t="s">
        <v>7992</v>
      </c>
      <c r="TH33" s="206" t="s">
        <v>7992</v>
      </c>
      <c r="TI33" s="206" t="s">
        <v>7992</v>
      </c>
      <c r="TJ33" s="206" t="s">
        <v>7992</v>
      </c>
      <c r="TK33" s="206" t="s">
        <v>7992</v>
      </c>
      <c r="TL33" s="206" t="s">
        <v>7992</v>
      </c>
      <c r="TM33" s="206" t="s">
        <v>7992</v>
      </c>
      <c r="TN33" s="206" t="s">
        <v>7992</v>
      </c>
      <c r="TO33" s="206" t="s">
        <v>7992</v>
      </c>
      <c r="TP33" s="206" t="s">
        <v>7992</v>
      </c>
      <c r="TQ33" s="206" t="s">
        <v>7992</v>
      </c>
      <c r="TR33" s="206" t="s">
        <v>7992</v>
      </c>
      <c r="TS33" s="206" t="s">
        <v>7992</v>
      </c>
      <c r="TT33" s="206" t="s">
        <v>7992</v>
      </c>
      <c r="TU33" s="206" t="s">
        <v>7992</v>
      </c>
      <c r="TV33" s="206" t="s">
        <v>7992</v>
      </c>
      <c r="TW33" s="206" t="s">
        <v>7992</v>
      </c>
      <c r="TX33" s="206" t="s">
        <v>7992</v>
      </c>
      <c r="TY33" s="206" t="s">
        <v>7992</v>
      </c>
      <c r="TZ33" s="206" t="s">
        <v>7992</v>
      </c>
      <c r="UA33" s="206" t="s">
        <v>7992</v>
      </c>
      <c r="UB33" s="206" t="s">
        <v>7992</v>
      </c>
      <c r="UC33" s="206" t="s">
        <v>7992</v>
      </c>
      <c r="UD33" s="206" t="s">
        <v>7992</v>
      </c>
      <c r="UE33" s="206" t="s">
        <v>7992</v>
      </c>
      <c r="UF33" s="206" t="s">
        <v>7992</v>
      </c>
      <c r="UG33" s="206" t="s">
        <v>7992</v>
      </c>
      <c r="UH33" s="206" t="s">
        <v>7992</v>
      </c>
      <c r="UI33" s="206" t="s">
        <v>7992</v>
      </c>
      <c r="UJ33" s="206" t="s">
        <v>7992</v>
      </c>
      <c r="UK33" s="206" t="s">
        <v>7992</v>
      </c>
      <c r="UL33" s="206" t="s">
        <v>7992</v>
      </c>
      <c r="UM33" s="206" t="s">
        <v>7992</v>
      </c>
      <c r="UN33" s="206" t="s">
        <v>7992</v>
      </c>
      <c r="UO33" s="206" t="s">
        <v>7992</v>
      </c>
      <c r="UP33" s="206" t="s">
        <v>7992</v>
      </c>
      <c r="UQ33" s="206" t="s">
        <v>7992</v>
      </c>
      <c r="UR33" s="206" t="s">
        <v>7992</v>
      </c>
      <c r="US33" s="206" t="s">
        <v>7992</v>
      </c>
      <c r="UT33" s="206" t="s">
        <v>7992</v>
      </c>
      <c r="UU33" s="206" t="s">
        <v>7992</v>
      </c>
      <c r="UV33" s="206" t="s">
        <v>7992</v>
      </c>
      <c r="UW33" s="206" t="s">
        <v>7992</v>
      </c>
      <c r="UX33" s="206" t="s">
        <v>7992</v>
      </c>
      <c r="UY33" s="206" t="s">
        <v>7992</v>
      </c>
      <c r="UZ33" s="206" t="s">
        <v>7992</v>
      </c>
      <c r="VA33" s="206" t="s">
        <v>7992</v>
      </c>
      <c r="VB33" s="206" t="s">
        <v>7992</v>
      </c>
      <c r="VC33" s="206" t="s">
        <v>7992</v>
      </c>
      <c r="VD33" s="206" t="s">
        <v>7992</v>
      </c>
      <c r="VE33" s="206" t="s">
        <v>7992</v>
      </c>
      <c r="VF33" s="206" t="s">
        <v>7992</v>
      </c>
      <c r="VG33" s="206" t="s">
        <v>7992</v>
      </c>
      <c r="VH33" s="206" t="s">
        <v>7992</v>
      </c>
      <c r="VI33" s="206" t="s">
        <v>7992</v>
      </c>
      <c r="VJ33" s="206" t="s">
        <v>7992</v>
      </c>
      <c r="VK33" s="206" t="s">
        <v>7992</v>
      </c>
      <c r="VL33" s="206" t="s">
        <v>7992</v>
      </c>
      <c r="VM33" s="206" t="s">
        <v>7992</v>
      </c>
      <c r="VN33" s="206" t="s">
        <v>7992</v>
      </c>
      <c r="VO33" s="206" t="s">
        <v>7992</v>
      </c>
      <c r="VP33" s="206" t="s">
        <v>7992</v>
      </c>
      <c r="VQ33" s="206" t="s">
        <v>7992</v>
      </c>
      <c r="VR33" s="206" t="s">
        <v>7992</v>
      </c>
      <c r="VS33" s="206" t="s">
        <v>7992</v>
      </c>
      <c r="VT33" s="206" t="s">
        <v>7992</v>
      </c>
      <c r="VU33" s="206" t="s">
        <v>7992</v>
      </c>
      <c r="VV33" s="206" t="s">
        <v>7992</v>
      </c>
      <c r="VW33" s="206" t="s">
        <v>7992</v>
      </c>
      <c r="VX33" s="206" t="s">
        <v>7992</v>
      </c>
      <c r="VY33" s="206" t="s">
        <v>7992</v>
      </c>
      <c r="VZ33" s="206" t="s">
        <v>7992</v>
      </c>
      <c r="WA33" s="206" t="s">
        <v>7992</v>
      </c>
      <c r="WB33" s="206" t="s">
        <v>7992</v>
      </c>
      <c r="WC33" s="206" t="s">
        <v>7992</v>
      </c>
      <c r="WD33" s="206" t="s">
        <v>7992</v>
      </c>
      <c r="WE33" s="206" t="s">
        <v>7992</v>
      </c>
      <c r="WF33" s="206" t="s">
        <v>7992</v>
      </c>
      <c r="WG33" s="206" t="s">
        <v>7992</v>
      </c>
      <c r="WH33" s="206" t="s">
        <v>7992</v>
      </c>
      <c r="WI33" s="206" t="s">
        <v>7992</v>
      </c>
      <c r="WJ33" s="206" t="s">
        <v>7992</v>
      </c>
      <c r="WK33" s="206" t="s">
        <v>7992</v>
      </c>
      <c r="WL33" s="206" t="s">
        <v>7992</v>
      </c>
      <c r="WM33" s="206" t="s">
        <v>7992</v>
      </c>
      <c r="WN33" s="206" t="s">
        <v>7992</v>
      </c>
      <c r="WO33" s="206" t="s">
        <v>7992</v>
      </c>
      <c r="WP33" s="206" t="s">
        <v>7992</v>
      </c>
      <c r="WQ33" s="206" t="s">
        <v>7992</v>
      </c>
      <c r="WR33" s="206" t="s">
        <v>7992</v>
      </c>
      <c r="WS33" s="206" t="s">
        <v>7992</v>
      </c>
      <c r="WT33" s="206" t="s">
        <v>7992</v>
      </c>
      <c r="WU33" s="206" t="s">
        <v>7992</v>
      </c>
      <c r="WV33" s="206" t="s">
        <v>7992</v>
      </c>
      <c r="WW33" s="206" t="s">
        <v>7992</v>
      </c>
      <c r="WX33" s="206" t="s">
        <v>7992</v>
      </c>
      <c r="WY33" s="206" t="s">
        <v>7992</v>
      </c>
      <c r="WZ33" s="206" t="s">
        <v>7992</v>
      </c>
      <c r="XA33" s="206" t="s">
        <v>7992</v>
      </c>
      <c r="XB33" s="206" t="s">
        <v>7992</v>
      </c>
      <c r="XC33" s="206" t="s">
        <v>7992</v>
      </c>
      <c r="XD33" s="206" t="s">
        <v>7992</v>
      </c>
      <c r="XE33" s="206" t="s">
        <v>7992</v>
      </c>
      <c r="XF33" s="206" t="s">
        <v>7992</v>
      </c>
      <c r="XG33" s="206" t="s">
        <v>7992</v>
      </c>
      <c r="XH33" s="206" t="s">
        <v>7992</v>
      </c>
      <c r="XI33" s="206" t="s">
        <v>7992</v>
      </c>
      <c r="XJ33" s="206" t="s">
        <v>7992</v>
      </c>
      <c r="XK33" s="206" t="s">
        <v>7992</v>
      </c>
      <c r="XL33" s="206" t="s">
        <v>7992</v>
      </c>
      <c r="XM33" s="206" t="s">
        <v>7992</v>
      </c>
      <c r="XN33" s="206" t="s">
        <v>7992</v>
      </c>
      <c r="XO33" s="206" t="s">
        <v>7992</v>
      </c>
      <c r="XP33" s="206" t="s">
        <v>7992</v>
      </c>
      <c r="XQ33" s="206" t="s">
        <v>7992</v>
      </c>
      <c r="XR33" s="206" t="s">
        <v>7992</v>
      </c>
      <c r="XS33" s="206" t="s">
        <v>7992</v>
      </c>
      <c r="XT33" s="206" t="s">
        <v>7992</v>
      </c>
      <c r="XU33" s="206" t="s">
        <v>7992</v>
      </c>
      <c r="XV33" s="206" t="s">
        <v>7992</v>
      </c>
      <c r="XW33" s="206" t="s">
        <v>7992</v>
      </c>
      <c r="XX33" s="206" t="s">
        <v>7992</v>
      </c>
      <c r="XY33" s="206" t="s">
        <v>7992</v>
      </c>
      <c r="XZ33" s="206" t="s">
        <v>7992</v>
      </c>
      <c r="YA33" s="206" t="s">
        <v>7992</v>
      </c>
      <c r="YB33" s="206" t="s">
        <v>7992</v>
      </c>
      <c r="YC33" s="206" t="s">
        <v>7992</v>
      </c>
      <c r="YD33" s="206" t="s">
        <v>7992</v>
      </c>
      <c r="YE33" s="206" t="s">
        <v>7992</v>
      </c>
      <c r="YF33" s="206" t="s">
        <v>7992</v>
      </c>
      <c r="YG33" s="206" t="s">
        <v>7992</v>
      </c>
      <c r="YH33" s="206" t="s">
        <v>7992</v>
      </c>
      <c r="YI33" s="206" t="s">
        <v>7992</v>
      </c>
      <c r="YJ33" s="206" t="s">
        <v>7992</v>
      </c>
      <c r="YK33" s="206" t="s">
        <v>7992</v>
      </c>
      <c r="YL33" s="206" t="s">
        <v>7992</v>
      </c>
      <c r="YM33" s="206" t="s">
        <v>7992</v>
      </c>
      <c r="YN33" s="206" t="s">
        <v>7992</v>
      </c>
      <c r="YO33" s="206" t="s">
        <v>7992</v>
      </c>
      <c r="YP33" s="206" t="s">
        <v>7992</v>
      </c>
      <c r="YQ33" s="206" t="s">
        <v>7992</v>
      </c>
      <c r="YR33" s="206" t="s">
        <v>7992</v>
      </c>
      <c r="YS33" s="206" t="s">
        <v>7992</v>
      </c>
      <c r="YT33" s="206" t="s">
        <v>7992</v>
      </c>
      <c r="YU33" s="206" t="s">
        <v>7992</v>
      </c>
      <c r="YV33" s="206" t="s">
        <v>7992</v>
      </c>
      <c r="YW33" s="206" t="s">
        <v>7992</v>
      </c>
      <c r="YX33" s="206" t="s">
        <v>7992</v>
      </c>
      <c r="YY33" s="206" t="s">
        <v>7992</v>
      </c>
      <c r="YZ33" s="206" t="s">
        <v>7992</v>
      </c>
      <c r="ZA33" s="206" t="s">
        <v>7992</v>
      </c>
      <c r="ZB33" s="206" t="s">
        <v>7992</v>
      </c>
      <c r="ZC33" s="206" t="s">
        <v>7992</v>
      </c>
      <c r="ZD33" s="206" t="s">
        <v>7992</v>
      </c>
      <c r="ZE33" s="206" t="s">
        <v>7992</v>
      </c>
      <c r="ZF33" s="206" t="s">
        <v>7992</v>
      </c>
      <c r="ZG33" s="206" t="s">
        <v>7992</v>
      </c>
      <c r="ZH33" s="206" t="s">
        <v>7992</v>
      </c>
      <c r="ZI33" s="206" t="s">
        <v>7992</v>
      </c>
      <c r="ZJ33" s="206" t="s">
        <v>7992</v>
      </c>
      <c r="ZK33" s="206" t="s">
        <v>7992</v>
      </c>
      <c r="ZL33" s="206" t="s">
        <v>7992</v>
      </c>
      <c r="ZM33" s="206" t="s">
        <v>7992</v>
      </c>
      <c r="ZN33" s="206" t="s">
        <v>7992</v>
      </c>
      <c r="ZO33" s="206" t="s">
        <v>7992</v>
      </c>
      <c r="ZP33" s="206" t="s">
        <v>7992</v>
      </c>
      <c r="ZQ33" s="206" t="s">
        <v>7992</v>
      </c>
      <c r="ZR33" s="206" t="s">
        <v>7992</v>
      </c>
      <c r="ZS33" s="206" t="s">
        <v>7992</v>
      </c>
      <c r="ZT33" s="206" t="s">
        <v>7992</v>
      </c>
      <c r="ZU33" s="206" t="s">
        <v>7992</v>
      </c>
      <c r="ZV33" s="206" t="s">
        <v>7992</v>
      </c>
      <c r="ZW33" s="206" t="s">
        <v>7992</v>
      </c>
      <c r="ZX33" s="206" t="s">
        <v>7992</v>
      </c>
      <c r="ZY33" s="206" t="s">
        <v>7992</v>
      </c>
      <c r="ZZ33" s="206" t="s">
        <v>7992</v>
      </c>
      <c r="AAA33" s="206" t="s">
        <v>7992</v>
      </c>
      <c r="AAB33" s="206" t="s">
        <v>7992</v>
      </c>
      <c r="AAC33" s="206" t="s">
        <v>7992</v>
      </c>
      <c r="AAD33" s="206" t="s">
        <v>7992</v>
      </c>
      <c r="AAE33" s="206" t="s">
        <v>7992</v>
      </c>
    </row>
    <row r="34" spans="1:707" s="206" customFormat="1" x14ac:dyDescent="0.25">
      <c r="A34" s="203" t="s">
        <v>3323</v>
      </c>
      <c r="B34" s="225" t="s">
        <v>7992</v>
      </c>
      <c r="C34" s="225" t="s">
        <v>7992</v>
      </c>
      <c r="D34" s="225" t="s">
        <v>7992</v>
      </c>
      <c r="E34" s="225" t="s">
        <v>7992</v>
      </c>
      <c r="F34" s="225" t="s">
        <v>7992</v>
      </c>
      <c r="G34" s="225" t="s">
        <v>7992</v>
      </c>
      <c r="H34" s="225" t="s">
        <v>7992</v>
      </c>
      <c r="I34" s="225" t="s">
        <v>7992</v>
      </c>
      <c r="J34" s="225" t="s">
        <v>7992</v>
      </c>
      <c r="K34" s="167" t="s">
        <v>7992</v>
      </c>
      <c r="L34" s="167" t="s">
        <v>7992</v>
      </c>
      <c r="M34" s="167" t="s">
        <v>7992</v>
      </c>
      <c r="N34" s="206" t="s">
        <v>7992</v>
      </c>
      <c r="O34" s="206" t="s">
        <v>7992</v>
      </c>
      <c r="P34" s="206" t="s">
        <v>7992</v>
      </c>
      <c r="Q34" s="206" t="s">
        <v>7992</v>
      </c>
      <c r="R34" s="206" t="s">
        <v>7992</v>
      </c>
      <c r="S34" s="206" t="s">
        <v>7992</v>
      </c>
      <c r="T34" s="206" t="s">
        <v>7992</v>
      </c>
      <c r="U34" s="206" t="s">
        <v>7992</v>
      </c>
      <c r="V34" s="206" t="s">
        <v>7992</v>
      </c>
      <c r="W34" s="206" t="s">
        <v>7992</v>
      </c>
      <c r="X34" s="206" t="s">
        <v>7992</v>
      </c>
      <c r="Y34" s="206" t="s">
        <v>7992</v>
      </c>
      <c r="Z34" s="206" t="s">
        <v>7992</v>
      </c>
      <c r="AA34" s="206" t="s">
        <v>7992</v>
      </c>
      <c r="AB34" s="206" t="s">
        <v>7992</v>
      </c>
      <c r="AC34" s="206" t="s">
        <v>7992</v>
      </c>
      <c r="AD34" s="206" t="s">
        <v>7992</v>
      </c>
      <c r="AE34" s="206" t="s">
        <v>7992</v>
      </c>
      <c r="AF34" s="206" t="s">
        <v>7992</v>
      </c>
      <c r="AG34" s="206" t="s">
        <v>7992</v>
      </c>
      <c r="AH34" s="206" t="s">
        <v>7992</v>
      </c>
      <c r="AI34" s="206" t="s">
        <v>7992</v>
      </c>
      <c r="AJ34" s="206" t="s">
        <v>7992</v>
      </c>
      <c r="AK34" s="206" t="s">
        <v>7992</v>
      </c>
      <c r="AL34" s="206" t="s">
        <v>7992</v>
      </c>
      <c r="AM34" s="206" t="s">
        <v>7992</v>
      </c>
      <c r="AN34" s="206" t="s">
        <v>7992</v>
      </c>
      <c r="AO34" s="206" t="s">
        <v>7992</v>
      </c>
      <c r="AP34" s="206" t="s">
        <v>7992</v>
      </c>
      <c r="AQ34" s="206" t="s">
        <v>7992</v>
      </c>
      <c r="AR34" s="206" t="s">
        <v>7992</v>
      </c>
      <c r="AS34" s="206" t="s">
        <v>7992</v>
      </c>
      <c r="AT34" s="206" t="s">
        <v>7992</v>
      </c>
      <c r="AU34" s="206" t="s">
        <v>7992</v>
      </c>
      <c r="AV34" s="206" t="s">
        <v>7992</v>
      </c>
      <c r="AW34" s="167" t="s">
        <v>7992</v>
      </c>
      <c r="AX34" s="206" t="s">
        <v>7992</v>
      </c>
      <c r="AY34" s="206" t="s">
        <v>7992</v>
      </c>
      <c r="AZ34" s="206" t="s">
        <v>7992</v>
      </c>
      <c r="BA34" s="206" t="s">
        <v>7992</v>
      </c>
      <c r="BB34" s="206" t="s">
        <v>7992</v>
      </c>
      <c r="BC34" s="206" t="s">
        <v>7992</v>
      </c>
      <c r="BD34" s="206" t="s">
        <v>7992</v>
      </c>
      <c r="BE34" s="206" t="s">
        <v>7992</v>
      </c>
      <c r="BF34" s="206" t="s">
        <v>7992</v>
      </c>
      <c r="BG34" s="206" t="s">
        <v>7992</v>
      </c>
      <c r="BH34" s="206" t="s">
        <v>7992</v>
      </c>
      <c r="BI34" s="206" t="s">
        <v>7992</v>
      </c>
      <c r="BJ34" s="206" t="s">
        <v>7992</v>
      </c>
      <c r="BK34" s="206" t="s">
        <v>7992</v>
      </c>
      <c r="BL34" s="206" t="s">
        <v>7992</v>
      </c>
      <c r="BM34" s="206" t="s">
        <v>7992</v>
      </c>
      <c r="BN34" s="206" t="s">
        <v>7992</v>
      </c>
      <c r="BO34" s="206" t="s">
        <v>7992</v>
      </c>
      <c r="BP34" s="206" t="s">
        <v>7992</v>
      </c>
      <c r="BQ34" s="206" t="s">
        <v>7992</v>
      </c>
      <c r="BR34" s="206" t="s">
        <v>7992</v>
      </c>
      <c r="BS34" s="206" t="s">
        <v>7992</v>
      </c>
      <c r="BT34" s="206" t="s">
        <v>7992</v>
      </c>
      <c r="BU34" s="206" t="s">
        <v>7992</v>
      </c>
      <c r="BV34" s="206" t="s">
        <v>7992</v>
      </c>
      <c r="BW34" s="206" t="s">
        <v>7992</v>
      </c>
      <c r="BX34" s="206" t="s">
        <v>7992</v>
      </c>
      <c r="BY34" s="206" t="s">
        <v>7992</v>
      </c>
      <c r="BZ34" s="206" t="s">
        <v>7992</v>
      </c>
      <c r="CA34" s="206" t="s">
        <v>7992</v>
      </c>
      <c r="CB34" s="206" t="s">
        <v>7992</v>
      </c>
      <c r="CC34" s="206" t="s">
        <v>7992</v>
      </c>
      <c r="CD34" s="206" t="s">
        <v>7992</v>
      </c>
      <c r="CE34" s="206" t="s">
        <v>7992</v>
      </c>
      <c r="CF34" s="206" t="s">
        <v>7992</v>
      </c>
      <c r="CG34" s="206" t="s">
        <v>7992</v>
      </c>
      <c r="CH34" s="206" t="s">
        <v>7992</v>
      </c>
      <c r="CI34" s="206" t="s">
        <v>7992</v>
      </c>
      <c r="CJ34" s="206" t="s">
        <v>7992</v>
      </c>
      <c r="CK34" s="206" t="s">
        <v>7992</v>
      </c>
      <c r="CL34" s="206" t="s">
        <v>7992</v>
      </c>
      <c r="CM34" s="206" t="s">
        <v>7992</v>
      </c>
      <c r="CN34" s="206" t="s">
        <v>7992</v>
      </c>
      <c r="CO34" s="206" t="s">
        <v>7992</v>
      </c>
      <c r="CP34" s="206" t="s">
        <v>7992</v>
      </c>
      <c r="CQ34" s="206" t="s">
        <v>7992</v>
      </c>
      <c r="CR34" s="206" t="s">
        <v>7992</v>
      </c>
      <c r="CS34" s="206" t="s">
        <v>7992</v>
      </c>
      <c r="CT34" s="206" t="s">
        <v>7992</v>
      </c>
      <c r="CU34" s="206" t="s">
        <v>7992</v>
      </c>
      <c r="CV34" s="206" t="s">
        <v>7992</v>
      </c>
      <c r="CW34" s="206" t="s">
        <v>7992</v>
      </c>
      <c r="CX34" s="206" t="s">
        <v>7992</v>
      </c>
      <c r="CY34" s="206" t="s">
        <v>7992</v>
      </c>
      <c r="CZ34" s="206" t="s">
        <v>7992</v>
      </c>
      <c r="DA34" s="206" t="s">
        <v>7992</v>
      </c>
      <c r="DB34" s="206" t="s">
        <v>7992</v>
      </c>
      <c r="DC34" s="206" t="s">
        <v>7992</v>
      </c>
      <c r="DD34" s="206" t="s">
        <v>7992</v>
      </c>
      <c r="DE34" s="206" t="s">
        <v>7992</v>
      </c>
      <c r="DF34" s="206" t="s">
        <v>7992</v>
      </c>
      <c r="DG34" s="206" t="s">
        <v>7992</v>
      </c>
      <c r="DH34" s="206" t="s">
        <v>7992</v>
      </c>
      <c r="DI34" s="206" t="s">
        <v>7992</v>
      </c>
      <c r="DJ34" s="206" t="s">
        <v>7992</v>
      </c>
      <c r="DK34" s="206" t="s">
        <v>7992</v>
      </c>
      <c r="DL34" s="206" t="s">
        <v>7992</v>
      </c>
      <c r="DM34" s="206" t="s">
        <v>7992</v>
      </c>
      <c r="DN34" s="206" t="s">
        <v>7992</v>
      </c>
      <c r="DO34" s="206" t="s">
        <v>7992</v>
      </c>
      <c r="DP34" s="206" t="s">
        <v>7992</v>
      </c>
      <c r="DQ34" s="206" t="s">
        <v>7992</v>
      </c>
      <c r="DR34" s="206" t="s">
        <v>7992</v>
      </c>
      <c r="DS34" s="206" t="s">
        <v>7992</v>
      </c>
      <c r="DT34" s="206" t="s">
        <v>7992</v>
      </c>
      <c r="DU34" s="206" t="s">
        <v>7992</v>
      </c>
      <c r="DV34" s="206" t="s">
        <v>7992</v>
      </c>
      <c r="DW34" s="206" t="s">
        <v>7992</v>
      </c>
      <c r="DX34" s="206" t="s">
        <v>7992</v>
      </c>
      <c r="DY34" s="206" t="s">
        <v>7992</v>
      </c>
      <c r="DZ34" s="206" t="s">
        <v>7992</v>
      </c>
      <c r="EA34" s="206" t="s">
        <v>7992</v>
      </c>
      <c r="EB34" s="206" t="s">
        <v>7992</v>
      </c>
      <c r="EC34" s="206" t="s">
        <v>7992</v>
      </c>
      <c r="ED34" s="206" t="s">
        <v>7992</v>
      </c>
      <c r="EE34" s="206" t="s">
        <v>7992</v>
      </c>
      <c r="EF34" s="206" t="s">
        <v>7992</v>
      </c>
      <c r="EG34" s="206" t="s">
        <v>7992</v>
      </c>
      <c r="EH34" s="206" t="s">
        <v>7992</v>
      </c>
      <c r="EI34" s="206" t="s">
        <v>7992</v>
      </c>
      <c r="EJ34" s="206" t="s">
        <v>7992</v>
      </c>
      <c r="EK34" s="206" t="s">
        <v>7992</v>
      </c>
      <c r="EL34" s="206" t="s">
        <v>7992</v>
      </c>
      <c r="EM34" s="206" t="s">
        <v>7992</v>
      </c>
      <c r="EN34" s="206" t="s">
        <v>7992</v>
      </c>
      <c r="EO34" s="206" t="s">
        <v>7992</v>
      </c>
      <c r="EP34" s="206" t="s">
        <v>7992</v>
      </c>
      <c r="EQ34" s="206" t="s">
        <v>7992</v>
      </c>
      <c r="ER34" s="206" t="s">
        <v>7992</v>
      </c>
      <c r="ES34" s="206" t="s">
        <v>7992</v>
      </c>
      <c r="ET34" s="206" t="s">
        <v>7992</v>
      </c>
      <c r="EU34" s="206" t="s">
        <v>7992</v>
      </c>
      <c r="EV34" s="206" t="s">
        <v>7992</v>
      </c>
      <c r="EW34" s="206" t="s">
        <v>7992</v>
      </c>
      <c r="EX34" s="206" t="s">
        <v>7992</v>
      </c>
      <c r="EY34" s="206" t="s">
        <v>7992</v>
      </c>
      <c r="EZ34" s="206" t="s">
        <v>7992</v>
      </c>
      <c r="FA34" s="206" t="s">
        <v>7992</v>
      </c>
      <c r="FB34" s="206" t="s">
        <v>7992</v>
      </c>
      <c r="FC34" s="206" t="s">
        <v>7992</v>
      </c>
      <c r="FD34" s="206" t="s">
        <v>7992</v>
      </c>
      <c r="FE34" s="206" t="s">
        <v>7992</v>
      </c>
      <c r="FF34" s="206" t="s">
        <v>7992</v>
      </c>
      <c r="FG34" s="206" t="s">
        <v>7992</v>
      </c>
      <c r="FH34" s="206" t="s">
        <v>7992</v>
      </c>
      <c r="FI34" s="206" t="s">
        <v>7992</v>
      </c>
      <c r="FJ34" s="206" t="s">
        <v>7992</v>
      </c>
      <c r="FK34" s="206" t="s">
        <v>7992</v>
      </c>
      <c r="FL34" s="206" t="s">
        <v>7992</v>
      </c>
      <c r="FM34" s="206" t="s">
        <v>7992</v>
      </c>
      <c r="FN34" s="206" t="s">
        <v>7992</v>
      </c>
      <c r="FO34" s="206" t="s">
        <v>7992</v>
      </c>
      <c r="FP34" s="206" t="s">
        <v>7992</v>
      </c>
      <c r="FQ34" s="206" t="s">
        <v>7992</v>
      </c>
      <c r="FR34" s="206" t="s">
        <v>7992</v>
      </c>
      <c r="FS34" s="206" t="s">
        <v>7992</v>
      </c>
      <c r="FT34" s="206" t="s">
        <v>7992</v>
      </c>
      <c r="FU34" s="206" t="s">
        <v>7992</v>
      </c>
      <c r="FV34" s="206" t="s">
        <v>7992</v>
      </c>
      <c r="FW34" s="206" t="s">
        <v>7992</v>
      </c>
      <c r="FX34" s="206" t="s">
        <v>7992</v>
      </c>
      <c r="FY34" s="206" t="s">
        <v>7992</v>
      </c>
      <c r="FZ34" s="206" t="s">
        <v>7992</v>
      </c>
      <c r="GA34" s="206" t="s">
        <v>7992</v>
      </c>
      <c r="GB34" s="206" t="s">
        <v>7992</v>
      </c>
      <c r="GC34" s="206" t="s">
        <v>7992</v>
      </c>
      <c r="GD34" s="206" t="s">
        <v>7992</v>
      </c>
      <c r="GE34" s="206" t="s">
        <v>7992</v>
      </c>
      <c r="GF34" s="206" t="s">
        <v>7992</v>
      </c>
      <c r="GG34" s="206" t="s">
        <v>7992</v>
      </c>
      <c r="GH34" s="206" t="s">
        <v>7992</v>
      </c>
      <c r="GI34" s="206" t="s">
        <v>7992</v>
      </c>
      <c r="GJ34" s="206" t="s">
        <v>7992</v>
      </c>
      <c r="GK34" s="206" t="s">
        <v>7992</v>
      </c>
      <c r="GL34" s="206" t="s">
        <v>7992</v>
      </c>
      <c r="GM34" s="206" t="s">
        <v>7992</v>
      </c>
      <c r="GN34" s="206" t="s">
        <v>7992</v>
      </c>
      <c r="GO34" s="206" t="s">
        <v>7992</v>
      </c>
      <c r="GP34" s="206" t="s">
        <v>7992</v>
      </c>
      <c r="GQ34" s="206" t="s">
        <v>7992</v>
      </c>
      <c r="GR34" s="206" t="s">
        <v>7992</v>
      </c>
      <c r="GS34" s="206" t="s">
        <v>7992</v>
      </c>
      <c r="GT34" s="206" t="s">
        <v>7992</v>
      </c>
      <c r="GU34" s="206" t="s">
        <v>7992</v>
      </c>
      <c r="GV34" s="206" t="s">
        <v>7992</v>
      </c>
      <c r="GW34" s="206" t="s">
        <v>7992</v>
      </c>
      <c r="GX34" s="206" t="s">
        <v>7992</v>
      </c>
      <c r="GY34" s="206" t="s">
        <v>7992</v>
      </c>
      <c r="GZ34" s="206" t="s">
        <v>7992</v>
      </c>
      <c r="HA34" s="206" t="s">
        <v>7992</v>
      </c>
      <c r="HB34" s="206" t="s">
        <v>7992</v>
      </c>
      <c r="HC34" s="206" t="s">
        <v>7992</v>
      </c>
      <c r="HD34" s="206" t="s">
        <v>7992</v>
      </c>
      <c r="HE34" s="206" t="s">
        <v>7992</v>
      </c>
      <c r="HF34" s="206" t="s">
        <v>7992</v>
      </c>
      <c r="HG34" s="206" t="s">
        <v>7992</v>
      </c>
      <c r="HH34" s="206" t="s">
        <v>7992</v>
      </c>
      <c r="HI34" s="206" t="s">
        <v>7992</v>
      </c>
      <c r="HJ34" s="206" t="s">
        <v>7992</v>
      </c>
      <c r="HK34" s="206" t="s">
        <v>7992</v>
      </c>
      <c r="HL34" s="206" t="s">
        <v>7992</v>
      </c>
      <c r="HM34" s="206" t="s">
        <v>7992</v>
      </c>
      <c r="HN34" s="206" t="s">
        <v>7992</v>
      </c>
      <c r="HO34" s="206" t="s">
        <v>7992</v>
      </c>
      <c r="HP34" s="206" t="s">
        <v>7992</v>
      </c>
      <c r="HQ34" s="206" t="s">
        <v>7992</v>
      </c>
      <c r="HR34" s="206" t="s">
        <v>7992</v>
      </c>
      <c r="HS34" s="206" t="s">
        <v>7992</v>
      </c>
      <c r="HT34" s="206" t="s">
        <v>7992</v>
      </c>
      <c r="HU34" s="206" t="s">
        <v>7992</v>
      </c>
      <c r="HV34" s="206" t="s">
        <v>7992</v>
      </c>
      <c r="HW34" s="206" t="s">
        <v>7992</v>
      </c>
      <c r="HX34" s="206" t="s">
        <v>7992</v>
      </c>
      <c r="HY34" s="206" t="s">
        <v>7992</v>
      </c>
      <c r="HZ34" s="206" t="s">
        <v>7992</v>
      </c>
      <c r="IA34" s="206" t="s">
        <v>7992</v>
      </c>
      <c r="IB34" s="206" t="s">
        <v>7992</v>
      </c>
      <c r="IC34" s="206" t="s">
        <v>7992</v>
      </c>
      <c r="ID34" s="206" t="s">
        <v>7992</v>
      </c>
      <c r="IE34" s="206" t="s">
        <v>7992</v>
      </c>
      <c r="IF34" s="206" t="s">
        <v>7992</v>
      </c>
      <c r="IG34" s="206" t="s">
        <v>7992</v>
      </c>
      <c r="IH34" s="206" t="s">
        <v>7992</v>
      </c>
      <c r="II34" s="206" t="s">
        <v>7992</v>
      </c>
      <c r="IJ34" s="206" t="s">
        <v>7992</v>
      </c>
      <c r="IK34" s="206" t="s">
        <v>7992</v>
      </c>
      <c r="IL34" s="206" t="s">
        <v>7992</v>
      </c>
      <c r="IM34" s="206" t="s">
        <v>7992</v>
      </c>
      <c r="IN34" s="206" t="s">
        <v>7992</v>
      </c>
      <c r="IO34" s="206" t="s">
        <v>7992</v>
      </c>
      <c r="IP34" s="206" t="s">
        <v>7992</v>
      </c>
      <c r="IQ34" s="206" t="s">
        <v>7992</v>
      </c>
      <c r="IR34" s="206" t="s">
        <v>7992</v>
      </c>
      <c r="IS34" s="206" t="s">
        <v>7992</v>
      </c>
      <c r="IT34" s="206" t="s">
        <v>7992</v>
      </c>
      <c r="IU34" s="206" t="s">
        <v>7992</v>
      </c>
      <c r="IV34" s="206" t="s">
        <v>7992</v>
      </c>
      <c r="IW34" s="206" t="s">
        <v>7992</v>
      </c>
      <c r="IX34" s="206" t="s">
        <v>7992</v>
      </c>
      <c r="IY34" s="206" t="s">
        <v>7992</v>
      </c>
      <c r="IZ34" s="206" t="s">
        <v>7992</v>
      </c>
      <c r="JA34" s="206" t="s">
        <v>7992</v>
      </c>
      <c r="JB34" s="206" t="s">
        <v>7992</v>
      </c>
      <c r="JC34" s="206" t="s">
        <v>7992</v>
      </c>
      <c r="JD34" s="206" t="s">
        <v>7992</v>
      </c>
      <c r="JE34" s="206" t="s">
        <v>7992</v>
      </c>
      <c r="JF34" s="206" t="s">
        <v>7992</v>
      </c>
      <c r="JG34" s="206" t="s">
        <v>7992</v>
      </c>
      <c r="JH34" s="206" t="s">
        <v>7992</v>
      </c>
      <c r="JI34" s="206" t="s">
        <v>7992</v>
      </c>
      <c r="JJ34" s="206" t="s">
        <v>7992</v>
      </c>
      <c r="JK34" s="206" t="s">
        <v>7992</v>
      </c>
      <c r="JL34" s="206" t="s">
        <v>7992</v>
      </c>
      <c r="JM34" s="206" t="s">
        <v>7992</v>
      </c>
      <c r="JN34" s="206" t="s">
        <v>7992</v>
      </c>
      <c r="JO34" s="206" t="s">
        <v>7992</v>
      </c>
      <c r="JP34" s="206" t="s">
        <v>7992</v>
      </c>
      <c r="JQ34" s="206" t="s">
        <v>7992</v>
      </c>
      <c r="JR34" s="206" t="s">
        <v>7992</v>
      </c>
      <c r="JS34" s="206" t="s">
        <v>7992</v>
      </c>
      <c r="JT34" s="206" t="s">
        <v>7992</v>
      </c>
      <c r="JU34" s="206" t="s">
        <v>7992</v>
      </c>
      <c r="JV34" s="206" t="s">
        <v>7992</v>
      </c>
      <c r="JW34" s="206" t="s">
        <v>7992</v>
      </c>
      <c r="JX34" s="206" t="s">
        <v>7992</v>
      </c>
      <c r="JY34" s="206" t="s">
        <v>7992</v>
      </c>
      <c r="JZ34" s="206" t="s">
        <v>7992</v>
      </c>
      <c r="KA34" s="206" t="s">
        <v>7992</v>
      </c>
      <c r="KB34" s="206" t="s">
        <v>7992</v>
      </c>
      <c r="KC34" s="206" t="s">
        <v>7992</v>
      </c>
      <c r="KD34" s="206" t="s">
        <v>7992</v>
      </c>
      <c r="KE34" s="206" t="s">
        <v>7992</v>
      </c>
      <c r="KF34" s="206" t="s">
        <v>7992</v>
      </c>
      <c r="KG34" s="206" t="s">
        <v>7992</v>
      </c>
      <c r="KH34" s="206" t="s">
        <v>7992</v>
      </c>
      <c r="KI34" s="206" t="s">
        <v>7992</v>
      </c>
      <c r="KJ34" s="206" t="s">
        <v>7992</v>
      </c>
      <c r="KK34" s="206" t="s">
        <v>7992</v>
      </c>
      <c r="KL34" s="206" t="s">
        <v>7992</v>
      </c>
      <c r="KM34" s="206" t="s">
        <v>7992</v>
      </c>
      <c r="KN34" s="206" t="s">
        <v>7992</v>
      </c>
      <c r="KO34" s="206" t="s">
        <v>7992</v>
      </c>
      <c r="KP34" s="206" t="s">
        <v>7992</v>
      </c>
      <c r="KQ34" s="206" t="s">
        <v>7992</v>
      </c>
      <c r="KR34" s="206" t="s">
        <v>7992</v>
      </c>
      <c r="KS34" s="206" t="s">
        <v>7992</v>
      </c>
      <c r="KT34" s="206" t="s">
        <v>7992</v>
      </c>
      <c r="KU34" s="206" t="s">
        <v>7992</v>
      </c>
      <c r="KV34" s="206" t="s">
        <v>7992</v>
      </c>
      <c r="KW34" s="206" t="s">
        <v>7992</v>
      </c>
      <c r="KX34" s="206" t="s">
        <v>7992</v>
      </c>
      <c r="KY34" s="206" t="s">
        <v>7992</v>
      </c>
      <c r="KZ34" s="206" t="s">
        <v>7992</v>
      </c>
      <c r="LA34" s="206" t="s">
        <v>7992</v>
      </c>
      <c r="LB34" s="206" t="s">
        <v>7992</v>
      </c>
      <c r="LC34" s="206" t="s">
        <v>7992</v>
      </c>
      <c r="LD34" s="206" t="s">
        <v>7992</v>
      </c>
      <c r="LE34" s="206" t="s">
        <v>7992</v>
      </c>
      <c r="LF34" s="206" t="s">
        <v>7992</v>
      </c>
      <c r="LG34" s="206" t="s">
        <v>7992</v>
      </c>
      <c r="LH34" s="206" t="s">
        <v>7992</v>
      </c>
      <c r="LI34" s="206" t="s">
        <v>7992</v>
      </c>
      <c r="LJ34" s="206" t="s">
        <v>7992</v>
      </c>
      <c r="LK34" s="206" t="s">
        <v>7992</v>
      </c>
      <c r="LL34" s="206" t="s">
        <v>7992</v>
      </c>
      <c r="LM34" s="206" t="s">
        <v>7992</v>
      </c>
      <c r="LN34" s="206" t="s">
        <v>7992</v>
      </c>
      <c r="LO34" s="206" t="s">
        <v>7992</v>
      </c>
      <c r="LP34" s="206" t="s">
        <v>7992</v>
      </c>
      <c r="LQ34" s="206" t="s">
        <v>7992</v>
      </c>
      <c r="LR34" s="206" t="s">
        <v>7992</v>
      </c>
      <c r="LS34" s="206" t="s">
        <v>7992</v>
      </c>
      <c r="LT34" s="206" t="s">
        <v>7992</v>
      </c>
      <c r="LU34" s="206" t="s">
        <v>7992</v>
      </c>
      <c r="LV34" s="206" t="s">
        <v>7992</v>
      </c>
      <c r="LW34" s="206" t="s">
        <v>7992</v>
      </c>
      <c r="LX34" s="206" t="s">
        <v>7992</v>
      </c>
      <c r="LY34" s="206" t="s">
        <v>7992</v>
      </c>
      <c r="LZ34" s="206" t="s">
        <v>7992</v>
      </c>
      <c r="MA34" s="206" t="s">
        <v>7992</v>
      </c>
      <c r="MB34" s="206" t="s">
        <v>7992</v>
      </c>
      <c r="MC34" s="206" t="s">
        <v>7992</v>
      </c>
      <c r="MD34" s="206" t="s">
        <v>7992</v>
      </c>
      <c r="ME34" s="206" t="s">
        <v>7992</v>
      </c>
      <c r="MF34" s="206" t="s">
        <v>7992</v>
      </c>
      <c r="MG34" s="206" t="s">
        <v>7992</v>
      </c>
      <c r="MH34" s="206" t="s">
        <v>7992</v>
      </c>
      <c r="MI34" s="206" t="s">
        <v>7992</v>
      </c>
      <c r="MJ34" s="206" t="s">
        <v>7992</v>
      </c>
      <c r="MK34" s="206" t="s">
        <v>7992</v>
      </c>
      <c r="ML34" s="206" t="s">
        <v>7992</v>
      </c>
      <c r="MM34" s="206" t="s">
        <v>7992</v>
      </c>
      <c r="MN34" s="206" t="s">
        <v>7992</v>
      </c>
      <c r="MO34" s="206" t="s">
        <v>7992</v>
      </c>
      <c r="MP34" s="206" t="s">
        <v>7992</v>
      </c>
      <c r="MQ34" s="206" t="s">
        <v>7992</v>
      </c>
      <c r="MR34" s="206" t="s">
        <v>7992</v>
      </c>
      <c r="MS34" s="206" t="s">
        <v>7992</v>
      </c>
      <c r="MT34" s="206" t="s">
        <v>7992</v>
      </c>
      <c r="MU34" s="206" t="s">
        <v>7992</v>
      </c>
      <c r="MV34" s="206" t="s">
        <v>7992</v>
      </c>
      <c r="MW34" s="206" t="s">
        <v>7992</v>
      </c>
      <c r="MX34" s="206" t="s">
        <v>7992</v>
      </c>
      <c r="MY34" s="206" t="s">
        <v>7992</v>
      </c>
      <c r="MZ34" s="206" t="s">
        <v>7992</v>
      </c>
      <c r="NA34" s="206" t="s">
        <v>7992</v>
      </c>
      <c r="NB34" s="206" t="s">
        <v>7992</v>
      </c>
      <c r="NC34" s="206" t="s">
        <v>7992</v>
      </c>
      <c r="ND34" s="206" t="s">
        <v>7992</v>
      </c>
      <c r="NE34" s="206" t="s">
        <v>7992</v>
      </c>
      <c r="NF34" s="206" t="s">
        <v>7992</v>
      </c>
      <c r="NG34" s="206" t="s">
        <v>7992</v>
      </c>
      <c r="NH34" s="206" t="s">
        <v>7992</v>
      </c>
      <c r="NI34" s="206" t="s">
        <v>7992</v>
      </c>
      <c r="NJ34" s="206" t="s">
        <v>7992</v>
      </c>
      <c r="NK34" s="206" t="s">
        <v>7992</v>
      </c>
      <c r="NL34" s="206" t="s">
        <v>7992</v>
      </c>
      <c r="NM34" s="206" t="s">
        <v>7992</v>
      </c>
      <c r="NN34" s="206" t="s">
        <v>7992</v>
      </c>
      <c r="NO34" s="206" t="s">
        <v>7992</v>
      </c>
      <c r="NP34" s="206" t="s">
        <v>7992</v>
      </c>
      <c r="NQ34" s="206" t="s">
        <v>7992</v>
      </c>
      <c r="NR34" s="206" t="s">
        <v>7992</v>
      </c>
      <c r="NS34" s="206" t="s">
        <v>7992</v>
      </c>
      <c r="NT34" s="206" t="s">
        <v>7992</v>
      </c>
      <c r="NU34" s="206" t="s">
        <v>7992</v>
      </c>
      <c r="NV34" s="206" t="s">
        <v>7992</v>
      </c>
      <c r="NW34" s="206" t="s">
        <v>7992</v>
      </c>
      <c r="NX34" s="206" t="s">
        <v>7992</v>
      </c>
      <c r="NY34" s="206" t="s">
        <v>7992</v>
      </c>
      <c r="NZ34" s="206" t="s">
        <v>7992</v>
      </c>
      <c r="OA34" s="206" t="s">
        <v>7992</v>
      </c>
      <c r="OB34" s="206" t="s">
        <v>7992</v>
      </c>
      <c r="OC34" s="206" t="s">
        <v>7992</v>
      </c>
      <c r="OD34" s="206" t="s">
        <v>7992</v>
      </c>
      <c r="OE34" s="206" t="s">
        <v>7992</v>
      </c>
      <c r="OF34" s="206" t="s">
        <v>7992</v>
      </c>
      <c r="OG34" s="206" t="s">
        <v>7992</v>
      </c>
      <c r="OH34" s="206" t="s">
        <v>7992</v>
      </c>
      <c r="OI34" s="206" t="s">
        <v>7992</v>
      </c>
      <c r="OJ34" s="206" t="s">
        <v>7992</v>
      </c>
      <c r="OK34" s="206" t="s">
        <v>7992</v>
      </c>
      <c r="OL34" s="206" t="s">
        <v>7992</v>
      </c>
      <c r="OM34" s="206" t="s">
        <v>7992</v>
      </c>
      <c r="ON34" s="206" t="s">
        <v>7992</v>
      </c>
      <c r="OO34" s="206" t="s">
        <v>7992</v>
      </c>
      <c r="OP34" s="206" t="s">
        <v>7992</v>
      </c>
      <c r="OQ34" s="206" t="s">
        <v>7992</v>
      </c>
      <c r="OR34" s="206" t="s">
        <v>7992</v>
      </c>
      <c r="OS34" s="206" t="s">
        <v>7992</v>
      </c>
      <c r="OT34" s="206" t="s">
        <v>7992</v>
      </c>
      <c r="OU34" s="206" t="s">
        <v>7992</v>
      </c>
      <c r="OV34" s="206" t="s">
        <v>7992</v>
      </c>
      <c r="OW34" s="206" t="s">
        <v>7992</v>
      </c>
      <c r="OX34" s="206" t="s">
        <v>7992</v>
      </c>
      <c r="OY34" s="206" t="s">
        <v>7992</v>
      </c>
      <c r="OZ34" s="206" t="s">
        <v>7992</v>
      </c>
      <c r="PA34" s="206" t="s">
        <v>7992</v>
      </c>
      <c r="PB34" s="206" t="s">
        <v>7992</v>
      </c>
      <c r="PC34" s="206" t="s">
        <v>7992</v>
      </c>
      <c r="PD34" s="206" t="s">
        <v>7992</v>
      </c>
      <c r="PE34" s="206" t="s">
        <v>7992</v>
      </c>
      <c r="PF34" s="206" t="s">
        <v>7992</v>
      </c>
      <c r="PG34" s="206" t="s">
        <v>7992</v>
      </c>
      <c r="PH34" s="206" t="s">
        <v>7992</v>
      </c>
      <c r="PI34" s="206" t="s">
        <v>7992</v>
      </c>
      <c r="PJ34" s="206" t="s">
        <v>7992</v>
      </c>
      <c r="PK34" s="206" t="s">
        <v>7992</v>
      </c>
      <c r="PL34" s="206" t="s">
        <v>7992</v>
      </c>
      <c r="PM34" s="206" t="s">
        <v>7992</v>
      </c>
      <c r="PN34" s="206" t="s">
        <v>7992</v>
      </c>
      <c r="PO34" s="206" t="s">
        <v>7992</v>
      </c>
      <c r="PP34" s="206" t="s">
        <v>7992</v>
      </c>
      <c r="PQ34" s="206" t="s">
        <v>7992</v>
      </c>
      <c r="PR34" s="206" t="s">
        <v>7992</v>
      </c>
      <c r="PS34" s="206" t="s">
        <v>7992</v>
      </c>
      <c r="PT34" s="206" t="s">
        <v>7992</v>
      </c>
      <c r="PU34" s="206" t="s">
        <v>7992</v>
      </c>
      <c r="PV34" s="206" t="s">
        <v>7992</v>
      </c>
      <c r="PW34" s="206" t="s">
        <v>7992</v>
      </c>
      <c r="PX34" s="206" t="s">
        <v>7992</v>
      </c>
      <c r="PY34" s="206" t="s">
        <v>7992</v>
      </c>
      <c r="PZ34" s="206" t="s">
        <v>7992</v>
      </c>
      <c r="QA34" s="206" t="s">
        <v>7992</v>
      </c>
      <c r="QB34" s="206" t="s">
        <v>7992</v>
      </c>
      <c r="QC34" s="206" t="s">
        <v>7992</v>
      </c>
      <c r="QD34" s="206" t="s">
        <v>7992</v>
      </c>
      <c r="QE34" s="206" t="s">
        <v>7992</v>
      </c>
      <c r="QF34" s="206" t="s">
        <v>7992</v>
      </c>
      <c r="QG34" s="206" t="s">
        <v>7992</v>
      </c>
      <c r="QH34" s="206" t="s">
        <v>7992</v>
      </c>
      <c r="QI34" s="206" t="s">
        <v>7992</v>
      </c>
      <c r="QJ34" s="206" t="s">
        <v>7992</v>
      </c>
      <c r="QK34" s="206" t="s">
        <v>7992</v>
      </c>
      <c r="QL34" s="206" t="s">
        <v>7992</v>
      </c>
      <c r="QM34" s="206" t="s">
        <v>7992</v>
      </c>
      <c r="QN34" s="206" t="s">
        <v>7992</v>
      </c>
      <c r="QO34" s="206" t="s">
        <v>7992</v>
      </c>
      <c r="QP34" s="206" t="s">
        <v>7992</v>
      </c>
      <c r="QQ34" s="206" t="s">
        <v>7992</v>
      </c>
      <c r="QR34" s="206" t="s">
        <v>7992</v>
      </c>
      <c r="QS34" s="206" t="s">
        <v>7992</v>
      </c>
      <c r="QT34" s="206" t="s">
        <v>7992</v>
      </c>
      <c r="QU34" s="206" t="s">
        <v>7992</v>
      </c>
      <c r="QV34" s="206" t="s">
        <v>7992</v>
      </c>
      <c r="QW34" s="206" t="s">
        <v>7992</v>
      </c>
      <c r="QX34" s="206" t="s">
        <v>7992</v>
      </c>
      <c r="QY34" s="206" t="s">
        <v>7992</v>
      </c>
      <c r="QZ34" s="206" t="s">
        <v>7992</v>
      </c>
      <c r="RA34" s="206" t="s">
        <v>7992</v>
      </c>
      <c r="RB34" s="206" t="s">
        <v>7992</v>
      </c>
      <c r="RC34" s="206" t="s">
        <v>7992</v>
      </c>
      <c r="RD34" s="206" t="s">
        <v>7992</v>
      </c>
      <c r="RE34" s="206" t="s">
        <v>7992</v>
      </c>
      <c r="RF34" s="206" t="s">
        <v>7992</v>
      </c>
      <c r="RG34" s="206" t="s">
        <v>7992</v>
      </c>
      <c r="RH34" s="206" t="s">
        <v>7992</v>
      </c>
      <c r="RI34" s="206" t="s">
        <v>7992</v>
      </c>
      <c r="RJ34" s="206" t="s">
        <v>7992</v>
      </c>
      <c r="RK34" s="206" t="s">
        <v>7992</v>
      </c>
      <c r="RL34" s="206" t="s">
        <v>7992</v>
      </c>
      <c r="RM34" s="206" t="s">
        <v>7992</v>
      </c>
      <c r="RN34" s="206" t="s">
        <v>7992</v>
      </c>
      <c r="RO34" s="206" t="s">
        <v>7992</v>
      </c>
      <c r="RP34" s="206" t="s">
        <v>7992</v>
      </c>
      <c r="RQ34" s="206" t="s">
        <v>7992</v>
      </c>
      <c r="RR34" s="206" t="s">
        <v>7992</v>
      </c>
      <c r="RS34" s="206" t="s">
        <v>7992</v>
      </c>
      <c r="RT34" s="206" t="s">
        <v>7992</v>
      </c>
      <c r="RU34" s="206" t="s">
        <v>7992</v>
      </c>
      <c r="RV34" s="206" t="s">
        <v>7992</v>
      </c>
      <c r="RW34" s="206" t="s">
        <v>7992</v>
      </c>
      <c r="RX34" s="206" t="s">
        <v>7992</v>
      </c>
      <c r="RY34" s="206" t="s">
        <v>7992</v>
      </c>
      <c r="RZ34" s="206" t="s">
        <v>7992</v>
      </c>
      <c r="SA34" s="206" t="s">
        <v>7992</v>
      </c>
      <c r="SB34" s="206" t="s">
        <v>7992</v>
      </c>
      <c r="SC34" s="206" t="s">
        <v>7992</v>
      </c>
      <c r="SD34" s="206" t="s">
        <v>7992</v>
      </c>
      <c r="SE34" s="206" t="s">
        <v>7992</v>
      </c>
      <c r="SF34" s="206" t="s">
        <v>7992</v>
      </c>
      <c r="SG34" s="206" t="s">
        <v>7992</v>
      </c>
      <c r="SH34" s="206" t="s">
        <v>7992</v>
      </c>
      <c r="SI34" s="206" t="s">
        <v>7992</v>
      </c>
      <c r="SJ34" s="206" t="s">
        <v>7992</v>
      </c>
      <c r="SK34" s="206" t="s">
        <v>7992</v>
      </c>
      <c r="SL34" s="206" t="s">
        <v>7992</v>
      </c>
      <c r="SM34" s="206" t="s">
        <v>7992</v>
      </c>
      <c r="SN34" s="206" t="s">
        <v>7992</v>
      </c>
      <c r="SO34" s="206" t="s">
        <v>7992</v>
      </c>
      <c r="SP34" s="206" t="s">
        <v>7992</v>
      </c>
      <c r="SQ34" s="206" t="s">
        <v>7992</v>
      </c>
      <c r="SR34" s="206" t="s">
        <v>7992</v>
      </c>
      <c r="SS34" s="206" t="s">
        <v>7992</v>
      </c>
      <c r="ST34" s="206" t="s">
        <v>7992</v>
      </c>
      <c r="SU34" s="206" t="s">
        <v>7992</v>
      </c>
      <c r="SV34" s="206" t="s">
        <v>7992</v>
      </c>
      <c r="SW34" s="206" t="s">
        <v>7992</v>
      </c>
      <c r="SX34" s="206" t="s">
        <v>7992</v>
      </c>
      <c r="SY34" s="206" t="s">
        <v>7992</v>
      </c>
      <c r="SZ34" s="206" t="s">
        <v>7992</v>
      </c>
      <c r="TA34" s="206" t="s">
        <v>7992</v>
      </c>
      <c r="TB34" s="206" t="s">
        <v>7992</v>
      </c>
      <c r="TC34" s="206" t="s">
        <v>7992</v>
      </c>
      <c r="TD34" s="206" t="s">
        <v>7992</v>
      </c>
      <c r="TE34" s="206" t="s">
        <v>7992</v>
      </c>
      <c r="TF34" s="206" t="s">
        <v>7992</v>
      </c>
      <c r="TG34" s="206" t="s">
        <v>7992</v>
      </c>
      <c r="TH34" s="206" t="s">
        <v>7992</v>
      </c>
      <c r="TI34" s="206" t="s">
        <v>7992</v>
      </c>
      <c r="TJ34" s="206" t="s">
        <v>7992</v>
      </c>
      <c r="TK34" s="206" t="s">
        <v>7992</v>
      </c>
      <c r="TL34" s="206" t="s">
        <v>7992</v>
      </c>
      <c r="TM34" s="206" t="s">
        <v>7992</v>
      </c>
      <c r="TN34" s="206" t="s">
        <v>7992</v>
      </c>
      <c r="TO34" s="206" t="s">
        <v>7992</v>
      </c>
      <c r="TP34" s="206" t="s">
        <v>7992</v>
      </c>
      <c r="TQ34" s="206" t="s">
        <v>7992</v>
      </c>
      <c r="TR34" s="206" t="s">
        <v>7992</v>
      </c>
      <c r="TS34" s="206" t="s">
        <v>7992</v>
      </c>
      <c r="TT34" s="206" t="s">
        <v>7992</v>
      </c>
      <c r="TU34" s="206" t="s">
        <v>7992</v>
      </c>
      <c r="TV34" s="206" t="s">
        <v>7992</v>
      </c>
      <c r="TW34" s="206" t="s">
        <v>7992</v>
      </c>
      <c r="TX34" s="206" t="s">
        <v>7992</v>
      </c>
      <c r="TY34" s="206" t="s">
        <v>7992</v>
      </c>
      <c r="TZ34" s="206" t="s">
        <v>7992</v>
      </c>
      <c r="UA34" s="206" t="s">
        <v>7992</v>
      </c>
      <c r="UB34" s="206" t="s">
        <v>7992</v>
      </c>
      <c r="UC34" s="206" t="s">
        <v>7992</v>
      </c>
      <c r="UD34" s="206" t="s">
        <v>7992</v>
      </c>
      <c r="UE34" s="206" t="s">
        <v>7992</v>
      </c>
      <c r="UF34" s="206" t="s">
        <v>7992</v>
      </c>
      <c r="UG34" s="206" t="s">
        <v>7992</v>
      </c>
      <c r="UH34" s="206" t="s">
        <v>7992</v>
      </c>
      <c r="UI34" s="206" t="s">
        <v>7992</v>
      </c>
      <c r="UJ34" s="206" t="s">
        <v>7992</v>
      </c>
      <c r="UK34" s="206" t="s">
        <v>7992</v>
      </c>
      <c r="UL34" s="206" t="s">
        <v>7992</v>
      </c>
      <c r="UM34" s="206" t="s">
        <v>7992</v>
      </c>
      <c r="UN34" s="206" t="s">
        <v>7992</v>
      </c>
      <c r="UO34" s="206" t="s">
        <v>7992</v>
      </c>
      <c r="UP34" s="206" t="s">
        <v>7992</v>
      </c>
      <c r="UQ34" s="206" t="s">
        <v>7992</v>
      </c>
      <c r="UR34" s="206" t="s">
        <v>7992</v>
      </c>
      <c r="US34" s="206" t="s">
        <v>7992</v>
      </c>
      <c r="UT34" s="206" t="s">
        <v>7992</v>
      </c>
      <c r="UU34" s="206" t="s">
        <v>7992</v>
      </c>
      <c r="UV34" s="206" t="s">
        <v>7992</v>
      </c>
      <c r="UW34" s="206" t="s">
        <v>7992</v>
      </c>
      <c r="UX34" s="206" t="s">
        <v>7992</v>
      </c>
      <c r="UY34" s="206" t="s">
        <v>7992</v>
      </c>
      <c r="UZ34" s="206" t="s">
        <v>7992</v>
      </c>
      <c r="VA34" s="206" t="s">
        <v>7992</v>
      </c>
      <c r="VB34" s="206" t="s">
        <v>7992</v>
      </c>
      <c r="VC34" s="206" t="s">
        <v>7992</v>
      </c>
      <c r="VD34" s="206" t="s">
        <v>7992</v>
      </c>
      <c r="VE34" s="206" t="s">
        <v>7992</v>
      </c>
      <c r="VF34" s="206" t="s">
        <v>7992</v>
      </c>
      <c r="VG34" s="206" t="s">
        <v>7992</v>
      </c>
      <c r="VH34" s="206" t="s">
        <v>7992</v>
      </c>
      <c r="VI34" s="206" t="s">
        <v>7992</v>
      </c>
      <c r="VJ34" s="206" t="s">
        <v>7992</v>
      </c>
      <c r="VK34" s="206" t="s">
        <v>7992</v>
      </c>
      <c r="VL34" s="206" t="s">
        <v>7992</v>
      </c>
      <c r="VM34" s="206" t="s">
        <v>7992</v>
      </c>
      <c r="VN34" s="206" t="s">
        <v>7992</v>
      </c>
      <c r="VO34" s="206" t="s">
        <v>7992</v>
      </c>
      <c r="VP34" s="206" t="s">
        <v>7992</v>
      </c>
      <c r="VQ34" s="206" t="s">
        <v>7992</v>
      </c>
      <c r="VR34" s="206" t="s">
        <v>7992</v>
      </c>
      <c r="VS34" s="206" t="s">
        <v>7992</v>
      </c>
      <c r="VT34" s="206" t="s">
        <v>7992</v>
      </c>
      <c r="VU34" s="206" t="s">
        <v>7992</v>
      </c>
      <c r="VV34" s="206" t="s">
        <v>7992</v>
      </c>
      <c r="VW34" s="206" t="s">
        <v>7992</v>
      </c>
      <c r="VX34" s="206" t="s">
        <v>7992</v>
      </c>
      <c r="VY34" s="206" t="s">
        <v>7992</v>
      </c>
      <c r="VZ34" s="206" t="s">
        <v>7992</v>
      </c>
      <c r="WA34" s="206" t="s">
        <v>7992</v>
      </c>
      <c r="WB34" s="206" t="s">
        <v>7992</v>
      </c>
      <c r="WC34" s="206" t="s">
        <v>7992</v>
      </c>
      <c r="WD34" s="206" t="s">
        <v>7992</v>
      </c>
      <c r="WE34" s="206" t="s">
        <v>7992</v>
      </c>
      <c r="WF34" s="206" t="s">
        <v>7992</v>
      </c>
      <c r="WG34" s="206" t="s">
        <v>7992</v>
      </c>
      <c r="WH34" s="206" t="s">
        <v>7992</v>
      </c>
      <c r="WI34" s="206" t="s">
        <v>7992</v>
      </c>
      <c r="WJ34" s="206" t="s">
        <v>7992</v>
      </c>
      <c r="WK34" s="206" t="s">
        <v>7992</v>
      </c>
      <c r="WL34" s="206" t="s">
        <v>7992</v>
      </c>
      <c r="WM34" s="206" t="s">
        <v>7992</v>
      </c>
      <c r="WN34" s="206" t="s">
        <v>7992</v>
      </c>
      <c r="WO34" s="206" t="s">
        <v>7992</v>
      </c>
      <c r="WP34" s="206" t="s">
        <v>7992</v>
      </c>
      <c r="WQ34" s="206" t="s">
        <v>7992</v>
      </c>
      <c r="WR34" s="206" t="s">
        <v>7992</v>
      </c>
      <c r="WS34" s="206" t="s">
        <v>7992</v>
      </c>
      <c r="WT34" s="206" t="s">
        <v>7992</v>
      </c>
      <c r="WU34" s="206" t="s">
        <v>7992</v>
      </c>
      <c r="WV34" s="206" t="s">
        <v>7992</v>
      </c>
      <c r="WW34" s="206" t="s">
        <v>7992</v>
      </c>
      <c r="WX34" s="206" t="s">
        <v>7992</v>
      </c>
      <c r="WY34" s="206" t="s">
        <v>7992</v>
      </c>
      <c r="WZ34" s="206" t="s">
        <v>7992</v>
      </c>
      <c r="XA34" s="206" t="s">
        <v>7992</v>
      </c>
      <c r="XB34" s="206" t="s">
        <v>7992</v>
      </c>
      <c r="XC34" s="206" t="s">
        <v>7992</v>
      </c>
      <c r="XD34" s="206" t="s">
        <v>7992</v>
      </c>
      <c r="XE34" s="206" t="s">
        <v>7992</v>
      </c>
      <c r="XF34" s="206" t="s">
        <v>7992</v>
      </c>
      <c r="XG34" s="206" t="s">
        <v>7992</v>
      </c>
      <c r="XH34" s="206" t="s">
        <v>7992</v>
      </c>
      <c r="XI34" s="206" t="s">
        <v>7992</v>
      </c>
      <c r="XJ34" s="206" t="s">
        <v>7992</v>
      </c>
      <c r="XK34" s="206" t="s">
        <v>7992</v>
      </c>
      <c r="XL34" s="206" t="s">
        <v>7992</v>
      </c>
      <c r="XM34" s="206" t="s">
        <v>7992</v>
      </c>
      <c r="XN34" s="206" t="s">
        <v>7992</v>
      </c>
      <c r="XO34" s="206" t="s">
        <v>7992</v>
      </c>
      <c r="XP34" s="206" t="s">
        <v>7992</v>
      </c>
      <c r="XQ34" s="206" t="s">
        <v>7992</v>
      </c>
      <c r="XR34" s="206" t="s">
        <v>7992</v>
      </c>
      <c r="XS34" s="206" t="s">
        <v>7992</v>
      </c>
      <c r="XT34" s="206" t="s">
        <v>7992</v>
      </c>
      <c r="XU34" s="206" t="s">
        <v>7992</v>
      </c>
      <c r="XV34" s="206" t="s">
        <v>7992</v>
      </c>
      <c r="XW34" s="206" t="s">
        <v>7992</v>
      </c>
      <c r="XX34" s="206" t="s">
        <v>7992</v>
      </c>
      <c r="XY34" s="206" t="s">
        <v>7992</v>
      </c>
      <c r="XZ34" s="206" t="s">
        <v>7992</v>
      </c>
      <c r="YA34" s="206" t="s">
        <v>7992</v>
      </c>
      <c r="YB34" s="206" t="s">
        <v>7992</v>
      </c>
      <c r="YC34" s="206" t="s">
        <v>7992</v>
      </c>
      <c r="YD34" s="206" t="s">
        <v>7992</v>
      </c>
      <c r="YE34" s="206" t="s">
        <v>7992</v>
      </c>
      <c r="YF34" s="206" t="s">
        <v>7992</v>
      </c>
      <c r="YG34" s="206" t="s">
        <v>7992</v>
      </c>
      <c r="YH34" s="206" t="s">
        <v>7992</v>
      </c>
      <c r="YI34" s="206" t="s">
        <v>7992</v>
      </c>
      <c r="YJ34" s="206" t="s">
        <v>7992</v>
      </c>
      <c r="YK34" s="206" t="s">
        <v>7992</v>
      </c>
      <c r="YL34" s="206" t="s">
        <v>7992</v>
      </c>
      <c r="YM34" s="206" t="s">
        <v>7992</v>
      </c>
      <c r="YN34" s="206" t="s">
        <v>7992</v>
      </c>
      <c r="YO34" s="206" t="s">
        <v>7992</v>
      </c>
      <c r="YP34" s="206" t="s">
        <v>7992</v>
      </c>
      <c r="YQ34" s="206" t="s">
        <v>7992</v>
      </c>
      <c r="YR34" s="206" t="s">
        <v>7992</v>
      </c>
      <c r="YS34" s="206" t="s">
        <v>7992</v>
      </c>
      <c r="YT34" s="206" t="s">
        <v>7992</v>
      </c>
      <c r="YU34" s="206" t="s">
        <v>7992</v>
      </c>
      <c r="YV34" s="206" t="s">
        <v>7992</v>
      </c>
      <c r="YW34" s="206" t="s">
        <v>7992</v>
      </c>
      <c r="YX34" s="206" t="s">
        <v>7992</v>
      </c>
      <c r="YY34" s="206" t="s">
        <v>7992</v>
      </c>
      <c r="YZ34" s="206" t="s">
        <v>7992</v>
      </c>
      <c r="ZA34" s="206" t="s">
        <v>7992</v>
      </c>
      <c r="ZB34" s="206" t="s">
        <v>7992</v>
      </c>
      <c r="ZC34" s="206" t="s">
        <v>7992</v>
      </c>
      <c r="ZD34" s="206" t="s">
        <v>7992</v>
      </c>
      <c r="ZE34" s="206" t="s">
        <v>7992</v>
      </c>
      <c r="ZF34" s="206" t="s">
        <v>7992</v>
      </c>
      <c r="ZG34" s="206" t="s">
        <v>7992</v>
      </c>
      <c r="ZH34" s="206" t="s">
        <v>7992</v>
      </c>
      <c r="ZI34" s="206" t="s">
        <v>7992</v>
      </c>
      <c r="ZJ34" s="206" t="s">
        <v>7992</v>
      </c>
      <c r="ZK34" s="206" t="s">
        <v>7992</v>
      </c>
      <c r="ZL34" s="206" t="s">
        <v>7992</v>
      </c>
      <c r="ZM34" s="206" t="s">
        <v>7992</v>
      </c>
      <c r="ZN34" s="206" t="s">
        <v>7992</v>
      </c>
      <c r="ZO34" s="206" t="s">
        <v>7992</v>
      </c>
      <c r="ZP34" s="206" t="s">
        <v>7992</v>
      </c>
      <c r="ZQ34" s="206" t="s">
        <v>7992</v>
      </c>
      <c r="ZR34" s="206" t="s">
        <v>7992</v>
      </c>
      <c r="ZS34" s="206" t="s">
        <v>7992</v>
      </c>
      <c r="ZT34" s="206" t="s">
        <v>7992</v>
      </c>
      <c r="ZU34" s="206" t="s">
        <v>7992</v>
      </c>
      <c r="ZV34" s="206" t="s">
        <v>7992</v>
      </c>
      <c r="ZW34" s="206" t="s">
        <v>7992</v>
      </c>
      <c r="ZX34" s="206" t="s">
        <v>7992</v>
      </c>
      <c r="ZY34" s="206" t="s">
        <v>7992</v>
      </c>
      <c r="ZZ34" s="206" t="s">
        <v>7992</v>
      </c>
      <c r="AAA34" s="206" t="s">
        <v>7992</v>
      </c>
      <c r="AAB34" s="206" t="s">
        <v>7992</v>
      </c>
      <c r="AAC34" s="206" t="s">
        <v>7992</v>
      </c>
      <c r="AAD34" s="206" t="s">
        <v>7992</v>
      </c>
      <c r="AAE34" s="206" t="s">
        <v>7992</v>
      </c>
    </row>
    <row r="35" spans="1:707" s="206" customFormat="1" x14ac:dyDescent="0.25">
      <c r="A35" s="203" t="s">
        <v>3339</v>
      </c>
      <c r="B35" s="225" t="s">
        <v>7992</v>
      </c>
      <c r="C35" s="225" t="s">
        <v>7992</v>
      </c>
      <c r="D35" s="225" t="s">
        <v>7992</v>
      </c>
      <c r="E35" s="225" t="s">
        <v>7992</v>
      </c>
      <c r="F35" s="225" t="s">
        <v>7992</v>
      </c>
      <c r="G35" s="225" t="s">
        <v>7992</v>
      </c>
      <c r="H35" s="225" t="s">
        <v>7992</v>
      </c>
      <c r="I35" s="228" t="s">
        <v>7992</v>
      </c>
      <c r="J35" s="228" t="s">
        <v>7992</v>
      </c>
      <c r="K35" s="209" t="s">
        <v>7992</v>
      </c>
      <c r="L35" s="209" t="s">
        <v>7992</v>
      </c>
      <c r="M35" s="209" t="s">
        <v>7992</v>
      </c>
      <c r="N35" s="209" t="s">
        <v>7992</v>
      </c>
      <c r="O35" s="209" t="s">
        <v>7992</v>
      </c>
      <c r="P35" s="209" t="s">
        <v>7992</v>
      </c>
      <c r="Q35" s="209" t="s">
        <v>7992</v>
      </c>
      <c r="R35" s="209" t="s">
        <v>7992</v>
      </c>
      <c r="S35" s="209" t="s">
        <v>7992</v>
      </c>
      <c r="T35" s="209" t="s">
        <v>7992</v>
      </c>
      <c r="U35" s="209" t="s">
        <v>7992</v>
      </c>
      <c r="V35" s="209" t="s">
        <v>7992</v>
      </c>
      <c r="W35" s="209" t="s">
        <v>7992</v>
      </c>
      <c r="X35" s="209" t="s">
        <v>7992</v>
      </c>
      <c r="Y35" s="209" t="s">
        <v>7992</v>
      </c>
      <c r="Z35" s="209" t="s">
        <v>7992</v>
      </c>
      <c r="AA35" s="209" t="s">
        <v>7992</v>
      </c>
      <c r="AB35" s="209" t="s">
        <v>7992</v>
      </c>
      <c r="AC35" s="209" t="s">
        <v>7992</v>
      </c>
      <c r="AD35" s="209" t="s">
        <v>7992</v>
      </c>
      <c r="AE35" s="209" t="s">
        <v>7992</v>
      </c>
      <c r="AF35" s="209" t="s">
        <v>7992</v>
      </c>
      <c r="AG35" s="209" t="s">
        <v>7992</v>
      </c>
      <c r="AH35" s="209" t="s">
        <v>7992</v>
      </c>
      <c r="AI35" s="209" t="s">
        <v>7992</v>
      </c>
      <c r="AJ35" s="209" t="s">
        <v>7992</v>
      </c>
      <c r="AK35" s="209" t="s">
        <v>7992</v>
      </c>
      <c r="AL35" s="209" t="s">
        <v>7992</v>
      </c>
      <c r="AM35" s="209" t="s">
        <v>7992</v>
      </c>
      <c r="AN35" s="209" t="s">
        <v>7992</v>
      </c>
      <c r="AO35" s="209" t="s">
        <v>7992</v>
      </c>
      <c r="AP35" s="209" t="s">
        <v>7992</v>
      </c>
      <c r="AQ35" s="209" t="s">
        <v>7992</v>
      </c>
      <c r="AR35" s="209" t="s">
        <v>7992</v>
      </c>
      <c r="AS35" s="209" t="s">
        <v>7992</v>
      </c>
      <c r="AT35" s="209" t="s">
        <v>7992</v>
      </c>
      <c r="AU35" s="209" t="s">
        <v>7992</v>
      </c>
      <c r="AV35" s="209" t="s">
        <v>7992</v>
      </c>
      <c r="AW35" s="167" t="s">
        <v>7992</v>
      </c>
      <c r="AX35" s="206" t="s">
        <v>7992</v>
      </c>
      <c r="AY35" s="206" t="s">
        <v>7992</v>
      </c>
      <c r="AZ35" s="206" t="s">
        <v>7992</v>
      </c>
      <c r="BA35" s="206" t="s">
        <v>7992</v>
      </c>
      <c r="BB35" s="206" t="s">
        <v>7992</v>
      </c>
      <c r="BC35" s="206" t="s">
        <v>7992</v>
      </c>
      <c r="BD35" s="206" t="s">
        <v>7992</v>
      </c>
      <c r="BE35" s="206" t="s">
        <v>7992</v>
      </c>
      <c r="BF35" s="206" t="s">
        <v>7992</v>
      </c>
      <c r="BG35" s="206" t="s">
        <v>7992</v>
      </c>
      <c r="BH35" s="206" t="s">
        <v>7992</v>
      </c>
      <c r="BI35" s="206" t="s">
        <v>7992</v>
      </c>
      <c r="BJ35" s="206" t="s">
        <v>7992</v>
      </c>
      <c r="BK35" s="206" t="s">
        <v>7992</v>
      </c>
      <c r="BL35" s="206" t="s">
        <v>7992</v>
      </c>
      <c r="BM35" s="206" t="s">
        <v>7992</v>
      </c>
      <c r="BN35" s="206" t="s">
        <v>7992</v>
      </c>
      <c r="BO35" s="206" t="s">
        <v>7992</v>
      </c>
      <c r="BP35" s="206" t="s">
        <v>7992</v>
      </c>
      <c r="BQ35" s="206" t="s">
        <v>7992</v>
      </c>
      <c r="BR35" s="206" t="s">
        <v>7992</v>
      </c>
      <c r="BS35" s="206" t="s">
        <v>7992</v>
      </c>
      <c r="BT35" s="206" t="s">
        <v>7992</v>
      </c>
      <c r="BU35" s="206" t="s">
        <v>7992</v>
      </c>
      <c r="BV35" s="206" t="s">
        <v>7992</v>
      </c>
      <c r="BW35" s="206" t="s">
        <v>7992</v>
      </c>
      <c r="BX35" s="206" t="s">
        <v>7992</v>
      </c>
      <c r="BY35" s="206" t="s">
        <v>7992</v>
      </c>
      <c r="BZ35" s="206" t="s">
        <v>7992</v>
      </c>
      <c r="CA35" s="206" t="s">
        <v>7992</v>
      </c>
      <c r="CB35" s="206" t="s">
        <v>7992</v>
      </c>
      <c r="CC35" s="206" t="s">
        <v>7992</v>
      </c>
      <c r="CD35" s="206" t="s">
        <v>7992</v>
      </c>
      <c r="CE35" s="206" t="s">
        <v>7992</v>
      </c>
      <c r="CF35" s="206" t="s">
        <v>7992</v>
      </c>
      <c r="CG35" s="206" t="s">
        <v>7992</v>
      </c>
      <c r="CH35" s="206" t="s">
        <v>7992</v>
      </c>
      <c r="CI35" s="206" t="s">
        <v>7992</v>
      </c>
      <c r="CJ35" s="206" t="s">
        <v>7992</v>
      </c>
      <c r="CK35" s="206" t="s">
        <v>7992</v>
      </c>
      <c r="CL35" s="206" t="s">
        <v>7992</v>
      </c>
      <c r="CM35" s="206" t="s">
        <v>7992</v>
      </c>
      <c r="CN35" s="206" t="s">
        <v>7992</v>
      </c>
      <c r="CO35" s="206" t="s">
        <v>7992</v>
      </c>
      <c r="CP35" s="206" t="s">
        <v>7992</v>
      </c>
      <c r="CQ35" s="206" t="s">
        <v>7992</v>
      </c>
      <c r="CR35" s="206" t="s">
        <v>7992</v>
      </c>
      <c r="CS35" s="206" t="s">
        <v>7992</v>
      </c>
      <c r="CT35" s="206" t="s">
        <v>7992</v>
      </c>
      <c r="CU35" s="206" t="s">
        <v>7992</v>
      </c>
      <c r="CV35" s="206" t="s">
        <v>7992</v>
      </c>
      <c r="CW35" s="206" t="s">
        <v>7992</v>
      </c>
      <c r="CX35" s="206" t="s">
        <v>7992</v>
      </c>
      <c r="CY35" s="206" t="s">
        <v>7992</v>
      </c>
      <c r="CZ35" s="206" t="s">
        <v>7992</v>
      </c>
      <c r="DA35" s="206" t="s">
        <v>7992</v>
      </c>
      <c r="DB35" s="206" t="s">
        <v>7992</v>
      </c>
      <c r="DC35" s="206" t="s">
        <v>7992</v>
      </c>
      <c r="DD35" s="206" t="s">
        <v>7992</v>
      </c>
      <c r="DE35" s="206" t="s">
        <v>7992</v>
      </c>
      <c r="DF35" s="206" t="s">
        <v>7992</v>
      </c>
      <c r="DG35" s="206" t="s">
        <v>7992</v>
      </c>
      <c r="DH35" s="206" t="s">
        <v>7992</v>
      </c>
      <c r="DI35" s="206" t="s">
        <v>7992</v>
      </c>
      <c r="DJ35" s="206" t="s">
        <v>7992</v>
      </c>
      <c r="DK35" s="206" t="s">
        <v>7992</v>
      </c>
      <c r="DL35" s="206" t="s">
        <v>7992</v>
      </c>
      <c r="DM35" s="206" t="s">
        <v>7992</v>
      </c>
      <c r="DN35" s="206" t="s">
        <v>7992</v>
      </c>
      <c r="DO35" s="206" t="s">
        <v>7992</v>
      </c>
      <c r="DP35" s="206" t="s">
        <v>7992</v>
      </c>
      <c r="DQ35" s="206" t="s">
        <v>7992</v>
      </c>
      <c r="DR35" s="206" t="s">
        <v>7992</v>
      </c>
      <c r="DS35" s="206" t="s">
        <v>7992</v>
      </c>
      <c r="DT35" s="206" t="s">
        <v>7992</v>
      </c>
      <c r="DU35" s="206" t="s">
        <v>7992</v>
      </c>
      <c r="DV35" s="206" t="s">
        <v>7992</v>
      </c>
      <c r="DW35" s="206" t="s">
        <v>7992</v>
      </c>
      <c r="DX35" s="206" t="s">
        <v>7992</v>
      </c>
      <c r="DY35" s="206" t="s">
        <v>7992</v>
      </c>
      <c r="DZ35" s="206" t="s">
        <v>7992</v>
      </c>
      <c r="EA35" s="206" t="s">
        <v>7992</v>
      </c>
      <c r="EB35" s="206" t="s">
        <v>7992</v>
      </c>
      <c r="EC35" s="206" t="s">
        <v>7992</v>
      </c>
      <c r="ED35" s="206" t="s">
        <v>7992</v>
      </c>
      <c r="EE35" s="206" t="s">
        <v>7992</v>
      </c>
      <c r="EF35" s="206" t="s">
        <v>7992</v>
      </c>
      <c r="EG35" s="206" t="s">
        <v>7992</v>
      </c>
      <c r="EH35" s="206" t="s">
        <v>7992</v>
      </c>
      <c r="EI35" s="206" t="s">
        <v>7992</v>
      </c>
      <c r="EJ35" s="206" t="s">
        <v>7992</v>
      </c>
      <c r="EK35" s="206" t="s">
        <v>7992</v>
      </c>
      <c r="EL35" s="206" t="s">
        <v>7992</v>
      </c>
      <c r="EM35" s="206" t="s">
        <v>7992</v>
      </c>
      <c r="EN35" s="206" t="s">
        <v>7992</v>
      </c>
      <c r="EO35" s="206" t="s">
        <v>7992</v>
      </c>
      <c r="EP35" s="206" t="s">
        <v>7992</v>
      </c>
      <c r="EQ35" s="206" t="s">
        <v>7992</v>
      </c>
      <c r="ER35" s="206" t="s">
        <v>7992</v>
      </c>
      <c r="ES35" s="206" t="s">
        <v>7992</v>
      </c>
      <c r="ET35" s="206" t="s">
        <v>7992</v>
      </c>
      <c r="EU35" s="206" t="s">
        <v>7992</v>
      </c>
      <c r="EV35" s="206" t="s">
        <v>7992</v>
      </c>
      <c r="EW35" s="206" t="s">
        <v>7992</v>
      </c>
      <c r="EX35" s="206" t="s">
        <v>7992</v>
      </c>
      <c r="EY35" s="206" t="s">
        <v>7992</v>
      </c>
      <c r="EZ35" s="206" t="s">
        <v>7992</v>
      </c>
      <c r="FA35" s="206" t="s">
        <v>7992</v>
      </c>
      <c r="FB35" s="206" t="s">
        <v>7992</v>
      </c>
      <c r="FC35" s="206" t="s">
        <v>7992</v>
      </c>
      <c r="FD35" s="206" t="s">
        <v>7992</v>
      </c>
      <c r="FE35" s="206" t="s">
        <v>7992</v>
      </c>
      <c r="FF35" s="206" t="s">
        <v>7992</v>
      </c>
      <c r="FG35" s="206" t="s">
        <v>7992</v>
      </c>
      <c r="FH35" s="206" t="s">
        <v>7992</v>
      </c>
      <c r="FI35" s="206" t="s">
        <v>7992</v>
      </c>
      <c r="FJ35" s="206" t="s">
        <v>7992</v>
      </c>
      <c r="FK35" s="206" t="s">
        <v>7992</v>
      </c>
      <c r="FL35" s="206" t="s">
        <v>7992</v>
      </c>
      <c r="FM35" s="206" t="s">
        <v>7992</v>
      </c>
      <c r="FN35" s="206" t="s">
        <v>7992</v>
      </c>
      <c r="FO35" s="206" t="s">
        <v>7992</v>
      </c>
      <c r="FP35" s="206" t="s">
        <v>7992</v>
      </c>
      <c r="FQ35" s="206" t="s">
        <v>7992</v>
      </c>
      <c r="FR35" s="206" t="s">
        <v>7992</v>
      </c>
      <c r="FS35" s="206" t="s">
        <v>7992</v>
      </c>
      <c r="FT35" s="206" t="s">
        <v>7992</v>
      </c>
      <c r="FU35" s="206" t="s">
        <v>7992</v>
      </c>
      <c r="FV35" s="206" t="s">
        <v>7992</v>
      </c>
      <c r="FW35" s="206" t="s">
        <v>7992</v>
      </c>
      <c r="FX35" s="206" t="s">
        <v>7992</v>
      </c>
      <c r="FY35" s="206" t="s">
        <v>7992</v>
      </c>
      <c r="FZ35" s="206" t="s">
        <v>7992</v>
      </c>
      <c r="GA35" s="206" t="s">
        <v>7992</v>
      </c>
      <c r="GB35" s="206" t="s">
        <v>7992</v>
      </c>
      <c r="GC35" s="206" t="s">
        <v>7992</v>
      </c>
      <c r="GD35" s="206" t="s">
        <v>7992</v>
      </c>
      <c r="GE35" s="206" t="s">
        <v>7992</v>
      </c>
      <c r="GF35" s="206" t="s">
        <v>7992</v>
      </c>
      <c r="GG35" s="206" t="s">
        <v>7992</v>
      </c>
      <c r="GH35" s="206" t="s">
        <v>7992</v>
      </c>
      <c r="GI35" s="206" t="s">
        <v>7992</v>
      </c>
      <c r="GJ35" s="206" t="s">
        <v>7992</v>
      </c>
      <c r="GK35" s="206" t="s">
        <v>7992</v>
      </c>
      <c r="GL35" s="206" t="s">
        <v>7992</v>
      </c>
      <c r="GM35" s="206" t="s">
        <v>7992</v>
      </c>
      <c r="GN35" s="206" t="s">
        <v>7992</v>
      </c>
      <c r="GO35" s="206" t="s">
        <v>7992</v>
      </c>
      <c r="GP35" s="206" t="s">
        <v>7992</v>
      </c>
      <c r="GQ35" s="206" t="s">
        <v>7992</v>
      </c>
      <c r="GR35" s="206" t="s">
        <v>7992</v>
      </c>
      <c r="GS35" s="206" t="s">
        <v>7992</v>
      </c>
      <c r="GT35" s="206" t="s">
        <v>7992</v>
      </c>
      <c r="GU35" s="206" t="s">
        <v>7992</v>
      </c>
      <c r="GV35" s="206" t="s">
        <v>7992</v>
      </c>
      <c r="GW35" s="206" t="s">
        <v>7992</v>
      </c>
      <c r="GX35" s="206" t="s">
        <v>7992</v>
      </c>
      <c r="GY35" s="206" t="s">
        <v>7992</v>
      </c>
      <c r="GZ35" s="206" t="s">
        <v>7992</v>
      </c>
      <c r="HA35" s="206" t="s">
        <v>7992</v>
      </c>
      <c r="HB35" s="206" t="s">
        <v>7992</v>
      </c>
      <c r="HC35" s="206" t="s">
        <v>7992</v>
      </c>
      <c r="HD35" s="206" t="s">
        <v>7992</v>
      </c>
      <c r="HE35" s="206" t="s">
        <v>7992</v>
      </c>
      <c r="HF35" s="206" t="s">
        <v>7992</v>
      </c>
      <c r="HG35" s="206" t="s">
        <v>7992</v>
      </c>
      <c r="HH35" s="206" t="s">
        <v>7992</v>
      </c>
      <c r="HI35" s="206" t="s">
        <v>7992</v>
      </c>
      <c r="HJ35" s="206" t="s">
        <v>7992</v>
      </c>
      <c r="HK35" s="206" t="s">
        <v>7992</v>
      </c>
      <c r="HL35" s="206" t="s">
        <v>7992</v>
      </c>
      <c r="HM35" s="206" t="s">
        <v>7992</v>
      </c>
      <c r="HN35" s="206" t="s">
        <v>7992</v>
      </c>
      <c r="HO35" s="206" t="s">
        <v>7992</v>
      </c>
      <c r="HP35" s="206" t="s">
        <v>7992</v>
      </c>
      <c r="HQ35" s="206" t="s">
        <v>7992</v>
      </c>
      <c r="HR35" s="206" t="s">
        <v>7992</v>
      </c>
      <c r="HS35" s="206" t="s">
        <v>7992</v>
      </c>
      <c r="HT35" s="206" t="s">
        <v>7992</v>
      </c>
      <c r="HU35" s="206" t="s">
        <v>7992</v>
      </c>
      <c r="HV35" s="206" t="s">
        <v>7992</v>
      </c>
      <c r="HW35" s="206" t="s">
        <v>7992</v>
      </c>
      <c r="HX35" s="206" t="s">
        <v>7992</v>
      </c>
      <c r="HY35" s="206" t="s">
        <v>7992</v>
      </c>
      <c r="HZ35" s="206" t="s">
        <v>7992</v>
      </c>
      <c r="IA35" s="206" t="s">
        <v>7992</v>
      </c>
      <c r="IB35" s="206" t="s">
        <v>7992</v>
      </c>
      <c r="IC35" s="206" t="s">
        <v>7992</v>
      </c>
      <c r="ID35" s="206" t="s">
        <v>7992</v>
      </c>
      <c r="IE35" s="206" t="s">
        <v>7992</v>
      </c>
      <c r="IF35" s="206" t="s">
        <v>7992</v>
      </c>
      <c r="IG35" s="206" t="s">
        <v>7992</v>
      </c>
      <c r="IH35" s="206" t="s">
        <v>7992</v>
      </c>
      <c r="II35" s="206" t="s">
        <v>7992</v>
      </c>
      <c r="IJ35" s="206" t="s">
        <v>7992</v>
      </c>
      <c r="IK35" s="206" t="s">
        <v>7992</v>
      </c>
      <c r="IL35" s="206" t="s">
        <v>7992</v>
      </c>
      <c r="IM35" s="206" t="s">
        <v>7992</v>
      </c>
      <c r="IN35" s="206" t="s">
        <v>7992</v>
      </c>
      <c r="IO35" s="206" t="s">
        <v>7992</v>
      </c>
      <c r="IP35" s="206" t="s">
        <v>7992</v>
      </c>
      <c r="IQ35" s="206" t="s">
        <v>7992</v>
      </c>
      <c r="IR35" s="206" t="s">
        <v>7992</v>
      </c>
      <c r="IS35" s="206" t="s">
        <v>7992</v>
      </c>
      <c r="IT35" s="206" t="s">
        <v>7992</v>
      </c>
      <c r="IU35" s="206" t="s">
        <v>7992</v>
      </c>
      <c r="IV35" s="206" t="s">
        <v>7992</v>
      </c>
      <c r="IW35" s="206" t="s">
        <v>7992</v>
      </c>
      <c r="IX35" s="206" t="s">
        <v>7992</v>
      </c>
      <c r="IY35" s="206" t="s">
        <v>7992</v>
      </c>
      <c r="IZ35" s="206" t="s">
        <v>7992</v>
      </c>
      <c r="JA35" s="206" t="s">
        <v>7992</v>
      </c>
      <c r="JB35" s="206" t="s">
        <v>7992</v>
      </c>
      <c r="JC35" s="206" t="s">
        <v>7992</v>
      </c>
      <c r="JD35" s="206" t="s">
        <v>7992</v>
      </c>
      <c r="JE35" s="206" t="s">
        <v>7992</v>
      </c>
      <c r="JF35" s="206" t="s">
        <v>7992</v>
      </c>
      <c r="JG35" s="206" t="s">
        <v>7992</v>
      </c>
      <c r="JH35" s="206" t="s">
        <v>7992</v>
      </c>
      <c r="JI35" s="206" t="s">
        <v>7992</v>
      </c>
      <c r="JJ35" s="206" t="s">
        <v>7992</v>
      </c>
      <c r="JK35" s="206" t="s">
        <v>7992</v>
      </c>
      <c r="JL35" s="206" t="s">
        <v>7992</v>
      </c>
      <c r="JM35" s="206" t="s">
        <v>7992</v>
      </c>
      <c r="JN35" s="206" t="s">
        <v>7992</v>
      </c>
      <c r="JO35" s="206" t="s">
        <v>7992</v>
      </c>
      <c r="JP35" s="206" t="s">
        <v>7992</v>
      </c>
      <c r="JQ35" s="206" t="s">
        <v>7992</v>
      </c>
      <c r="JR35" s="206" t="s">
        <v>7992</v>
      </c>
      <c r="JS35" s="206" t="s">
        <v>7992</v>
      </c>
      <c r="JT35" s="206" t="s">
        <v>7992</v>
      </c>
      <c r="JU35" s="206" t="s">
        <v>7992</v>
      </c>
      <c r="JV35" s="206" t="s">
        <v>7992</v>
      </c>
      <c r="JW35" s="206" t="s">
        <v>7992</v>
      </c>
      <c r="JX35" s="206" t="s">
        <v>7992</v>
      </c>
      <c r="JY35" s="206" t="s">
        <v>7992</v>
      </c>
      <c r="JZ35" s="206" t="s">
        <v>7992</v>
      </c>
      <c r="KA35" s="206" t="s">
        <v>7992</v>
      </c>
      <c r="KB35" s="206" t="s">
        <v>7992</v>
      </c>
      <c r="KC35" s="206" t="s">
        <v>7992</v>
      </c>
      <c r="KD35" s="206" t="s">
        <v>7992</v>
      </c>
      <c r="KE35" s="206" t="s">
        <v>7992</v>
      </c>
      <c r="KF35" s="206" t="s">
        <v>7992</v>
      </c>
      <c r="KG35" s="206" t="s">
        <v>7992</v>
      </c>
      <c r="KH35" s="206" t="s">
        <v>7992</v>
      </c>
      <c r="KI35" s="206" t="s">
        <v>7992</v>
      </c>
      <c r="KJ35" s="206" t="s">
        <v>7992</v>
      </c>
      <c r="KK35" s="206" t="s">
        <v>7992</v>
      </c>
      <c r="KL35" s="206" t="s">
        <v>7992</v>
      </c>
      <c r="KM35" s="206" t="s">
        <v>7992</v>
      </c>
      <c r="KN35" s="206" t="s">
        <v>7992</v>
      </c>
      <c r="KO35" s="206" t="s">
        <v>7992</v>
      </c>
      <c r="KP35" s="206" t="s">
        <v>7992</v>
      </c>
      <c r="KQ35" s="206" t="s">
        <v>7992</v>
      </c>
      <c r="KR35" s="206" t="s">
        <v>7992</v>
      </c>
      <c r="KS35" s="206" t="s">
        <v>7992</v>
      </c>
      <c r="KT35" s="206" t="s">
        <v>7992</v>
      </c>
      <c r="KU35" s="206" t="s">
        <v>7992</v>
      </c>
      <c r="KV35" s="206" t="s">
        <v>7992</v>
      </c>
      <c r="KW35" s="206" t="s">
        <v>7992</v>
      </c>
      <c r="KX35" s="206" t="s">
        <v>7992</v>
      </c>
      <c r="KY35" s="206" t="s">
        <v>7992</v>
      </c>
      <c r="KZ35" s="206" t="s">
        <v>7992</v>
      </c>
      <c r="LA35" s="206" t="s">
        <v>7992</v>
      </c>
      <c r="LB35" s="206" t="s">
        <v>7992</v>
      </c>
      <c r="LC35" s="206" t="s">
        <v>7992</v>
      </c>
      <c r="LD35" s="206" t="s">
        <v>7992</v>
      </c>
      <c r="LE35" s="206" t="s">
        <v>7992</v>
      </c>
      <c r="LF35" s="206" t="s">
        <v>7992</v>
      </c>
      <c r="LG35" s="206" t="s">
        <v>7992</v>
      </c>
      <c r="LH35" s="206" t="s">
        <v>7992</v>
      </c>
      <c r="LI35" s="206" t="s">
        <v>7992</v>
      </c>
      <c r="LJ35" s="206" t="s">
        <v>7992</v>
      </c>
      <c r="LK35" s="206" t="s">
        <v>7992</v>
      </c>
      <c r="LL35" s="206" t="s">
        <v>7992</v>
      </c>
      <c r="LM35" s="206" t="s">
        <v>7992</v>
      </c>
      <c r="LN35" s="206" t="s">
        <v>7992</v>
      </c>
      <c r="LO35" s="206" t="s">
        <v>7992</v>
      </c>
      <c r="LP35" s="206" t="s">
        <v>7992</v>
      </c>
      <c r="LQ35" s="206" t="s">
        <v>7992</v>
      </c>
      <c r="LR35" s="206" t="s">
        <v>7992</v>
      </c>
      <c r="LS35" s="206" t="s">
        <v>7992</v>
      </c>
      <c r="LT35" s="206" t="s">
        <v>7992</v>
      </c>
      <c r="LU35" s="206" t="s">
        <v>7992</v>
      </c>
      <c r="LV35" s="206" t="s">
        <v>7992</v>
      </c>
      <c r="LW35" s="206" t="s">
        <v>7992</v>
      </c>
      <c r="LX35" s="206" t="s">
        <v>7992</v>
      </c>
      <c r="LY35" s="206" t="s">
        <v>7992</v>
      </c>
      <c r="LZ35" s="206" t="s">
        <v>7992</v>
      </c>
      <c r="MA35" s="206" t="s">
        <v>7992</v>
      </c>
      <c r="MB35" s="206" t="s">
        <v>7992</v>
      </c>
      <c r="MC35" s="206" t="s">
        <v>7992</v>
      </c>
      <c r="MD35" s="206" t="s">
        <v>7992</v>
      </c>
      <c r="ME35" s="206" t="s">
        <v>7992</v>
      </c>
      <c r="MF35" s="206" t="s">
        <v>7992</v>
      </c>
      <c r="MG35" s="206" t="s">
        <v>7992</v>
      </c>
      <c r="MH35" s="206" t="s">
        <v>7992</v>
      </c>
      <c r="MI35" s="206" t="s">
        <v>7992</v>
      </c>
      <c r="MJ35" s="206" t="s">
        <v>7992</v>
      </c>
      <c r="MK35" s="206" t="s">
        <v>7992</v>
      </c>
      <c r="ML35" s="206" t="s">
        <v>7992</v>
      </c>
      <c r="MM35" s="206" t="s">
        <v>7992</v>
      </c>
      <c r="MN35" s="206" t="s">
        <v>7992</v>
      </c>
      <c r="MO35" s="206" t="s">
        <v>7992</v>
      </c>
      <c r="MP35" s="206" t="s">
        <v>7992</v>
      </c>
      <c r="MQ35" s="206" t="s">
        <v>7992</v>
      </c>
      <c r="MR35" s="206" t="s">
        <v>7992</v>
      </c>
      <c r="MS35" s="206" t="s">
        <v>7992</v>
      </c>
      <c r="MT35" s="206" t="s">
        <v>7992</v>
      </c>
      <c r="MU35" s="206" t="s">
        <v>7992</v>
      </c>
      <c r="MV35" s="206" t="s">
        <v>7992</v>
      </c>
      <c r="MW35" s="206" t="s">
        <v>7992</v>
      </c>
      <c r="MX35" s="206" t="s">
        <v>7992</v>
      </c>
      <c r="MY35" s="206" t="s">
        <v>7992</v>
      </c>
      <c r="MZ35" s="206" t="s">
        <v>7992</v>
      </c>
      <c r="NA35" s="206" t="s">
        <v>7992</v>
      </c>
      <c r="NB35" s="206" t="s">
        <v>7992</v>
      </c>
      <c r="NC35" s="206" t="s">
        <v>7992</v>
      </c>
      <c r="ND35" s="206" t="s">
        <v>7992</v>
      </c>
      <c r="NE35" s="206" t="s">
        <v>7992</v>
      </c>
      <c r="NF35" s="206" t="s">
        <v>7992</v>
      </c>
      <c r="NG35" s="206" t="s">
        <v>7992</v>
      </c>
      <c r="NH35" s="206" t="s">
        <v>7992</v>
      </c>
      <c r="NI35" s="206" t="s">
        <v>7992</v>
      </c>
      <c r="NJ35" s="206" t="s">
        <v>7992</v>
      </c>
      <c r="NK35" s="206" t="s">
        <v>7992</v>
      </c>
      <c r="NL35" s="206" t="s">
        <v>7992</v>
      </c>
      <c r="NM35" s="206" t="s">
        <v>7992</v>
      </c>
      <c r="NN35" s="206" t="s">
        <v>7992</v>
      </c>
      <c r="NO35" s="206" t="s">
        <v>7992</v>
      </c>
      <c r="NP35" s="206" t="s">
        <v>7992</v>
      </c>
      <c r="NQ35" s="206" t="s">
        <v>7992</v>
      </c>
      <c r="NR35" s="206" t="s">
        <v>7992</v>
      </c>
      <c r="NS35" s="206" t="s">
        <v>7992</v>
      </c>
      <c r="NT35" s="206" t="s">
        <v>7992</v>
      </c>
      <c r="NU35" s="206" t="s">
        <v>7992</v>
      </c>
      <c r="NV35" s="206" t="s">
        <v>7992</v>
      </c>
      <c r="NW35" s="206" t="s">
        <v>7992</v>
      </c>
      <c r="NX35" s="206" t="s">
        <v>7992</v>
      </c>
      <c r="NY35" s="206" t="s">
        <v>7992</v>
      </c>
      <c r="NZ35" s="206" t="s">
        <v>7992</v>
      </c>
      <c r="OA35" s="206" t="s">
        <v>7992</v>
      </c>
      <c r="OB35" s="206" t="s">
        <v>7992</v>
      </c>
      <c r="OC35" s="206" t="s">
        <v>7992</v>
      </c>
      <c r="OD35" s="206" t="s">
        <v>7992</v>
      </c>
      <c r="OE35" s="206" t="s">
        <v>7992</v>
      </c>
      <c r="OF35" s="206" t="s">
        <v>7992</v>
      </c>
      <c r="OG35" s="206" t="s">
        <v>7992</v>
      </c>
      <c r="OH35" s="206" t="s">
        <v>7992</v>
      </c>
      <c r="OI35" s="206" t="s">
        <v>7992</v>
      </c>
      <c r="OJ35" s="206" t="s">
        <v>7992</v>
      </c>
      <c r="OK35" s="206" t="s">
        <v>7992</v>
      </c>
      <c r="OL35" s="206" t="s">
        <v>7992</v>
      </c>
      <c r="OM35" s="206" t="s">
        <v>7992</v>
      </c>
      <c r="ON35" s="206" t="s">
        <v>7992</v>
      </c>
      <c r="OO35" s="206" t="s">
        <v>7992</v>
      </c>
      <c r="OP35" s="206" t="s">
        <v>7992</v>
      </c>
      <c r="OQ35" s="206" t="s">
        <v>7992</v>
      </c>
      <c r="OR35" s="206" t="s">
        <v>7992</v>
      </c>
      <c r="OS35" s="206" t="s">
        <v>7992</v>
      </c>
      <c r="OT35" s="206" t="s">
        <v>7992</v>
      </c>
      <c r="OU35" s="206" t="s">
        <v>7992</v>
      </c>
      <c r="OV35" s="206" t="s">
        <v>7992</v>
      </c>
      <c r="OW35" s="206" t="s">
        <v>7992</v>
      </c>
      <c r="OX35" s="206" t="s">
        <v>7992</v>
      </c>
      <c r="OY35" s="206" t="s">
        <v>7992</v>
      </c>
      <c r="OZ35" s="206" t="s">
        <v>7992</v>
      </c>
      <c r="PA35" s="206" t="s">
        <v>7992</v>
      </c>
      <c r="PB35" s="206" t="s">
        <v>7992</v>
      </c>
      <c r="PC35" s="206" t="s">
        <v>7992</v>
      </c>
      <c r="PD35" s="206" t="s">
        <v>7992</v>
      </c>
      <c r="PE35" s="206" t="s">
        <v>7992</v>
      </c>
      <c r="PF35" s="206" t="s">
        <v>7992</v>
      </c>
      <c r="PG35" s="206" t="s">
        <v>7992</v>
      </c>
      <c r="PH35" s="206" t="s">
        <v>7992</v>
      </c>
      <c r="PI35" s="206" t="s">
        <v>7992</v>
      </c>
      <c r="PJ35" s="206" t="s">
        <v>7992</v>
      </c>
      <c r="PK35" s="206" t="s">
        <v>7992</v>
      </c>
      <c r="PL35" s="206" t="s">
        <v>7992</v>
      </c>
      <c r="PM35" s="206" t="s">
        <v>7992</v>
      </c>
      <c r="PN35" s="206" t="s">
        <v>7992</v>
      </c>
      <c r="PO35" s="206" t="s">
        <v>7992</v>
      </c>
      <c r="PP35" s="206" t="s">
        <v>7992</v>
      </c>
      <c r="PQ35" s="206" t="s">
        <v>7992</v>
      </c>
      <c r="PR35" s="206" t="s">
        <v>7992</v>
      </c>
      <c r="PS35" s="206" t="s">
        <v>7992</v>
      </c>
      <c r="PT35" s="206" t="s">
        <v>7992</v>
      </c>
      <c r="PU35" s="206" t="s">
        <v>7992</v>
      </c>
      <c r="PV35" s="206" t="s">
        <v>7992</v>
      </c>
      <c r="PW35" s="206" t="s">
        <v>7992</v>
      </c>
      <c r="PX35" s="206" t="s">
        <v>7992</v>
      </c>
      <c r="PY35" s="206" t="s">
        <v>7992</v>
      </c>
      <c r="PZ35" s="206" t="s">
        <v>7992</v>
      </c>
      <c r="QA35" s="206" t="s">
        <v>7992</v>
      </c>
      <c r="QB35" s="206" t="s">
        <v>7992</v>
      </c>
      <c r="QC35" s="206" t="s">
        <v>7992</v>
      </c>
      <c r="QD35" s="206" t="s">
        <v>7992</v>
      </c>
      <c r="QE35" s="206" t="s">
        <v>7992</v>
      </c>
      <c r="QF35" s="206" t="s">
        <v>7992</v>
      </c>
      <c r="QG35" s="206" t="s">
        <v>7992</v>
      </c>
      <c r="QH35" s="206" t="s">
        <v>7992</v>
      </c>
      <c r="QI35" s="206" t="s">
        <v>7992</v>
      </c>
      <c r="QJ35" s="206" t="s">
        <v>7992</v>
      </c>
      <c r="QK35" s="206" t="s">
        <v>7992</v>
      </c>
      <c r="QL35" s="206" t="s">
        <v>7992</v>
      </c>
      <c r="QM35" s="206" t="s">
        <v>7992</v>
      </c>
      <c r="QN35" s="206" t="s">
        <v>7992</v>
      </c>
      <c r="QO35" s="206" t="s">
        <v>7992</v>
      </c>
      <c r="QP35" s="206" t="s">
        <v>7992</v>
      </c>
      <c r="QQ35" s="206" t="s">
        <v>7992</v>
      </c>
      <c r="QR35" s="206" t="s">
        <v>7992</v>
      </c>
      <c r="QS35" s="206" t="s">
        <v>7992</v>
      </c>
      <c r="QT35" s="206" t="s">
        <v>7992</v>
      </c>
      <c r="QU35" s="206" t="s">
        <v>7992</v>
      </c>
      <c r="QV35" s="206" t="s">
        <v>7992</v>
      </c>
      <c r="QW35" s="206" t="s">
        <v>7992</v>
      </c>
      <c r="QX35" s="206" t="s">
        <v>7992</v>
      </c>
      <c r="QY35" s="206" t="s">
        <v>7992</v>
      </c>
      <c r="QZ35" s="206" t="s">
        <v>7992</v>
      </c>
      <c r="RA35" s="206" t="s">
        <v>7992</v>
      </c>
      <c r="RB35" s="206" t="s">
        <v>7992</v>
      </c>
      <c r="RC35" s="206" t="s">
        <v>7992</v>
      </c>
      <c r="RD35" s="206" t="s">
        <v>7992</v>
      </c>
      <c r="RE35" s="206" t="s">
        <v>7992</v>
      </c>
      <c r="RF35" s="206" t="s">
        <v>7992</v>
      </c>
      <c r="RG35" s="206" t="s">
        <v>7992</v>
      </c>
      <c r="RH35" s="206" t="s">
        <v>7992</v>
      </c>
      <c r="RI35" s="206" t="s">
        <v>7992</v>
      </c>
      <c r="RJ35" s="206" t="s">
        <v>7992</v>
      </c>
      <c r="RK35" s="206" t="s">
        <v>7992</v>
      </c>
      <c r="RL35" s="206" t="s">
        <v>7992</v>
      </c>
      <c r="RM35" s="206" t="s">
        <v>7992</v>
      </c>
      <c r="RN35" s="206" t="s">
        <v>7992</v>
      </c>
      <c r="RO35" s="206" t="s">
        <v>7992</v>
      </c>
      <c r="RP35" s="206" t="s">
        <v>7992</v>
      </c>
      <c r="RQ35" s="206" t="s">
        <v>7992</v>
      </c>
      <c r="RR35" s="206" t="s">
        <v>7992</v>
      </c>
      <c r="RS35" s="206" t="s">
        <v>7992</v>
      </c>
      <c r="RT35" s="206" t="s">
        <v>7992</v>
      </c>
      <c r="RU35" s="206" t="s">
        <v>7992</v>
      </c>
      <c r="RV35" s="206" t="s">
        <v>7992</v>
      </c>
      <c r="RW35" s="206" t="s">
        <v>7992</v>
      </c>
      <c r="RX35" s="206" t="s">
        <v>7992</v>
      </c>
      <c r="RY35" s="206" t="s">
        <v>7992</v>
      </c>
      <c r="RZ35" s="206" t="s">
        <v>7992</v>
      </c>
      <c r="SA35" s="206" t="s">
        <v>7992</v>
      </c>
      <c r="SB35" s="206" t="s">
        <v>7992</v>
      </c>
      <c r="SC35" s="206" t="s">
        <v>7992</v>
      </c>
      <c r="SD35" s="206" t="s">
        <v>7992</v>
      </c>
      <c r="SE35" s="206" t="s">
        <v>7992</v>
      </c>
      <c r="SF35" s="206" t="s">
        <v>7992</v>
      </c>
      <c r="SG35" s="206" t="s">
        <v>7992</v>
      </c>
      <c r="SH35" s="206" t="s">
        <v>7992</v>
      </c>
      <c r="SI35" s="206" t="s">
        <v>7992</v>
      </c>
      <c r="SJ35" s="206" t="s">
        <v>7992</v>
      </c>
      <c r="SK35" s="206" t="s">
        <v>7992</v>
      </c>
      <c r="SL35" s="206" t="s">
        <v>7992</v>
      </c>
      <c r="SM35" s="206" t="s">
        <v>7992</v>
      </c>
      <c r="SN35" s="206" t="s">
        <v>7992</v>
      </c>
      <c r="SO35" s="206" t="s">
        <v>7992</v>
      </c>
      <c r="SP35" s="206" t="s">
        <v>7992</v>
      </c>
      <c r="SQ35" s="206" t="s">
        <v>7992</v>
      </c>
      <c r="SR35" s="206" t="s">
        <v>7992</v>
      </c>
      <c r="SS35" s="206" t="s">
        <v>7992</v>
      </c>
      <c r="ST35" s="206" t="s">
        <v>7992</v>
      </c>
      <c r="SU35" s="206" t="s">
        <v>7992</v>
      </c>
      <c r="SV35" s="206" t="s">
        <v>7992</v>
      </c>
      <c r="SW35" s="206" t="s">
        <v>7992</v>
      </c>
      <c r="SX35" s="206" t="s">
        <v>7992</v>
      </c>
      <c r="SY35" s="206" t="s">
        <v>7992</v>
      </c>
      <c r="SZ35" s="206" t="s">
        <v>7992</v>
      </c>
      <c r="TA35" s="206" t="s">
        <v>7992</v>
      </c>
      <c r="TB35" s="206" t="s">
        <v>7992</v>
      </c>
      <c r="TC35" s="206" t="s">
        <v>7992</v>
      </c>
      <c r="TD35" s="206" t="s">
        <v>7992</v>
      </c>
      <c r="TE35" s="206" t="s">
        <v>7992</v>
      </c>
      <c r="TF35" s="206" t="s">
        <v>7992</v>
      </c>
      <c r="TG35" s="206" t="s">
        <v>7992</v>
      </c>
      <c r="TH35" s="206" t="s">
        <v>7992</v>
      </c>
      <c r="TI35" s="206" t="s">
        <v>7992</v>
      </c>
      <c r="TJ35" s="206" t="s">
        <v>7992</v>
      </c>
      <c r="TK35" s="206" t="s">
        <v>7992</v>
      </c>
      <c r="TL35" s="206" t="s">
        <v>7992</v>
      </c>
      <c r="TM35" s="206" t="s">
        <v>7992</v>
      </c>
      <c r="TN35" s="206" t="s">
        <v>7992</v>
      </c>
      <c r="TO35" s="206" t="s">
        <v>7992</v>
      </c>
      <c r="TP35" s="206" t="s">
        <v>7992</v>
      </c>
      <c r="TQ35" s="206" t="s">
        <v>7992</v>
      </c>
      <c r="TR35" s="206" t="s">
        <v>7992</v>
      </c>
      <c r="TS35" s="206" t="s">
        <v>7992</v>
      </c>
      <c r="TT35" s="206" t="s">
        <v>7992</v>
      </c>
      <c r="TU35" s="206" t="s">
        <v>7992</v>
      </c>
      <c r="TV35" s="206" t="s">
        <v>7992</v>
      </c>
      <c r="TW35" s="206" t="s">
        <v>7992</v>
      </c>
      <c r="TX35" s="206" t="s">
        <v>7992</v>
      </c>
      <c r="TY35" s="206" t="s">
        <v>7992</v>
      </c>
      <c r="TZ35" s="206" t="s">
        <v>7992</v>
      </c>
      <c r="UA35" s="206" t="s">
        <v>7992</v>
      </c>
      <c r="UB35" s="206" t="s">
        <v>7992</v>
      </c>
      <c r="UC35" s="206" t="s">
        <v>7992</v>
      </c>
      <c r="UD35" s="206" t="s">
        <v>7992</v>
      </c>
      <c r="UE35" s="206" t="s">
        <v>7992</v>
      </c>
      <c r="UF35" s="206" t="s">
        <v>7992</v>
      </c>
      <c r="UG35" s="206" t="s">
        <v>7992</v>
      </c>
      <c r="UH35" s="206" t="s">
        <v>7992</v>
      </c>
      <c r="UI35" s="206" t="s">
        <v>7992</v>
      </c>
      <c r="UJ35" s="206" t="s">
        <v>7992</v>
      </c>
      <c r="UK35" s="206" t="s">
        <v>7992</v>
      </c>
      <c r="UL35" s="206" t="s">
        <v>7992</v>
      </c>
      <c r="UM35" s="206" t="s">
        <v>7992</v>
      </c>
      <c r="UN35" s="206" t="s">
        <v>7992</v>
      </c>
      <c r="UO35" s="206" t="s">
        <v>7992</v>
      </c>
      <c r="UP35" s="206" t="s">
        <v>7992</v>
      </c>
      <c r="UQ35" s="206" t="s">
        <v>7992</v>
      </c>
      <c r="UR35" s="206" t="s">
        <v>7992</v>
      </c>
      <c r="US35" s="206" t="s">
        <v>7992</v>
      </c>
      <c r="UT35" s="206" t="s">
        <v>7992</v>
      </c>
      <c r="UU35" s="206" t="s">
        <v>7992</v>
      </c>
      <c r="UV35" s="206" t="s">
        <v>7992</v>
      </c>
      <c r="UW35" s="206" t="s">
        <v>7992</v>
      </c>
      <c r="UX35" s="206" t="s">
        <v>7992</v>
      </c>
      <c r="UY35" s="206" t="s">
        <v>7992</v>
      </c>
      <c r="UZ35" s="206" t="s">
        <v>7992</v>
      </c>
      <c r="VA35" s="206" t="s">
        <v>7992</v>
      </c>
      <c r="VB35" s="206" t="s">
        <v>7992</v>
      </c>
      <c r="VC35" s="206" t="s">
        <v>7992</v>
      </c>
      <c r="VD35" s="206" t="s">
        <v>7992</v>
      </c>
      <c r="VE35" s="206" t="s">
        <v>7992</v>
      </c>
      <c r="VF35" s="206" t="s">
        <v>7992</v>
      </c>
      <c r="VG35" s="206" t="s">
        <v>7992</v>
      </c>
      <c r="VH35" s="206" t="s">
        <v>7992</v>
      </c>
      <c r="VI35" s="206" t="s">
        <v>7992</v>
      </c>
      <c r="VJ35" s="206" t="s">
        <v>7992</v>
      </c>
      <c r="VK35" s="206" t="s">
        <v>7992</v>
      </c>
      <c r="VL35" s="206" t="s">
        <v>7992</v>
      </c>
      <c r="VM35" s="206" t="s">
        <v>7992</v>
      </c>
      <c r="VN35" s="206" t="s">
        <v>7992</v>
      </c>
      <c r="VO35" s="206" t="s">
        <v>7992</v>
      </c>
      <c r="VP35" s="206" t="s">
        <v>7992</v>
      </c>
      <c r="VQ35" s="206" t="s">
        <v>7992</v>
      </c>
      <c r="VR35" s="206" t="s">
        <v>7992</v>
      </c>
      <c r="VS35" s="206" t="s">
        <v>7992</v>
      </c>
      <c r="VT35" s="206" t="s">
        <v>7992</v>
      </c>
      <c r="VU35" s="206" t="s">
        <v>7992</v>
      </c>
      <c r="VV35" s="206" t="s">
        <v>7992</v>
      </c>
      <c r="VW35" s="206" t="s">
        <v>7992</v>
      </c>
      <c r="VX35" s="206" t="s">
        <v>7992</v>
      </c>
      <c r="VY35" s="206" t="s">
        <v>7992</v>
      </c>
      <c r="VZ35" s="206" t="s">
        <v>7992</v>
      </c>
      <c r="WA35" s="206" t="s">
        <v>7992</v>
      </c>
      <c r="WB35" s="206" t="s">
        <v>7992</v>
      </c>
      <c r="WC35" s="206" t="s">
        <v>7992</v>
      </c>
      <c r="WD35" s="206" t="s">
        <v>7992</v>
      </c>
      <c r="WE35" s="206" t="s">
        <v>7992</v>
      </c>
      <c r="WF35" s="206" t="s">
        <v>7992</v>
      </c>
      <c r="WG35" s="206" t="s">
        <v>7992</v>
      </c>
      <c r="WH35" s="206" t="s">
        <v>7992</v>
      </c>
      <c r="WI35" s="206" t="s">
        <v>7992</v>
      </c>
      <c r="WJ35" s="206" t="s">
        <v>7992</v>
      </c>
      <c r="WK35" s="206" t="s">
        <v>7992</v>
      </c>
      <c r="WL35" s="206" t="s">
        <v>7992</v>
      </c>
      <c r="WM35" s="206" t="s">
        <v>7992</v>
      </c>
      <c r="WN35" s="206" t="s">
        <v>7992</v>
      </c>
      <c r="WO35" s="206" t="s">
        <v>7992</v>
      </c>
      <c r="WP35" s="206" t="s">
        <v>7992</v>
      </c>
      <c r="WQ35" s="206" t="s">
        <v>7992</v>
      </c>
      <c r="WR35" s="206" t="s">
        <v>7992</v>
      </c>
      <c r="WS35" s="206" t="s">
        <v>7992</v>
      </c>
      <c r="WT35" s="206" t="s">
        <v>7992</v>
      </c>
      <c r="WU35" s="206" t="s">
        <v>7992</v>
      </c>
      <c r="WV35" s="206" t="s">
        <v>7992</v>
      </c>
      <c r="WW35" s="206" t="s">
        <v>7992</v>
      </c>
      <c r="WX35" s="206" t="s">
        <v>7992</v>
      </c>
      <c r="WY35" s="206" t="s">
        <v>7992</v>
      </c>
      <c r="WZ35" s="206" t="s">
        <v>7992</v>
      </c>
      <c r="XA35" s="206" t="s">
        <v>7992</v>
      </c>
      <c r="XB35" s="206" t="s">
        <v>7992</v>
      </c>
      <c r="XC35" s="206" t="s">
        <v>7992</v>
      </c>
      <c r="XD35" s="206" t="s">
        <v>7992</v>
      </c>
      <c r="XE35" s="206" t="s">
        <v>7992</v>
      </c>
      <c r="XF35" s="206" t="s">
        <v>7992</v>
      </c>
      <c r="XG35" s="206" t="s">
        <v>7992</v>
      </c>
      <c r="XH35" s="206" t="s">
        <v>7992</v>
      </c>
      <c r="XI35" s="206" t="s">
        <v>7992</v>
      </c>
      <c r="XJ35" s="206" t="s">
        <v>7992</v>
      </c>
      <c r="XK35" s="206" t="s">
        <v>7992</v>
      </c>
      <c r="XL35" s="206" t="s">
        <v>7992</v>
      </c>
      <c r="XM35" s="206" t="s">
        <v>7992</v>
      </c>
      <c r="XN35" s="206" t="s">
        <v>7992</v>
      </c>
      <c r="XO35" s="206" t="s">
        <v>7992</v>
      </c>
      <c r="XP35" s="206" t="s">
        <v>7992</v>
      </c>
      <c r="XQ35" s="206" t="s">
        <v>7992</v>
      </c>
      <c r="XR35" s="206" t="s">
        <v>7992</v>
      </c>
      <c r="XS35" s="206" t="s">
        <v>7992</v>
      </c>
      <c r="XT35" s="206" t="s">
        <v>7992</v>
      </c>
      <c r="XU35" s="206" t="s">
        <v>7992</v>
      </c>
      <c r="XV35" s="206" t="s">
        <v>7992</v>
      </c>
      <c r="XW35" s="206" t="s">
        <v>7992</v>
      </c>
      <c r="XX35" s="206" t="s">
        <v>7992</v>
      </c>
      <c r="XY35" s="206" t="s">
        <v>7992</v>
      </c>
      <c r="XZ35" s="206" t="s">
        <v>7992</v>
      </c>
      <c r="YA35" s="206" t="s">
        <v>7992</v>
      </c>
      <c r="YB35" s="206" t="s">
        <v>7992</v>
      </c>
      <c r="YC35" s="206" t="s">
        <v>7992</v>
      </c>
      <c r="YD35" s="206" t="s">
        <v>7992</v>
      </c>
      <c r="YE35" s="206" t="s">
        <v>7992</v>
      </c>
      <c r="YF35" s="206" t="s">
        <v>7992</v>
      </c>
      <c r="YG35" s="206" t="s">
        <v>7992</v>
      </c>
      <c r="YH35" s="206" t="s">
        <v>7992</v>
      </c>
      <c r="YI35" s="206" t="s">
        <v>7992</v>
      </c>
      <c r="YJ35" s="206" t="s">
        <v>7992</v>
      </c>
      <c r="YK35" s="206" t="s">
        <v>7992</v>
      </c>
      <c r="YL35" s="206" t="s">
        <v>7992</v>
      </c>
      <c r="YM35" s="206" t="s">
        <v>7992</v>
      </c>
      <c r="YN35" s="206" t="s">
        <v>7992</v>
      </c>
      <c r="YO35" s="206" t="s">
        <v>7992</v>
      </c>
      <c r="YP35" s="206" t="s">
        <v>7992</v>
      </c>
      <c r="YQ35" s="206" t="s">
        <v>7992</v>
      </c>
      <c r="YR35" s="206" t="s">
        <v>7992</v>
      </c>
      <c r="YS35" s="206" t="s">
        <v>7992</v>
      </c>
      <c r="YT35" s="206" t="s">
        <v>7992</v>
      </c>
      <c r="YU35" s="206" t="s">
        <v>7992</v>
      </c>
      <c r="YV35" s="206" t="s">
        <v>7992</v>
      </c>
      <c r="YW35" s="206" t="s">
        <v>7992</v>
      </c>
      <c r="YX35" s="206" t="s">
        <v>7992</v>
      </c>
      <c r="YY35" s="206" t="s">
        <v>7992</v>
      </c>
      <c r="YZ35" s="206" t="s">
        <v>7992</v>
      </c>
      <c r="ZA35" s="206" t="s">
        <v>7992</v>
      </c>
      <c r="ZB35" s="206" t="s">
        <v>7992</v>
      </c>
      <c r="ZC35" s="206" t="s">
        <v>7992</v>
      </c>
      <c r="ZD35" s="206" t="s">
        <v>7992</v>
      </c>
      <c r="ZE35" s="206" t="s">
        <v>7992</v>
      </c>
      <c r="ZF35" s="206" t="s">
        <v>7992</v>
      </c>
      <c r="ZG35" s="206" t="s">
        <v>7992</v>
      </c>
      <c r="ZH35" s="206" t="s">
        <v>7992</v>
      </c>
      <c r="ZI35" s="206" t="s">
        <v>7992</v>
      </c>
      <c r="ZJ35" s="206" t="s">
        <v>7992</v>
      </c>
      <c r="ZK35" s="206" t="s">
        <v>7992</v>
      </c>
      <c r="ZL35" s="206" t="s">
        <v>7992</v>
      </c>
      <c r="ZM35" s="206" t="s">
        <v>7992</v>
      </c>
      <c r="ZN35" s="206" t="s">
        <v>7992</v>
      </c>
      <c r="ZO35" s="206" t="s">
        <v>7992</v>
      </c>
      <c r="ZP35" s="206" t="s">
        <v>7992</v>
      </c>
      <c r="ZQ35" s="206" t="s">
        <v>7992</v>
      </c>
      <c r="ZR35" s="206" t="s">
        <v>7992</v>
      </c>
      <c r="ZS35" s="206" t="s">
        <v>7992</v>
      </c>
      <c r="ZT35" s="206" t="s">
        <v>7992</v>
      </c>
      <c r="ZU35" s="206" t="s">
        <v>7992</v>
      </c>
      <c r="ZV35" s="206" t="s">
        <v>7992</v>
      </c>
      <c r="ZW35" s="206" t="s">
        <v>7992</v>
      </c>
      <c r="ZX35" s="206" t="s">
        <v>7992</v>
      </c>
      <c r="ZY35" s="206" t="s">
        <v>7992</v>
      </c>
      <c r="ZZ35" s="206" t="s">
        <v>7992</v>
      </c>
      <c r="AAA35" s="206" t="s">
        <v>7992</v>
      </c>
      <c r="AAB35" s="206" t="s">
        <v>7992</v>
      </c>
      <c r="AAC35" s="206" t="s">
        <v>7992</v>
      </c>
      <c r="AAD35" s="206" t="s">
        <v>7992</v>
      </c>
      <c r="AAE35" s="206" t="s">
        <v>7992</v>
      </c>
    </row>
    <row r="36" spans="1:707" s="206" customFormat="1" x14ac:dyDescent="0.25">
      <c r="A36" s="203" t="s">
        <v>3324</v>
      </c>
      <c r="B36" s="225" t="s">
        <v>7992</v>
      </c>
      <c r="C36" s="225" t="s">
        <v>7992</v>
      </c>
      <c r="D36" s="225" t="s">
        <v>7992</v>
      </c>
      <c r="E36" s="225" t="s">
        <v>7992</v>
      </c>
      <c r="F36" s="225" t="s">
        <v>7992</v>
      </c>
      <c r="G36" s="225" t="s">
        <v>7992</v>
      </c>
      <c r="H36" s="226" t="s">
        <v>7992</v>
      </c>
      <c r="I36" s="226" t="s">
        <v>7992</v>
      </c>
      <c r="J36" s="226" t="s">
        <v>7992</v>
      </c>
      <c r="K36" s="204" t="s">
        <v>7992</v>
      </c>
      <c r="L36" s="204" t="s">
        <v>7992</v>
      </c>
      <c r="M36" s="204" t="s">
        <v>7992</v>
      </c>
      <c r="N36" s="209" t="s">
        <v>7992</v>
      </c>
      <c r="O36" s="209" t="s">
        <v>7992</v>
      </c>
      <c r="P36" s="209" t="s">
        <v>7992</v>
      </c>
      <c r="Q36" s="209" t="s">
        <v>7992</v>
      </c>
      <c r="R36" s="209" t="s">
        <v>7992</v>
      </c>
      <c r="S36" s="209" t="s">
        <v>7992</v>
      </c>
      <c r="T36" s="209" t="s">
        <v>7992</v>
      </c>
      <c r="U36" s="209" t="s">
        <v>7992</v>
      </c>
      <c r="V36" s="209" t="s">
        <v>7992</v>
      </c>
      <c r="W36" s="209" t="s">
        <v>7992</v>
      </c>
      <c r="X36" s="209" t="s">
        <v>7992</v>
      </c>
      <c r="Y36" s="209" t="s">
        <v>7992</v>
      </c>
      <c r="Z36" s="209" t="s">
        <v>7992</v>
      </c>
      <c r="AA36" s="209" t="s">
        <v>7992</v>
      </c>
      <c r="AB36" s="209" t="s">
        <v>7992</v>
      </c>
      <c r="AC36" s="209" t="s">
        <v>7992</v>
      </c>
      <c r="AD36" s="209" t="s">
        <v>7992</v>
      </c>
      <c r="AE36" s="209" t="s">
        <v>7992</v>
      </c>
      <c r="AF36" s="209" t="s">
        <v>7992</v>
      </c>
      <c r="AG36" s="209" t="s">
        <v>7992</v>
      </c>
      <c r="AH36" s="209" t="s">
        <v>7992</v>
      </c>
      <c r="AI36" s="209" t="s">
        <v>7992</v>
      </c>
      <c r="AJ36" s="209" t="s">
        <v>7992</v>
      </c>
      <c r="AK36" s="209" t="s">
        <v>7992</v>
      </c>
      <c r="AL36" s="209" t="s">
        <v>7992</v>
      </c>
      <c r="AM36" s="209" t="s">
        <v>7992</v>
      </c>
      <c r="AN36" s="209" t="s">
        <v>7992</v>
      </c>
      <c r="AO36" s="209" t="s">
        <v>7992</v>
      </c>
      <c r="AP36" s="209" t="s">
        <v>7992</v>
      </c>
      <c r="AQ36" s="209" t="s">
        <v>7992</v>
      </c>
      <c r="AR36" s="209" t="s">
        <v>7992</v>
      </c>
      <c r="AS36" s="209" t="s">
        <v>7992</v>
      </c>
      <c r="AT36" s="209" t="s">
        <v>7992</v>
      </c>
      <c r="AU36" s="209" t="s">
        <v>7992</v>
      </c>
      <c r="AV36" s="209" t="s">
        <v>7992</v>
      </c>
      <c r="AW36" s="167" t="s">
        <v>7992</v>
      </c>
      <c r="AX36" s="206" t="s">
        <v>7992</v>
      </c>
      <c r="AY36" s="206" t="s">
        <v>7992</v>
      </c>
      <c r="AZ36" s="206" t="s">
        <v>7992</v>
      </c>
      <c r="BA36" s="206" t="s">
        <v>7992</v>
      </c>
      <c r="BB36" s="206" t="s">
        <v>7992</v>
      </c>
      <c r="BC36" s="206" t="s">
        <v>7992</v>
      </c>
      <c r="BD36" s="206" t="s">
        <v>7992</v>
      </c>
      <c r="BE36" s="206" t="s">
        <v>7992</v>
      </c>
      <c r="BF36" s="206" t="s">
        <v>7992</v>
      </c>
      <c r="BG36" s="206" t="s">
        <v>7992</v>
      </c>
      <c r="BH36" s="206" t="s">
        <v>7992</v>
      </c>
      <c r="BI36" s="206" t="s">
        <v>7992</v>
      </c>
      <c r="BJ36" s="206" t="s">
        <v>7992</v>
      </c>
      <c r="BK36" s="206" t="s">
        <v>7992</v>
      </c>
      <c r="BL36" s="206" t="s">
        <v>7992</v>
      </c>
      <c r="BM36" s="206" t="s">
        <v>7992</v>
      </c>
      <c r="BN36" s="206" t="s">
        <v>7992</v>
      </c>
      <c r="BO36" s="206" t="s">
        <v>7992</v>
      </c>
      <c r="BP36" s="206" t="s">
        <v>7992</v>
      </c>
      <c r="BQ36" s="206" t="s">
        <v>7992</v>
      </c>
      <c r="BR36" s="206" t="s">
        <v>7992</v>
      </c>
      <c r="BS36" s="206" t="s">
        <v>7992</v>
      </c>
      <c r="BT36" s="206" t="s">
        <v>7992</v>
      </c>
      <c r="BU36" s="206" t="s">
        <v>7992</v>
      </c>
      <c r="BV36" s="206" t="s">
        <v>7992</v>
      </c>
      <c r="BW36" s="206" t="s">
        <v>7992</v>
      </c>
      <c r="BX36" s="206" t="s">
        <v>7992</v>
      </c>
      <c r="BY36" s="206" t="s">
        <v>7992</v>
      </c>
      <c r="BZ36" s="206" t="s">
        <v>7992</v>
      </c>
      <c r="CA36" s="206" t="s">
        <v>7992</v>
      </c>
      <c r="CB36" s="206" t="s">
        <v>7992</v>
      </c>
      <c r="CC36" s="206" t="s">
        <v>7992</v>
      </c>
      <c r="CD36" s="206" t="s">
        <v>7992</v>
      </c>
      <c r="CE36" s="206" t="s">
        <v>7992</v>
      </c>
      <c r="CF36" s="206" t="s">
        <v>7992</v>
      </c>
      <c r="CG36" s="206" t="s">
        <v>7992</v>
      </c>
      <c r="CH36" s="206" t="s">
        <v>7992</v>
      </c>
      <c r="CI36" s="206" t="s">
        <v>7992</v>
      </c>
      <c r="CJ36" s="206" t="s">
        <v>7992</v>
      </c>
      <c r="CK36" s="206" t="s">
        <v>7992</v>
      </c>
      <c r="CL36" s="206" t="s">
        <v>7992</v>
      </c>
      <c r="CM36" s="206" t="s">
        <v>7992</v>
      </c>
      <c r="CN36" s="206" t="s">
        <v>7992</v>
      </c>
      <c r="CO36" s="206" t="s">
        <v>7992</v>
      </c>
      <c r="CP36" s="206" t="s">
        <v>7992</v>
      </c>
      <c r="CQ36" s="206" t="s">
        <v>7992</v>
      </c>
      <c r="CR36" s="206" t="s">
        <v>7992</v>
      </c>
      <c r="CS36" s="206" t="s">
        <v>7992</v>
      </c>
      <c r="CT36" s="206" t="s">
        <v>7992</v>
      </c>
      <c r="CU36" s="206" t="s">
        <v>7992</v>
      </c>
      <c r="CV36" s="206" t="s">
        <v>7992</v>
      </c>
      <c r="CW36" s="206" t="s">
        <v>7992</v>
      </c>
      <c r="CX36" s="206" t="s">
        <v>7992</v>
      </c>
      <c r="CY36" s="206" t="s">
        <v>7992</v>
      </c>
      <c r="CZ36" s="206" t="s">
        <v>7992</v>
      </c>
      <c r="DA36" s="206" t="s">
        <v>7992</v>
      </c>
      <c r="DB36" s="206" t="s">
        <v>7992</v>
      </c>
      <c r="DC36" s="206" t="s">
        <v>7992</v>
      </c>
      <c r="DD36" s="206" t="s">
        <v>7992</v>
      </c>
      <c r="DE36" s="206" t="s">
        <v>7992</v>
      </c>
      <c r="DF36" s="206" t="s">
        <v>7992</v>
      </c>
      <c r="DG36" s="206" t="s">
        <v>7992</v>
      </c>
      <c r="DH36" s="206" t="s">
        <v>7992</v>
      </c>
      <c r="DI36" s="206" t="s">
        <v>7992</v>
      </c>
      <c r="DJ36" s="206" t="s">
        <v>7992</v>
      </c>
      <c r="DK36" s="206" t="s">
        <v>7992</v>
      </c>
      <c r="DL36" s="206" t="s">
        <v>7992</v>
      </c>
      <c r="DM36" s="206" t="s">
        <v>7992</v>
      </c>
      <c r="DN36" s="206" t="s">
        <v>7992</v>
      </c>
      <c r="DO36" s="206" t="s">
        <v>7992</v>
      </c>
      <c r="DP36" s="206" t="s">
        <v>7992</v>
      </c>
      <c r="DQ36" s="206" t="s">
        <v>7992</v>
      </c>
      <c r="DR36" s="206" t="s">
        <v>7992</v>
      </c>
      <c r="DS36" s="206" t="s">
        <v>7992</v>
      </c>
      <c r="DT36" s="206" t="s">
        <v>7992</v>
      </c>
      <c r="DU36" s="206" t="s">
        <v>7992</v>
      </c>
      <c r="DV36" s="206" t="s">
        <v>7992</v>
      </c>
      <c r="DW36" s="206" t="s">
        <v>7992</v>
      </c>
      <c r="DX36" s="206" t="s">
        <v>7992</v>
      </c>
      <c r="DY36" s="206" t="s">
        <v>7992</v>
      </c>
      <c r="DZ36" s="206" t="s">
        <v>7992</v>
      </c>
      <c r="EA36" s="206" t="s">
        <v>7992</v>
      </c>
      <c r="EB36" s="206" t="s">
        <v>7992</v>
      </c>
      <c r="EC36" s="206" t="s">
        <v>7992</v>
      </c>
      <c r="ED36" s="206" t="s">
        <v>7992</v>
      </c>
      <c r="EE36" s="206" t="s">
        <v>7992</v>
      </c>
      <c r="EF36" s="206" t="s">
        <v>7992</v>
      </c>
      <c r="EG36" s="206" t="s">
        <v>7992</v>
      </c>
      <c r="EH36" s="206" t="s">
        <v>7992</v>
      </c>
      <c r="EI36" s="206" t="s">
        <v>7992</v>
      </c>
      <c r="EJ36" s="206" t="s">
        <v>7992</v>
      </c>
      <c r="EK36" s="206" t="s">
        <v>7992</v>
      </c>
      <c r="EL36" s="206" t="s">
        <v>7992</v>
      </c>
      <c r="EM36" s="206" t="s">
        <v>7992</v>
      </c>
      <c r="EN36" s="206" t="s">
        <v>7992</v>
      </c>
      <c r="EO36" s="206" t="s">
        <v>7992</v>
      </c>
      <c r="EP36" s="206" t="s">
        <v>7992</v>
      </c>
      <c r="EQ36" s="206" t="s">
        <v>7992</v>
      </c>
      <c r="ER36" s="206" t="s">
        <v>7992</v>
      </c>
      <c r="ES36" s="206" t="s">
        <v>7992</v>
      </c>
      <c r="ET36" s="206" t="s">
        <v>7992</v>
      </c>
      <c r="EU36" s="206" t="s">
        <v>7992</v>
      </c>
      <c r="EV36" s="206" t="s">
        <v>7992</v>
      </c>
      <c r="EW36" s="206" t="s">
        <v>7992</v>
      </c>
      <c r="EX36" s="206" t="s">
        <v>7992</v>
      </c>
      <c r="EY36" s="206" t="s">
        <v>7992</v>
      </c>
      <c r="EZ36" s="206" t="s">
        <v>7992</v>
      </c>
      <c r="FA36" s="206" t="s">
        <v>7992</v>
      </c>
      <c r="FB36" s="206" t="s">
        <v>7992</v>
      </c>
      <c r="FC36" s="206" t="s">
        <v>7992</v>
      </c>
      <c r="FD36" s="206" t="s">
        <v>7992</v>
      </c>
      <c r="FE36" s="206" t="s">
        <v>7992</v>
      </c>
      <c r="FF36" s="206" t="s">
        <v>7992</v>
      </c>
      <c r="FG36" s="206" t="s">
        <v>7992</v>
      </c>
      <c r="FH36" s="206" t="s">
        <v>7992</v>
      </c>
      <c r="FI36" s="206" t="s">
        <v>7992</v>
      </c>
      <c r="FJ36" s="206" t="s">
        <v>7992</v>
      </c>
      <c r="FK36" s="206" t="s">
        <v>7992</v>
      </c>
      <c r="FL36" s="206" t="s">
        <v>7992</v>
      </c>
      <c r="FM36" s="206" t="s">
        <v>7992</v>
      </c>
      <c r="FN36" s="206" t="s">
        <v>7992</v>
      </c>
      <c r="FO36" s="206" t="s">
        <v>7992</v>
      </c>
      <c r="FP36" s="206" t="s">
        <v>7992</v>
      </c>
      <c r="FQ36" s="206" t="s">
        <v>7992</v>
      </c>
      <c r="FR36" s="206" t="s">
        <v>7992</v>
      </c>
      <c r="FS36" s="206" t="s">
        <v>7992</v>
      </c>
      <c r="FT36" s="206" t="s">
        <v>7992</v>
      </c>
      <c r="FU36" s="206" t="s">
        <v>7992</v>
      </c>
      <c r="FV36" s="206" t="s">
        <v>7992</v>
      </c>
      <c r="FW36" s="206" t="s">
        <v>7992</v>
      </c>
      <c r="FX36" s="206" t="s">
        <v>7992</v>
      </c>
      <c r="FY36" s="206" t="s">
        <v>7992</v>
      </c>
      <c r="FZ36" s="206" t="s">
        <v>7992</v>
      </c>
      <c r="GA36" s="206" t="s">
        <v>7992</v>
      </c>
      <c r="GB36" s="206" t="s">
        <v>7992</v>
      </c>
      <c r="GC36" s="206" t="s">
        <v>7992</v>
      </c>
      <c r="GD36" s="206" t="s">
        <v>7992</v>
      </c>
      <c r="GE36" s="206" t="s">
        <v>7992</v>
      </c>
      <c r="GF36" s="206" t="s">
        <v>7992</v>
      </c>
      <c r="GG36" s="206" t="s">
        <v>7992</v>
      </c>
      <c r="GH36" s="206" t="s">
        <v>7992</v>
      </c>
      <c r="GI36" s="206" t="s">
        <v>7992</v>
      </c>
      <c r="GJ36" s="206" t="s">
        <v>7992</v>
      </c>
      <c r="GK36" s="206" t="s">
        <v>7992</v>
      </c>
      <c r="GL36" s="206" t="s">
        <v>7992</v>
      </c>
      <c r="GM36" s="206" t="s">
        <v>7992</v>
      </c>
      <c r="GN36" s="206" t="s">
        <v>7992</v>
      </c>
      <c r="GO36" s="206" t="s">
        <v>7992</v>
      </c>
      <c r="GP36" s="206" t="s">
        <v>7992</v>
      </c>
      <c r="GQ36" s="206" t="s">
        <v>7992</v>
      </c>
      <c r="GR36" s="206" t="s">
        <v>7992</v>
      </c>
      <c r="GS36" s="206" t="s">
        <v>7992</v>
      </c>
      <c r="GT36" s="206" t="s">
        <v>7992</v>
      </c>
      <c r="GU36" s="206" t="s">
        <v>7992</v>
      </c>
      <c r="GV36" s="206" t="s">
        <v>7992</v>
      </c>
      <c r="GW36" s="206" t="s">
        <v>7992</v>
      </c>
      <c r="GX36" s="206" t="s">
        <v>7992</v>
      </c>
      <c r="GY36" s="206" t="s">
        <v>7992</v>
      </c>
      <c r="GZ36" s="206" t="s">
        <v>7992</v>
      </c>
      <c r="HA36" s="206" t="s">
        <v>7992</v>
      </c>
      <c r="HB36" s="206" t="s">
        <v>7992</v>
      </c>
      <c r="HC36" s="206" t="s">
        <v>7992</v>
      </c>
      <c r="HD36" s="206" t="s">
        <v>7992</v>
      </c>
      <c r="HE36" s="206" t="s">
        <v>7992</v>
      </c>
      <c r="HF36" s="206" t="s">
        <v>7992</v>
      </c>
      <c r="HG36" s="206" t="s">
        <v>7992</v>
      </c>
      <c r="HH36" s="206" t="s">
        <v>7992</v>
      </c>
      <c r="HI36" s="206" t="s">
        <v>7992</v>
      </c>
      <c r="HJ36" s="206" t="s">
        <v>7992</v>
      </c>
      <c r="HK36" s="206" t="s">
        <v>7992</v>
      </c>
      <c r="HL36" s="206" t="s">
        <v>7992</v>
      </c>
      <c r="HM36" s="206" t="s">
        <v>7992</v>
      </c>
      <c r="HN36" s="206" t="s">
        <v>7992</v>
      </c>
      <c r="HO36" s="206" t="s">
        <v>7992</v>
      </c>
      <c r="HP36" s="206" t="s">
        <v>7992</v>
      </c>
      <c r="HQ36" s="206" t="s">
        <v>7992</v>
      </c>
      <c r="HR36" s="206" t="s">
        <v>7992</v>
      </c>
      <c r="HS36" s="206" t="s">
        <v>7992</v>
      </c>
      <c r="HT36" s="206" t="s">
        <v>7992</v>
      </c>
      <c r="HU36" s="206" t="s">
        <v>7992</v>
      </c>
      <c r="HV36" s="206" t="s">
        <v>7992</v>
      </c>
      <c r="HW36" s="206" t="s">
        <v>7992</v>
      </c>
      <c r="HX36" s="206" t="s">
        <v>7992</v>
      </c>
      <c r="HY36" s="206" t="s">
        <v>7992</v>
      </c>
      <c r="HZ36" s="206" t="s">
        <v>7992</v>
      </c>
      <c r="IA36" s="206" t="s">
        <v>7992</v>
      </c>
      <c r="IB36" s="206" t="s">
        <v>7992</v>
      </c>
      <c r="IC36" s="206" t="s">
        <v>7992</v>
      </c>
      <c r="ID36" s="206" t="s">
        <v>7992</v>
      </c>
      <c r="IE36" s="206" t="s">
        <v>7992</v>
      </c>
      <c r="IF36" s="206" t="s">
        <v>7992</v>
      </c>
      <c r="IG36" s="206" t="s">
        <v>7992</v>
      </c>
      <c r="IH36" s="206" t="s">
        <v>7992</v>
      </c>
      <c r="II36" s="206" t="s">
        <v>7992</v>
      </c>
      <c r="IJ36" s="206" t="s">
        <v>7992</v>
      </c>
      <c r="IK36" s="206" t="s">
        <v>7992</v>
      </c>
      <c r="IL36" s="206" t="s">
        <v>7992</v>
      </c>
      <c r="IM36" s="206" t="s">
        <v>7992</v>
      </c>
      <c r="IN36" s="206" t="s">
        <v>7992</v>
      </c>
      <c r="IO36" s="206" t="s">
        <v>7992</v>
      </c>
      <c r="IP36" s="206" t="s">
        <v>7992</v>
      </c>
      <c r="IQ36" s="206" t="s">
        <v>7992</v>
      </c>
      <c r="IR36" s="206" t="s">
        <v>7992</v>
      </c>
      <c r="IS36" s="206" t="s">
        <v>7992</v>
      </c>
      <c r="IT36" s="206" t="s">
        <v>7992</v>
      </c>
      <c r="IU36" s="206" t="s">
        <v>7992</v>
      </c>
      <c r="IV36" s="206" t="s">
        <v>7992</v>
      </c>
      <c r="IW36" s="206" t="s">
        <v>7992</v>
      </c>
      <c r="IX36" s="206" t="s">
        <v>7992</v>
      </c>
      <c r="IY36" s="206" t="s">
        <v>7992</v>
      </c>
      <c r="IZ36" s="206" t="s">
        <v>7992</v>
      </c>
      <c r="JA36" s="206" t="s">
        <v>7992</v>
      </c>
      <c r="JB36" s="206" t="s">
        <v>7992</v>
      </c>
      <c r="JC36" s="206" t="s">
        <v>7992</v>
      </c>
      <c r="JD36" s="206" t="s">
        <v>7992</v>
      </c>
      <c r="JE36" s="206" t="s">
        <v>7992</v>
      </c>
      <c r="JF36" s="206" t="s">
        <v>7992</v>
      </c>
      <c r="JG36" s="206" t="s">
        <v>7992</v>
      </c>
      <c r="JH36" s="206" t="s">
        <v>7992</v>
      </c>
      <c r="JI36" s="206" t="s">
        <v>7992</v>
      </c>
      <c r="JJ36" s="206" t="s">
        <v>7992</v>
      </c>
      <c r="JK36" s="206" t="s">
        <v>7992</v>
      </c>
      <c r="JL36" s="206" t="s">
        <v>7992</v>
      </c>
      <c r="JM36" s="206" t="s">
        <v>7992</v>
      </c>
      <c r="JN36" s="206" t="s">
        <v>7992</v>
      </c>
      <c r="JO36" s="206" t="s">
        <v>7992</v>
      </c>
      <c r="JP36" s="206" t="s">
        <v>7992</v>
      </c>
      <c r="JQ36" s="206" t="s">
        <v>7992</v>
      </c>
      <c r="JR36" s="206" t="s">
        <v>7992</v>
      </c>
      <c r="JS36" s="206" t="s">
        <v>7992</v>
      </c>
      <c r="JT36" s="206" t="s">
        <v>7992</v>
      </c>
      <c r="JU36" s="206" t="s">
        <v>7992</v>
      </c>
      <c r="JV36" s="206" t="s">
        <v>7992</v>
      </c>
      <c r="JW36" s="206" t="s">
        <v>7992</v>
      </c>
      <c r="JX36" s="206" t="s">
        <v>7992</v>
      </c>
      <c r="JY36" s="206" t="s">
        <v>7992</v>
      </c>
      <c r="JZ36" s="206" t="s">
        <v>7992</v>
      </c>
      <c r="KA36" s="206" t="s">
        <v>7992</v>
      </c>
      <c r="KB36" s="206" t="s">
        <v>7992</v>
      </c>
      <c r="KC36" s="206" t="s">
        <v>7992</v>
      </c>
      <c r="KD36" s="206" t="s">
        <v>7992</v>
      </c>
      <c r="KE36" s="206" t="s">
        <v>7992</v>
      </c>
      <c r="KF36" s="206" t="s">
        <v>7992</v>
      </c>
      <c r="KG36" s="206" t="s">
        <v>7992</v>
      </c>
      <c r="KH36" s="206" t="s">
        <v>7992</v>
      </c>
      <c r="KI36" s="206" t="s">
        <v>7992</v>
      </c>
      <c r="KJ36" s="206" t="s">
        <v>7992</v>
      </c>
      <c r="KK36" s="206" t="s">
        <v>7992</v>
      </c>
      <c r="KL36" s="206" t="s">
        <v>7992</v>
      </c>
      <c r="KM36" s="206" t="s">
        <v>7992</v>
      </c>
      <c r="KN36" s="206" t="s">
        <v>7992</v>
      </c>
      <c r="KO36" s="206" t="s">
        <v>7992</v>
      </c>
      <c r="KP36" s="206" t="s">
        <v>7992</v>
      </c>
      <c r="KQ36" s="206" t="s">
        <v>7992</v>
      </c>
      <c r="KR36" s="206" t="s">
        <v>7992</v>
      </c>
      <c r="KS36" s="206" t="s">
        <v>7992</v>
      </c>
      <c r="KT36" s="206" t="s">
        <v>7992</v>
      </c>
      <c r="KU36" s="206" t="s">
        <v>7992</v>
      </c>
      <c r="KV36" s="206" t="s">
        <v>7992</v>
      </c>
      <c r="KW36" s="206" t="s">
        <v>7992</v>
      </c>
      <c r="KX36" s="206" t="s">
        <v>7992</v>
      </c>
      <c r="KY36" s="206" t="s">
        <v>7992</v>
      </c>
      <c r="KZ36" s="206" t="s">
        <v>7992</v>
      </c>
      <c r="LA36" s="206" t="s">
        <v>7992</v>
      </c>
      <c r="LB36" s="206" t="s">
        <v>7992</v>
      </c>
      <c r="LC36" s="206" t="s">
        <v>7992</v>
      </c>
      <c r="LD36" s="206" t="s">
        <v>7992</v>
      </c>
      <c r="LE36" s="206" t="s">
        <v>7992</v>
      </c>
      <c r="LF36" s="206" t="s">
        <v>7992</v>
      </c>
      <c r="LG36" s="206" t="s">
        <v>7992</v>
      </c>
      <c r="LH36" s="206" t="s">
        <v>7992</v>
      </c>
      <c r="LI36" s="206" t="s">
        <v>7992</v>
      </c>
      <c r="LJ36" s="206" t="s">
        <v>7992</v>
      </c>
      <c r="LK36" s="206" t="s">
        <v>7992</v>
      </c>
      <c r="LL36" s="206" t="s">
        <v>7992</v>
      </c>
      <c r="LM36" s="206" t="s">
        <v>7992</v>
      </c>
      <c r="LN36" s="206" t="s">
        <v>7992</v>
      </c>
      <c r="LO36" s="206" t="s">
        <v>7992</v>
      </c>
      <c r="LP36" s="206" t="s">
        <v>7992</v>
      </c>
      <c r="LQ36" s="206" t="s">
        <v>7992</v>
      </c>
      <c r="LR36" s="206" t="s">
        <v>7992</v>
      </c>
      <c r="LS36" s="206" t="s">
        <v>7992</v>
      </c>
      <c r="LT36" s="206" t="s">
        <v>7992</v>
      </c>
      <c r="LU36" s="206" t="s">
        <v>7992</v>
      </c>
      <c r="LV36" s="206" t="s">
        <v>7992</v>
      </c>
      <c r="LW36" s="206" t="s">
        <v>7992</v>
      </c>
      <c r="LX36" s="206" t="s">
        <v>7992</v>
      </c>
      <c r="LY36" s="206" t="s">
        <v>7992</v>
      </c>
      <c r="LZ36" s="206" t="s">
        <v>7992</v>
      </c>
      <c r="MA36" s="206" t="s">
        <v>7992</v>
      </c>
      <c r="MB36" s="206" t="s">
        <v>7992</v>
      </c>
      <c r="MC36" s="206" t="s">
        <v>7992</v>
      </c>
      <c r="MD36" s="206" t="s">
        <v>7992</v>
      </c>
      <c r="ME36" s="206" t="s">
        <v>7992</v>
      </c>
      <c r="MF36" s="206" t="s">
        <v>7992</v>
      </c>
      <c r="MG36" s="206" t="s">
        <v>7992</v>
      </c>
      <c r="MH36" s="206" t="s">
        <v>7992</v>
      </c>
      <c r="MI36" s="206" t="s">
        <v>7992</v>
      </c>
      <c r="MJ36" s="206" t="s">
        <v>7992</v>
      </c>
      <c r="MK36" s="206" t="s">
        <v>7992</v>
      </c>
      <c r="ML36" s="206" t="s">
        <v>7992</v>
      </c>
      <c r="MM36" s="206" t="s">
        <v>7992</v>
      </c>
      <c r="MN36" s="206" t="s">
        <v>7992</v>
      </c>
      <c r="MO36" s="206" t="s">
        <v>7992</v>
      </c>
      <c r="MP36" s="206" t="s">
        <v>7992</v>
      </c>
      <c r="MQ36" s="206" t="s">
        <v>7992</v>
      </c>
      <c r="MR36" s="206" t="s">
        <v>7992</v>
      </c>
      <c r="MS36" s="206" t="s">
        <v>7992</v>
      </c>
      <c r="MT36" s="206" t="s">
        <v>7992</v>
      </c>
      <c r="MU36" s="206" t="s">
        <v>7992</v>
      </c>
      <c r="MV36" s="206" t="s">
        <v>7992</v>
      </c>
      <c r="MW36" s="206" t="s">
        <v>7992</v>
      </c>
      <c r="MX36" s="206" t="s">
        <v>7992</v>
      </c>
      <c r="MY36" s="206" t="s">
        <v>7992</v>
      </c>
      <c r="MZ36" s="206" t="s">
        <v>7992</v>
      </c>
      <c r="NA36" s="206" t="s">
        <v>7992</v>
      </c>
      <c r="NB36" s="206" t="s">
        <v>7992</v>
      </c>
      <c r="NC36" s="206" t="s">
        <v>7992</v>
      </c>
      <c r="ND36" s="206" t="s">
        <v>7992</v>
      </c>
      <c r="NE36" s="206" t="s">
        <v>7992</v>
      </c>
      <c r="NF36" s="206" t="s">
        <v>7992</v>
      </c>
      <c r="NG36" s="206" t="s">
        <v>7992</v>
      </c>
      <c r="NH36" s="206" t="s">
        <v>7992</v>
      </c>
      <c r="NI36" s="206" t="s">
        <v>7992</v>
      </c>
      <c r="NJ36" s="206" t="s">
        <v>7992</v>
      </c>
      <c r="NK36" s="206" t="s">
        <v>7992</v>
      </c>
      <c r="NL36" s="206" t="s">
        <v>7992</v>
      </c>
      <c r="NM36" s="206" t="s">
        <v>7992</v>
      </c>
      <c r="NN36" s="206" t="s">
        <v>7992</v>
      </c>
      <c r="NO36" s="206" t="s">
        <v>7992</v>
      </c>
      <c r="NP36" s="206" t="s">
        <v>7992</v>
      </c>
      <c r="NQ36" s="206" t="s">
        <v>7992</v>
      </c>
      <c r="NR36" s="206" t="s">
        <v>7992</v>
      </c>
      <c r="NS36" s="206" t="s">
        <v>7992</v>
      </c>
      <c r="NT36" s="206" t="s">
        <v>7992</v>
      </c>
      <c r="NU36" s="206" t="s">
        <v>7992</v>
      </c>
      <c r="NV36" s="206" t="s">
        <v>7992</v>
      </c>
      <c r="NW36" s="206" t="s">
        <v>7992</v>
      </c>
      <c r="NX36" s="206" t="s">
        <v>7992</v>
      </c>
      <c r="NY36" s="206" t="s">
        <v>7992</v>
      </c>
      <c r="NZ36" s="206" t="s">
        <v>7992</v>
      </c>
      <c r="OA36" s="206" t="s">
        <v>7992</v>
      </c>
      <c r="OB36" s="206" t="s">
        <v>7992</v>
      </c>
      <c r="OC36" s="206" t="s">
        <v>7992</v>
      </c>
      <c r="OD36" s="206" t="s">
        <v>7992</v>
      </c>
      <c r="OE36" s="206" t="s">
        <v>7992</v>
      </c>
      <c r="OF36" s="206" t="s">
        <v>7992</v>
      </c>
      <c r="OG36" s="206" t="s">
        <v>7992</v>
      </c>
      <c r="OH36" s="206" t="s">
        <v>7992</v>
      </c>
      <c r="OI36" s="206" t="s">
        <v>7992</v>
      </c>
      <c r="OJ36" s="206" t="s">
        <v>7992</v>
      </c>
      <c r="OK36" s="206" t="s">
        <v>7992</v>
      </c>
      <c r="OL36" s="206" t="s">
        <v>7992</v>
      </c>
      <c r="OM36" s="206" t="s">
        <v>7992</v>
      </c>
      <c r="ON36" s="206" t="s">
        <v>7992</v>
      </c>
      <c r="OO36" s="206" t="s">
        <v>7992</v>
      </c>
      <c r="OP36" s="206" t="s">
        <v>7992</v>
      </c>
      <c r="OQ36" s="206" t="s">
        <v>7992</v>
      </c>
      <c r="OR36" s="206" t="s">
        <v>7992</v>
      </c>
      <c r="OS36" s="206" t="s">
        <v>7992</v>
      </c>
      <c r="OT36" s="206" t="s">
        <v>7992</v>
      </c>
      <c r="OU36" s="206" t="s">
        <v>7992</v>
      </c>
      <c r="OV36" s="206" t="s">
        <v>7992</v>
      </c>
      <c r="OW36" s="206" t="s">
        <v>7992</v>
      </c>
      <c r="OX36" s="206" t="s">
        <v>7992</v>
      </c>
      <c r="OY36" s="206" t="s">
        <v>7992</v>
      </c>
      <c r="OZ36" s="206" t="s">
        <v>7992</v>
      </c>
      <c r="PA36" s="206" t="s">
        <v>7992</v>
      </c>
      <c r="PB36" s="206" t="s">
        <v>7992</v>
      </c>
      <c r="PC36" s="206" t="s">
        <v>7992</v>
      </c>
      <c r="PD36" s="206" t="s">
        <v>7992</v>
      </c>
      <c r="PE36" s="206" t="s">
        <v>7992</v>
      </c>
      <c r="PF36" s="206" t="s">
        <v>7992</v>
      </c>
      <c r="PG36" s="206" t="s">
        <v>7992</v>
      </c>
      <c r="PH36" s="206" t="s">
        <v>7992</v>
      </c>
      <c r="PI36" s="206" t="s">
        <v>7992</v>
      </c>
      <c r="PJ36" s="206" t="s">
        <v>7992</v>
      </c>
      <c r="PK36" s="206" t="s">
        <v>7992</v>
      </c>
      <c r="PL36" s="206" t="s">
        <v>7992</v>
      </c>
      <c r="PM36" s="206" t="s">
        <v>7992</v>
      </c>
      <c r="PN36" s="206" t="s">
        <v>7992</v>
      </c>
      <c r="PO36" s="206" t="s">
        <v>7992</v>
      </c>
      <c r="PP36" s="206" t="s">
        <v>7992</v>
      </c>
      <c r="PQ36" s="206" t="s">
        <v>7992</v>
      </c>
      <c r="PR36" s="206" t="s">
        <v>7992</v>
      </c>
      <c r="PS36" s="206" t="s">
        <v>7992</v>
      </c>
      <c r="PT36" s="206" t="s">
        <v>7992</v>
      </c>
      <c r="PU36" s="206" t="s">
        <v>7992</v>
      </c>
      <c r="PV36" s="206" t="s">
        <v>7992</v>
      </c>
      <c r="PW36" s="206" t="s">
        <v>7992</v>
      </c>
      <c r="PX36" s="206" t="s">
        <v>7992</v>
      </c>
      <c r="PY36" s="206" t="s">
        <v>7992</v>
      </c>
      <c r="PZ36" s="206" t="s">
        <v>7992</v>
      </c>
      <c r="QA36" s="206" t="s">
        <v>7992</v>
      </c>
      <c r="QB36" s="206" t="s">
        <v>7992</v>
      </c>
      <c r="QC36" s="206" t="s">
        <v>7992</v>
      </c>
      <c r="QD36" s="206" t="s">
        <v>7992</v>
      </c>
      <c r="QE36" s="206" t="s">
        <v>7992</v>
      </c>
      <c r="QF36" s="206" t="s">
        <v>7992</v>
      </c>
      <c r="QG36" s="206" t="s">
        <v>7992</v>
      </c>
      <c r="QH36" s="206" t="s">
        <v>7992</v>
      </c>
      <c r="QI36" s="206" t="s">
        <v>7992</v>
      </c>
      <c r="QJ36" s="206" t="s">
        <v>7992</v>
      </c>
      <c r="QK36" s="206" t="s">
        <v>7992</v>
      </c>
      <c r="QL36" s="206" t="s">
        <v>7992</v>
      </c>
      <c r="QM36" s="206" t="s">
        <v>7992</v>
      </c>
      <c r="QN36" s="206" t="s">
        <v>7992</v>
      </c>
      <c r="QO36" s="206" t="s">
        <v>7992</v>
      </c>
      <c r="QP36" s="206" t="s">
        <v>7992</v>
      </c>
      <c r="QQ36" s="206" t="s">
        <v>7992</v>
      </c>
      <c r="QR36" s="206" t="s">
        <v>7992</v>
      </c>
      <c r="QS36" s="206" t="s">
        <v>7992</v>
      </c>
      <c r="QT36" s="206" t="s">
        <v>7992</v>
      </c>
      <c r="QU36" s="206" t="s">
        <v>7992</v>
      </c>
      <c r="QV36" s="206" t="s">
        <v>7992</v>
      </c>
      <c r="QW36" s="206" t="s">
        <v>7992</v>
      </c>
      <c r="QX36" s="206" t="s">
        <v>7992</v>
      </c>
      <c r="QY36" s="206" t="s">
        <v>7992</v>
      </c>
      <c r="QZ36" s="206" t="s">
        <v>7992</v>
      </c>
      <c r="RA36" s="206" t="s">
        <v>7992</v>
      </c>
      <c r="RB36" s="206" t="s">
        <v>7992</v>
      </c>
      <c r="RC36" s="206" t="s">
        <v>7992</v>
      </c>
      <c r="RD36" s="206" t="s">
        <v>7992</v>
      </c>
      <c r="RE36" s="206" t="s">
        <v>7992</v>
      </c>
      <c r="RF36" s="206" t="s">
        <v>7992</v>
      </c>
      <c r="RG36" s="206" t="s">
        <v>7992</v>
      </c>
      <c r="RH36" s="206" t="s">
        <v>7992</v>
      </c>
      <c r="RI36" s="206" t="s">
        <v>7992</v>
      </c>
      <c r="RJ36" s="206" t="s">
        <v>7992</v>
      </c>
      <c r="RK36" s="206" t="s">
        <v>7992</v>
      </c>
      <c r="RL36" s="206" t="s">
        <v>7992</v>
      </c>
      <c r="RM36" s="206" t="s">
        <v>7992</v>
      </c>
      <c r="RN36" s="206" t="s">
        <v>7992</v>
      </c>
      <c r="RO36" s="206" t="s">
        <v>7992</v>
      </c>
      <c r="RP36" s="206" t="s">
        <v>7992</v>
      </c>
      <c r="RQ36" s="206" t="s">
        <v>7992</v>
      </c>
      <c r="RR36" s="206" t="s">
        <v>7992</v>
      </c>
      <c r="RS36" s="206" t="s">
        <v>7992</v>
      </c>
      <c r="RT36" s="206" t="s">
        <v>7992</v>
      </c>
      <c r="RU36" s="206" t="s">
        <v>7992</v>
      </c>
      <c r="RV36" s="206" t="s">
        <v>7992</v>
      </c>
      <c r="RW36" s="206" t="s">
        <v>7992</v>
      </c>
      <c r="RX36" s="206" t="s">
        <v>7992</v>
      </c>
      <c r="RY36" s="206" t="s">
        <v>7992</v>
      </c>
      <c r="RZ36" s="206" t="s">
        <v>7992</v>
      </c>
      <c r="SA36" s="206" t="s">
        <v>7992</v>
      </c>
      <c r="SB36" s="206" t="s">
        <v>7992</v>
      </c>
      <c r="SC36" s="206" t="s">
        <v>7992</v>
      </c>
      <c r="SD36" s="206" t="s">
        <v>7992</v>
      </c>
      <c r="SE36" s="206" t="s">
        <v>7992</v>
      </c>
      <c r="SF36" s="206" t="s">
        <v>7992</v>
      </c>
      <c r="SG36" s="206" t="s">
        <v>7992</v>
      </c>
      <c r="SH36" s="206" t="s">
        <v>7992</v>
      </c>
      <c r="SI36" s="206" t="s">
        <v>7992</v>
      </c>
      <c r="SJ36" s="206" t="s">
        <v>7992</v>
      </c>
      <c r="SK36" s="206" t="s">
        <v>7992</v>
      </c>
      <c r="SL36" s="206" t="s">
        <v>7992</v>
      </c>
      <c r="SM36" s="206" t="s">
        <v>7992</v>
      </c>
      <c r="SN36" s="206" t="s">
        <v>7992</v>
      </c>
      <c r="SO36" s="206" t="s">
        <v>7992</v>
      </c>
      <c r="SP36" s="206" t="s">
        <v>7992</v>
      </c>
      <c r="SQ36" s="206" t="s">
        <v>7992</v>
      </c>
      <c r="SR36" s="206" t="s">
        <v>7992</v>
      </c>
      <c r="SS36" s="206" t="s">
        <v>7992</v>
      </c>
      <c r="ST36" s="206" t="s">
        <v>7992</v>
      </c>
      <c r="SU36" s="206" t="s">
        <v>7992</v>
      </c>
      <c r="SV36" s="206" t="s">
        <v>7992</v>
      </c>
      <c r="SW36" s="206" t="s">
        <v>7992</v>
      </c>
      <c r="SX36" s="206" t="s">
        <v>7992</v>
      </c>
      <c r="SY36" s="206" t="s">
        <v>7992</v>
      </c>
      <c r="SZ36" s="206" t="s">
        <v>7992</v>
      </c>
      <c r="TA36" s="206" t="s">
        <v>7992</v>
      </c>
      <c r="TB36" s="206" t="s">
        <v>7992</v>
      </c>
      <c r="TC36" s="206" t="s">
        <v>7992</v>
      </c>
      <c r="TD36" s="206" t="s">
        <v>7992</v>
      </c>
      <c r="TE36" s="206" t="s">
        <v>7992</v>
      </c>
      <c r="TF36" s="206" t="s">
        <v>7992</v>
      </c>
      <c r="TG36" s="206" t="s">
        <v>7992</v>
      </c>
      <c r="TH36" s="206" t="s">
        <v>7992</v>
      </c>
      <c r="TI36" s="206" t="s">
        <v>7992</v>
      </c>
      <c r="TJ36" s="206" t="s">
        <v>7992</v>
      </c>
      <c r="TK36" s="206" t="s">
        <v>7992</v>
      </c>
      <c r="TL36" s="206" t="s">
        <v>7992</v>
      </c>
      <c r="TM36" s="206" t="s">
        <v>7992</v>
      </c>
      <c r="TN36" s="206" t="s">
        <v>7992</v>
      </c>
      <c r="TO36" s="206" t="s">
        <v>7992</v>
      </c>
      <c r="TP36" s="206" t="s">
        <v>7992</v>
      </c>
      <c r="TQ36" s="206" t="s">
        <v>7992</v>
      </c>
      <c r="TR36" s="206" t="s">
        <v>7992</v>
      </c>
      <c r="TS36" s="206" t="s">
        <v>7992</v>
      </c>
      <c r="TT36" s="206" t="s">
        <v>7992</v>
      </c>
      <c r="TU36" s="206" t="s">
        <v>7992</v>
      </c>
      <c r="TV36" s="206" t="s">
        <v>7992</v>
      </c>
      <c r="TW36" s="206" t="s">
        <v>7992</v>
      </c>
      <c r="TX36" s="206" t="s">
        <v>7992</v>
      </c>
      <c r="TY36" s="206" t="s">
        <v>7992</v>
      </c>
      <c r="TZ36" s="206" t="s">
        <v>7992</v>
      </c>
      <c r="UA36" s="206" t="s">
        <v>7992</v>
      </c>
      <c r="UB36" s="206" t="s">
        <v>7992</v>
      </c>
      <c r="UC36" s="206" t="s">
        <v>7992</v>
      </c>
      <c r="UD36" s="206" t="s">
        <v>7992</v>
      </c>
      <c r="UE36" s="206" t="s">
        <v>7992</v>
      </c>
      <c r="UF36" s="206" t="s">
        <v>7992</v>
      </c>
      <c r="UG36" s="206" t="s">
        <v>7992</v>
      </c>
      <c r="UH36" s="206" t="s">
        <v>7992</v>
      </c>
      <c r="UI36" s="206" t="s">
        <v>7992</v>
      </c>
      <c r="UJ36" s="206" t="s">
        <v>7992</v>
      </c>
      <c r="UK36" s="206" t="s">
        <v>7992</v>
      </c>
      <c r="UL36" s="206" t="s">
        <v>7992</v>
      </c>
      <c r="UM36" s="206" t="s">
        <v>7992</v>
      </c>
      <c r="UN36" s="206" t="s">
        <v>7992</v>
      </c>
      <c r="UO36" s="206" t="s">
        <v>7992</v>
      </c>
      <c r="UP36" s="206" t="s">
        <v>7992</v>
      </c>
      <c r="UQ36" s="206" t="s">
        <v>7992</v>
      </c>
      <c r="UR36" s="206" t="s">
        <v>7992</v>
      </c>
      <c r="US36" s="206" t="s">
        <v>7992</v>
      </c>
      <c r="UT36" s="206" t="s">
        <v>7992</v>
      </c>
      <c r="UU36" s="206" t="s">
        <v>7992</v>
      </c>
      <c r="UV36" s="206" t="s">
        <v>7992</v>
      </c>
      <c r="UW36" s="206" t="s">
        <v>7992</v>
      </c>
      <c r="UX36" s="206" t="s">
        <v>7992</v>
      </c>
      <c r="UY36" s="206" t="s">
        <v>7992</v>
      </c>
      <c r="UZ36" s="206" t="s">
        <v>7992</v>
      </c>
      <c r="VA36" s="206" t="s">
        <v>7992</v>
      </c>
      <c r="VB36" s="206" t="s">
        <v>7992</v>
      </c>
      <c r="VC36" s="206" t="s">
        <v>7992</v>
      </c>
      <c r="VD36" s="206" t="s">
        <v>7992</v>
      </c>
      <c r="VE36" s="206" t="s">
        <v>7992</v>
      </c>
      <c r="VF36" s="206" t="s">
        <v>7992</v>
      </c>
      <c r="VG36" s="206" t="s">
        <v>7992</v>
      </c>
      <c r="VH36" s="206" t="s">
        <v>7992</v>
      </c>
      <c r="VI36" s="206" t="s">
        <v>7992</v>
      </c>
      <c r="VJ36" s="206" t="s">
        <v>7992</v>
      </c>
      <c r="VK36" s="206" t="s">
        <v>7992</v>
      </c>
      <c r="VL36" s="206" t="s">
        <v>7992</v>
      </c>
      <c r="VM36" s="206" t="s">
        <v>7992</v>
      </c>
      <c r="VN36" s="206" t="s">
        <v>7992</v>
      </c>
      <c r="VO36" s="206" t="s">
        <v>7992</v>
      </c>
      <c r="VP36" s="206" t="s">
        <v>7992</v>
      </c>
      <c r="VQ36" s="206" t="s">
        <v>7992</v>
      </c>
      <c r="VR36" s="206" t="s">
        <v>7992</v>
      </c>
      <c r="VS36" s="206" t="s">
        <v>7992</v>
      </c>
      <c r="VT36" s="206" t="s">
        <v>7992</v>
      </c>
      <c r="VU36" s="206" t="s">
        <v>7992</v>
      </c>
      <c r="VV36" s="206" t="s">
        <v>7992</v>
      </c>
      <c r="VW36" s="206" t="s">
        <v>7992</v>
      </c>
      <c r="VX36" s="206" t="s">
        <v>7992</v>
      </c>
      <c r="VY36" s="206" t="s">
        <v>7992</v>
      </c>
      <c r="VZ36" s="206" t="s">
        <v>7992</v>
      </c>
      <c r="WA36" s="206" t="s">
        <v>7992</v>
      </c>
      <c r="WB36" s="206" t="s">
        <v>7992</v>
      </c>
      <c r="WC36" s="206" t="s">
        <v>7992</v>
      </c>
      <c r="WD36" s="206" t="s">
        <v>7992</v>
      </c>
      <c r="WE36" s="206" t="s">
        <v>7992</v>
      </c>
      <c r="WF36" s="206" t="s">
        <v>7992</v>
      </c>
      <c r="WG36" s="206" t="s">
        <v>7992</v>
      </c>
      <c r="WH36" s="206" t="s">
        <v>7992</v>
      </c>
      <c r="WI36" s="206" t="s">
        <v>7992</v>
      </c>
      <c r="WJ36" s="206" t="s">
        <v>7992</v>
      </c>
      <c r="WK36" s="206" t="s">
        <v>7992</v>
      </c>
      <c r="WL36" s="206" t="s">
        <v>7992</v>
      </c>
      <c r="WM36" s="206" t="s">
        <v>7992</v>
      </c>
      <c r="WN36" s="206" t="s">
        <v>7992</v>
      </c>
      <c r="WO36" s="206" t="s">
        <v>7992</v>
      </c>
      <c r="WP36" s="206" t="s">
        <v>7992</v>
      </c>
      <c r="WQ36" s="206" t="s">
        <v>7992</v>
      </c>
      <c r="WR36" s="206" t="s">
        <v>7992</v>
      </c>
      <c r="WS36" s="206" t="s">
        <v>7992</v>
      </c>
      <c r="WT36" s="206" t="s">
        <v>7992</v>
      </c>
      <c r="WU36" s="206" t="s">
        <v>7992</v>
      </c>
      <c r="WV36" s="206" t="s">
        <v>7992</v>
      </c>
      <c r="WW36" s="206" t="s">
        <v>7992</v>
      </c>
      <c r="WX36" s="206" t="s">
        <v>7992</v>
      </c>
      <c r="WY36" s="206" t="s">
        <v>7992</v>
      </c>
      <c r="WZ36" s="206" t="s">
        <v>7992</v>
      </c>
      <c r="XA36" s="206" t="s">
        <v>7992</v>
      </c>
      <c r="XB36" s="206" t="s">
        <v>7992</v>
      </c>
      <c r="XC36" s="206" t="s">
        <v>7992</v>
      </c>
      <c r="XD36" s="206" t="s">
        <v>7992</v>
      </c>
      <c r="XE36" s="206" t="s">
        <v>7992</v>
      </c>
      <c r="XF36" s="206" t="s">
        <v>7992</v>
      </c>
      <c r="XG36" s="206" t="s">
        <v>7992</v>
      </c>
      <c r="XH36" s="206" t="s">
        <v>7992</v>
      </c>
      <c r="XI36" s="206" t="s">
        <v>7992</v>
      </c>
      <c r="XJ36" s="206" t="s">
        <v>7992</v>
      </c>
      <c r="XK36" s="206" t="s">
        <v>7992</v>
      </c>
      <c r="XL36" s="206" t="s">
        <v>7992</v>
      </c>
      <c r="XM36" s="206" t="s">
        <v>7992</v>
      </c>
      <c r="XN36" s="206" t="s">
        <v>7992</v>
      </c>
      <c r="XO36" s="206" t="s">
        <v>7992</v>
      </c>
      <c r="XP36" s="206" t="s">
        <v>7992</v>
      </c>
      <c r="XQ36" s="206" t="s">
        <v>7992</v>
      </c>
      <c r="XR36" s="206" t="s">
        <v>7992</v>
      </c>
      <c r="XS36" s="206" t="s">
        <v>7992</v>
      </c>
      <c r="XT36" s="206" t="s">
        <v>7992</v>
      </c>
      <c r="XU36" s="206" t="s">
        <v>7992</v>
      </c>
      <c r="XV36" s="206" t="s">
        <v>7992</v>
      </c>
      <c r="XW36" s="206" t="s">
        <v>7992</v>
      </c>
      <c r="XX36" s="206" t="s">
        <v>7992</v>
      </c>
      <c r="XY36" s="206" t="s">
        <v>7992</v>
      </c>
      <c r="XZ36" s="206" t="s">
        <v>7992</v>
      </c>
      <c r="YA36" s="206" t="s">
        <v>7992</v>
      </c>
      <c r="YB36" s="206" t="s">
        <v>7992</v>
      </c>
      <c r="YC36" s="206" t="s">
        <v>7992</v>
      </c>
      <c r="YD36" s="206" t="s">
        <v>7992</v>
      </c>
      <c r="YE36" s="206" t="s">
        <v>7992</v>
      </c>
      <c r="YF36" s="206" t="s">
        <v>7992</v>
      </c>
      <c r="YG36" s="206" t="s">
        <v>7992</v>
      </c>
      <c r="YH36" s="206" t="s">
        <v>7992</v>
      </c>
      <c r="YI36" s="206" t="s">
        <v>7992</v>
      </c>
      <c r="YJ36" s="206" t="s">
        <v>7992</v>
      </c>
      <c r="YK36" s="206" t="s">
        <v>7992</v>
      </c>
      <c r="YL36" s="206" t="s">
        <v>7992</v>
      </c>
      <c r="YM36" s="206" t="s">
        <v>7992</v>
      </c>
      <c r="YN36" s="206" t="s">
        <v>7992</v>
      </c>
      <c r="YO36" s="206" t="s">
        <v>7992</v>
      </c>
      <c r="YP36" s="206" t="s">
        <v>7992</v>
      </c>
      <c r="YQ36" s="206" t="s">
        <v>7992</v>
      </c>
      <c r="YR36" s="206" t="s">
        <v>7992</v>
      </c>
      <c r="YS36" s="206" t="s">
        <v>7992</v>
      </c>
      <c r="YT36" s="206" t="s">
        <v>7992</v>
      </c>
      <c r="YU36" s="206" t="s">
        <v>7992</v>
      </c>
      <c r="YV36" s="206" t="s">
        <v>7992</v>
      </c>
      <c r="YW36" s="206" t="s">
        <v>7992</v>
      </c>
      <c r="YX36" s="206" t="s">
        <v>7992</v>
      </c>
      <c r="YY36" s="206" t="s">
        <v>7992</v>
      </c>
      <c r="YZ36" s="206" t="s">
        <v>7992</v>
      </c>
      <c r="ZA36" s="206" t="s">
        <v>7992</v>
      </c>
      <c r="ZB36" s="206" t="s">
        <v>7992</v>
      </c>
      <c r="ZC36" s="206" t="s">
        <v>7992</v>
      </c>
      <c r="ZD36" s="206" t="s">
        <v>7992</v>
      </c>
      <c r="ZE36" s="206" t="s">
        <v>7992</v>
      </c>
      <c r="ZF36" s="206" t="s">
        <v>7992</v>
      </c>
      <c r="ZG36" s="206" t="s">
        <v>7992</v>
      </c>
      <c r="ZH36" s="206" t="s">
        <v>7992</v>
      </c>
      <c r="ZI36" s="206" t="s">
        <v>7992</v>
      </c>
      <c r="ZJ36" s="206" t="s">
        <v>7992</v>
      </c>
      <c r="ZK36" s="206" t="s">
        <v>7992</v>
      </c>
      <c r="ZL36" s="206" t="s">
        <v>7992</v>
      </c>
      <c r="ZM36" s="206" t="s">
        <v>7992</v>
      </c>
      <c r="ZN36" s="206" t="s">
        <v>7992</v>
      </c>
      <c r="ZO36" s="206" t="s">
        <v>7992</v>
      </c>
      <c r="ZP36" s="206" t="s">
        <v>7992</v>
      </c>
      <c r="ZQ36" s="206" t="s">
        <v>7992</v>
      </c>
      <c r="ZR36" s="206" t="s">
        <v>7992</v>
      </c>
      <c r="ZS36" s="206" t="s">
        <v>7992</v>
      </c>
      <c r="ZT36" s="206" t="s">
        <v>7992</v>
      </c>
      <c r="ZU36" s="206" t="s">
        <v>7992</v>
      </c>
      <c r="ZV36" s="206" t="s">
        <v>7992</v>
      </c>
      <c r="ZW36" s="206" t="s">
        <v>7992</v>
      </c>
      <c r="ZX36" s="206" t="s">
        <v>7992</v>
      </c>
      <c r="ZY36" s="206" t="s">
        <v>7992</v>
      </c>
      <c r="ZZ36" s="206" t="s">
        <v>7992</v>
      </c>
      <c r="AAA36" s="206" t="s">
        <v>7992</v>
      </c>
      <c r="AAB36" s="206" t="s">
        <v>7992</v>
      </c>
      <c r="AAC36" s="206" t="s">
        <v>7992</v>
      </c>
      <c r="AAD36" s="206" t="s">
        <v>7992</v>
      </c>
      <c r="AAE36" s="206" t="s">
        <v>7992</v>
      </c>
    </row>
    <row r="37" spans="1:707" s="206" customFormat="1" x14ac:dyDescent="0.25">
      <c r="A37" s="203" t="s">
        <v>9</v>
      </c>
      <c r="B37" s="225" t="s">
        <v>7992</v>
      </c>
      <c r="C37" s="225" t="s">
        <v>7992</v>
      </c>
      <c r="D37" s="225" t="s">
        <v>7992</v>
      </c>
      <c r="E37" s="225" t="s">
        <v>7992</v>
      </c>
      <c r="F37" s="225" t="s">
        <v>7992</v>
      </c>
      <c r="G37" s="225" t="s">
        <v>7992</v>
      </c>
      <c r="H37" s="225" t="s">
        <v>7992</v>
      </c>
      <c r="I37" s="227" t="s">
        <v>7992</v>
      </c>
      <c r="J37" s="227" t="s">
        <v>7992</v>
      </c>
      <c r="K37" s="206" t="s">
        <v>7992</v>
      </c>
      <c r="L37" s="206" t="s">
        <v>7992</v>
      </c>
      <c r="M37" s="206" t="s">
        <v>7992</v>
      </c>
      <c r="N37" s="210" t="s">
        <v>7992</v>
      </c>
      <c r="O37" s="210" t="s">
        <v>7992</v>
      </c>
      <c r="P37" s="210" t="s">
        <v>7992</v>
      </c>
      <c r="Q37" s="210" t="s">
        <v>7992</v>
      </c>
      <c r="R37" s="210" t="s">
        <v>7992</v>
      </c>
      <c r="S37" s="210" t="s">
        <v>7992</v>
      </c>
      <c r="T37" s="210" t="s">
        <v>7992</v>
      </c>
      <c r="U37" s="210" t="s">
        <v>7992</v>
      </c>
      <c r="V37" s="210" t="s">
        <v>7992</v>
      </c>
      <c r="W37" s="210" t="s">
        <v>7992</v>
      </c>
      <c r="X37" s="210" t="s">
        <v>7992</v>
      </c>
      <c r="Y37" s="210" t="s">
        <v>7992</v>
      </c>
      <c r="Z37" s="210" t="s">
        <v>7992</v>
      </c>
      <c r="AA37" s="210" t="s">
        <v>7992</v>
      </c>
      <c r="AB37" s="210" t="s">
        <v>7992</v>
      </c>
      <c r="AC37" s="210" t="s">
        <v>7992</v>
      </c>
      <c r="AD37" s="210" t="s">
        <v>7992</v>
      </c>
      <c r="AE37" s="210" t="s">
        <v>7992</v>
      </c>
      <c r="AF37" s="210" t="s">
        <v>7992</v>
      </c>
      <c r="AG37" s="210" t="s">
        <v>7992</v>
      </c>
      <c r="AH37" s="210" t="s">
        <v>7992</v>
      </c>
      <c r="AI37" s="210" t="s">
        <v>7992</v>
      </c>
      <c r="AJ37" s="210" t="s">
        <v>7992</v>
      </c>
      <c r="AK37" s="210" t="s">
        <v>7992</v>
      </c>
      <c r="AL37" s="210" t="s">
        <v>7992</v>
      </c>
      <c r="AM37" s="210" t="s">
        <v>7992</v>
      </c>
      <c r="AN37" s="210" t="s">
        <v>7992</v>
      </c>
      <c r="AO37" s="210" t="s">
        <v>7992</v>
      </c>
      <c r="AP37" s="210" t="s">
        <v>7992</v>
      </c>
      <c r="AQ37" s="210" t="s">
        <v>7992</v>
      </c>
      <c r="AR37" s="210" t="s">
        <v>7992</v>
      </c>
      <c r="AS37" s="210" t="s">
        <v>7992</v>
      </c>
      <c r="AT37" s="210" t="s">
        <v>7992</v>
      </c>
      <c r="AU37" s="210" t="s">
        <v>7992</v>
      </c>
      <c r="AV37" s="210" t="s">
        <v>7992</v>
      </c>
      <c r="AW37" s="167" t="s">
        <v>7992</v>
      </c>
      <c r="AX37" s="206" t="s">
        <v>7992</v>
      </c>
      <c r="AY37" s="206" t="s">
        <v>7992</v>
      </c>
      <c r="AZ37" s="206" t="s">
        <v>7992</v>
      </c>
      <c r="BA37" s="206" t="s">
        <v>7992</v>
      </c>
      <c r="BB37" s="206" t="s">
        <v>7992</v>
      </c>
      <c r="BC37" s="206" t="s">
        <v>7992</v>
      </c>
      <c r="BD37" s="206" t="s">
        <v>7992</v>
      </c>
      <c r="BE37" s="206" t="s">
        <v>7992</v>
      </c>
      <c r="BF37" s="206" t="s">
        <v>7992</v>
      </c>
      <c r="BG37" s="206" t="s">
        <v>7992</v>
      </c>
      <c r="BH37" s="206" t="s">
        <v>7992</v>
      </c>
      <c r="BI37" s="206" t="s">
        <v>7992</v>
      </c>
      <c r="BJ37" s="206" t="s">
        <v>7992</v>
      </c>
      <c r="BK37" s="206" t="s">
        <v>7992</v>
      </c>
      <c r="BL37" s="206" t="s">
        <v>7992</v>
      </c>
      <c r="BM37" s="206" t="s">
        <v>7992</v>
      </c>
      <c r="BN37" s="206" t="s">
        <v>7992</v>
      </c>
      <c r="BO37" s="206" t="s">
        <v>7992</v>
      </c>
      <c r="BP37" s="206" t="s">
        <v>7992</v>
      </c>
      <c r="BQ37" s="206" t="s">
        <v>7992</v>
      </c>
      <c r="BR37" s="206" t="s">
        <v>7992</v>
      </c>
      <c r="BS37" s="206" t="s">
        <v>7992</v>
      </c>
      <c r="BT37" s="206" t="s">
        <v>7992</v>
      </c>
      <c r="BU37" s="206" t="s">
        <v>7992</v>
      </c>
      <c r="BV37" s="206" t="s">
        <v>7992</v>
      </c>
      <c r="BW37" s="206" t="s">
        <v>7992</v>
      </c>
      <c r="BX37" s="206" t="s">
        <v>7992</v>
      </c>
      <c r="BY37" s="206" t="s">
        <v>7992</v>
      </c>
      <c r="BZ37" s="206" t="s">
        <v>7992</v>
      </c>
      <c r="CA37" s="206" t="s">
        <v>7992</v>
      </c>
      <c r="CB37" s="206" t="s">
        <v>7992</v>
      </c>
      <c r="CC37" s="206" t="s">
        <v>7992</v>
      </c>
      <c r="CD37" s="206" t="s">
        <v>7992</v>
      </c>
      <c r="CE37" s="206" t="s">
        <v>7992</v>
      </c>
      <c r="CF37" s="206" t="s">
        <v>7992</v>
      </c>
      <c r="CG37" s="206" t="s">
        <v>7992</v>
      </c>
      <c r="CH37" s="206" t="s">
        <v>7992</v>
      </c>
      <c r="CI37" s="206" t="s">
        <v>7992</v>
      </c>
      <c r="CJ37" s="206" t="s">
        <v>7992</v>
      </c>
      <c r="CK37" s="206" t="s">
        <v>7992</v>
      </c>
      <c r="CL37" s="206" t="s">
        <v>7992</v>
      </c>
      <c r="CM37" s="206" t="s">
        <v>7992</v>
      </c>
      <c r="CN37" s="206" t="s">
        <v>7992</v>
      </c>
      <c r="CO37" s="206" t="s">
        <v>7992</v>
      </c>
      <c r="CP37" s="206" t="s">
        <v>7992</v>
      </c>
      <c r="CQ37" s="206" t="s">
        <v>7992</v>
      </c>
      <c r="CR37" s="206" t="s">
        <v>7992</v>
      </c>
      <c r="CS37" s="206" t="s">
        <v>7992</v>
      </c>
      <c r="CT37" s="206" t="s">
        <v>7992</v>
      </c>
      <c r="CU37" s="206" t="s">
        <v>7992</v>
      </c>
      <c r="CV37" s="206" t="s">
        <v>7992</v>
      </c>
      <c r="CW37" s="206" t="s">
        <v>7992</v>
      </c>
      <c r="CX37" s="206" t="s">
        <v>7992</v>
      </c>
      <c r="CY37" s="206" t="s">
        <v>7992</v>
      </c>
      <c r="CZ37" s="206" t="s">
        <v>7992</v>
      </c>
      <c r="DA37" s="206" t="s">
        <v>7992</v>
      </c>
      <c r="DB37" s="206" t="s">
        <v>7992</v>
      </c>
      <c r="DC37" s="206" t="s">
        <v>7992</v>
      </c>
      <c r="DD37" s="206" t="s">
        <v>7992</v>
      </c>
      <c r="DE37" s="206" t="s">
        <v>7992</v>
      </c>
      <c r="DF37" s="206" t="s">
        <v>7992</v>
      </c>
      <c r="DG37" s="206" t="s">
        <v>7992</v>
      </c>
      <c r="DH37" s="206" t="s">
        <v>7992</v>
      </c>
      <c r="DI37" s="206" t="s">
        <v>7992</v>
      </c>
      <c r="DJ37" s="206" t="s">
        <v>7992</v>
      </c>
      <c r="DK37" s="206" t="s">
        <v>7992</v>
      </c>
      <c r="DL37" s="206" t="s">
        <v>7992</v>
      </c>
      <c r="DM37" s="206" t="s">
        <v>7992</v>
      </c>
      <c r="DN37" s="206" t="s">
        <v>7992</v>
      </c>
      <c r="DO37" s="206" t="s">
        <v>7992</v>
      </c>
      <c r="DP37" s="206" t="s">
        <v>7992</v>
      </c>
      <c r="DQ37" s="206" t="s">
        <v>7992</v>
      </c>
      <c r="DR37" s="206" t="s">
        <v>7992</v>
      </c>
      <c r="DS37" s="206" t="s">
        <v>7992</v>
      </c>
      <c r="DT37" s="206" t="s">
        <v>7992</v>
      </c>
      <c r="DU37" s="206" t="s">
        <v>7992</v>
      </c>
      <c r="DV37" s="206" t="s">
        <v>7992</v>
      </c>
      <c r="DW37" s="206" t="s">
        <v>7992</v>
      </c>
      <c r="DX37" s="206" t="s">
        <v>7992</v>
      </c>
      <c r="DY37" s="206" t="s">
        <v>7992</v>
      </c>
      <c r="DZ37" s="206" t="s">
        <v>7992</v>
      </c>
      <c r="EA37" s="206" t="s">
        <v>7992</v>
      </c>
      <c r="EB37" s="206" t="s">
        <v>7992</v>
      </c>
      <c r="EC37" s="206" t="s">
        <v>7992</v>
      </c>
      <c r="ED37" s="206" t="s">
        <v>7992</v>
      </c>
      <c r="EE37" s="206" t="s">
        <v>7992</v>
      </c>
      <c r="EF37" s="206" t="s">
        <v>7992</v>
      </c>
      <c r="EG37" s="206" t="s">
        <v>7992</v>
      </c>
      <c r="EH37" s="206" t="s">
        <v>7992</v>
      </c>
      <c r="EI37" s="206" t="s">
        <v>7992</v>
      </c>
      <c r="EJ37" s="206" t="s">
        <v>7992</v>
      </c>
      <c r="EK37" s="206" t="s">
        <v>7992</v>
      </c>
      <c r="EL37" s="206" t="s">
        <v>7992</v>
      </c>
      <c r="EM37" s="206" t="s">
        <v>7992</v>
      </c>
      <c r="EN37" s="206" t="s">
        <v>7992</v>
      </c>
      <c r="EO37" s="206" t="s">
        <v>7992</v>
      </c>
      <c r="EP37" s="206" t="s">
        <v>7992</v>
      </c>
      <c r="EQ37" s="206" t="s">
        <v>7992</v>
      </c>
      <c r="ER37" s="206" t="s">
        <v>7992</v>
      </c>
      <c r="ES37" s="206" t="s">
        <v>7992</v>
      </c>
      <c r="ET37" s="206" t="s">
        <v>7992</v>
      </c>
      <c r="EU37" s="206" t="s">
        <v>7992</v>
      </c>
      <c r="EV37" s="206" t="s">
        <v>7992</v>
      </c>
      <c r="EW37" s="206" t="s">
        <v>7992</v>
      </c>
      <c r="EX37" s="206" t="s">
        <v>7992</v>
      </c>
      <c r="EY37" s="206" t="s">
        <v>7992</v>
      </c>
      <c r="EZ37" s="206" t="s">
        <v>7992</v>
      </c>
      <c r="FA37" s="206" t="s">
        <v>7992</v>
      </c>
      <c r="FB37" s="206" t="s">
        <v>7992</v>
      </c>
      <c r="FC37" s="206" t="s">
        <v>7992</v>
      </c>
      <c r="FD37" s="206" t="s">
        <v>7992</v>
      </c>
      <c r="FE37" s="206" t="s">
        <v>7992</v>
      </c>
      <c r="FF37" s="206" t="s">
        <v>7992</v>
      </c>
      <c r="FG37" s="206" t="s">
        <v>7992</v>
      </c>
      <c r="FH37" s="206" t="s">
        <v>7992</v>
      </c>
      <c r="FI37" s="206" t="s">
        <v>7992</v>
      </c>
      <c r="FJ37" s="206" t="s">
        <v>7992</v>
      </c>
      <c r="FK37" s="206" t="s">
        <v>7992</v>
      </c>
      <c r="FL37" s="206" t="s">
        <v>7992</v>
      </c>
      <c r="FM37" s="206" t="s">
        <v>7992</v>
      </c>
      <c r="FN37" s="206" t="s">
        <v>7992</v>
      </c>
      <c r="FO37" s="206" t="s">
        <v>7992</v>
      </c>
      <c r="FP37" s="206" t="s">
        <v>7992</v>
      </c>
      <c r="FQ37" s="206" t="s">
        <v>7992</v>
      </c>
      <c r="FR37" s="206" t="s">
        <v>7992</v>
      </c>
      <c r="FS37" s="206" t="s">
        <v>7992</v>
      </c>
      <c r="FT37" s="206" t="s">
        <v>7992</v>
      </c>
      <c r="FU37" s="206" t="s">
        <v>7992</v>
      </c>
      <c r="FV37" s="206" t="s">
        <v>7992</v>
      </c>
      <c r="FW37" s="206" t="s">
        <v>7992</v>
      </c>
      <c r="FX37" s="206" t="s">
        <v>7992</v>
      </c>
      <c r="FY37" s="206" t="s">
        <v>7992</v>
      </c>
      <c r="FZ37" s="206" t="s">
        <v>7992</v>
      </c>
      <c r="GA37" s="206" t="s">
        <v>7992</v>
      </c>
      <c r="GB37" s="206" t="s">
        <v>7992</v>
      </c>
      <c r="GC37" s="206" t="s">
        <v>7992</v>
      </c>
      <c r="GD37" s="206" t="s">
        <v>7992</v>
      </c>
      <c r="GE37" s="206" t="s">
        <v>7992</v>
      </c>
      <c r="GF37" s="206" t="s">
        <v>7992</v>
      </c>
      <c r="GG37" s="206" t="s">
        <v>7992</v>
      </c>
      <c r="GH37" s="206" t="s">
        <v>7992</v>
      </c>
      <c r="GI37" s="206" t="s">
        <v>7992</v>
      </c>
      <c r="GJ37" s="206" t="s">
        <v>7992</v>
      </c>
      <c r="GK37" s="206" t="s">
        <v>7992</v>
      </c>
      <c r="GL37" s="206" t="s">
        <v>7992</v>
      </c>
      <c r="GM37" s="206" t="s">
        <v>7992</v>
      </c>
      <c r="GN37" s="206" t="s">
        <v>7992</v>
      </c>
      <c r="GO37" s="206" t="s">
        <v>7992</v>
      </c>
      <c r="GP37" s="206" t="s">
        <v>7992</v>
      </c>
      <c r="GQ37" s="206" t="s">
        <v>7992</v>
      </c>
      <c r="GR37" s="206" t="s">
        <v>7992</v>
      </c>
      <c r="GS37" s="206" t="s">
        <v>7992</v>
      </c>
      <c r="GT37" s="206" t="s">
        <v>7992</v>
      </c>
      <c r="GU37" s="206" t="s">
        <v>7992</v>
      </c>
      <c r="GV37" s="206" t="s">
        <v>7992</v>
      </c>
      <c r="GW37" s="206" t="s">
        <v>7992</v>
      </c>
      <c r="GX37" s="206" t="s">
        <v>7992</v>
      </c>
      <c r="GY37" s="206" t="s">
        <v>7992</v>
      </c>
      <c r="GZ37" s="206" t="s">
        <v>7992</v>
      </c>
      <c r="HA37" s="206" t="s">
        <v>7992</v>
      </c>
      <c r="HB37" s="206" t="s">
        <v>7992</v>
      </c>
      <c r="HC37" s="206" t="s">
        <v>7992</v>
      </c>
      <c r="HD37" s="206" t="s">
        <v>7992</v>
      </c>
      <c r="HE37" s="206" t="s">
        <v>7992</v>
      </c>
      <c r="HF37" s="206" t="s">
        <v>7992</v>
      </c>
      <c r="HG37" s="206" t="s">
        <v>7992</v>
      </c>
      <c r="HH37" s="206" t="s">
        <v>7992</v>
      </c>
      <c r="HI37" s="206" t="s">
        <v>7992</v>
      </c>
      <c r="HJ37" s="206" t="s">
        <v>7992</v>
      </c>
      <c r="HK37" s="206" t="s">
        <v>7992</v>
      </c>
      <c r="HL37" s="206" t="s">
        <v>7992</v>
      </c>
      <c r="HM37" s="206" t="s">
        <v>7992</v>
      </c>
      <c r="HN37" s="206" t="s">
        <v>7992</v>
      </c>
      <c r="HO37" s="206" t="s">
        <v>7992</v>
      </c>
      <c r="HP37" s="206" t="s">
        <v>7992</v>
      </c>
      <c r="HQ37" s="206" t="s">
        <v>7992</v>
      </c>
      <c r="HR37" s="206" t="s">
        <v>7992</v>
      </c>
      <c r="HS37" s="206" t="s">
        <v>7992</v>
      </c>
      <c r="HT37" s="206" t="s">
        <v>7992</v>
      </c>
      <c r="HU37" s="206" t="s">
        <v>7992</v>
      </c>
      <c r="HV37" s="206" t="s">
        <v>7992</v>
      </c>
      <c r="HW37" s="206" t="s">
        <v>7992</v>
      </c>
      <c r="HX37" s="206" t="s">
        <v>7992</v>
      </c>
      <c r="HY37" s="206" t="s">
        <v>7992</v>
      </c>
      <c r="HZ37" s="206" t="s">
        <v>7992</v>
      </c>
      <c r="IA37" s="206" t="s">
        <v>7992</v>
      </c>
      <c r="IB37" s="206" t="s">
        <v>7992</v>
      </c>
      <c r="IC37" s="206" t="s">
        <v>7992</v>
      </c>
      <c r="ID37" s="206" t="s">
        <v>7992</v>
      </c>
      <c r="IE37" s="206" t="s">
        <v>7992</v>
      </c>
      <c r="IF37" s="206" t="s">
        <v>7992</v>
      </c>
      <c r="IG37" s="206" t="s">
        <v>7992</v>
      </c>
      <c r="IH37" s="206" t="s">
        <v>7992</v>
      </c>
      <c r="II37" s="206" t="s">
        <v>7992</v>
      </c>
      <c r="IJ37" s="206" t="s">
        <v>7992</v>
      </c>
      <c r="IK37" s="206" t="s">
        <v>7992</v>
      </c>
      <c r="IL37" s="206" t="s">
        <v>7992</v>
      </c>
      <c r="IM37" s="206" t="s">
        <v>7992</v>
      </c>
      <c r="IN37" s="206" t="s">
        <v>7992</v>
      </c>
      <c r="IO37" s="206" t="s">
        <v>7992</v>
      </c>
      <c r="IP37" s="206" t="s">
        <v>7992</v>
      </c>
      <c r="IQ37" s="206" t="s">
        <v>7992</v>
      </c>
      <c r="IR37" s="206" t="s">
        <v>7992</v>
      </c>
      <c r="IS37" s="206" t="s">
        <v>7992</v>
      </c>
      <c r="IT37" s="206" t="s">
        <v>7992</v>
      </c>
      <c r="IU37" s="206" t="s">
        <v>7992</v>
      </c>
      <c r="IV37" s="206" t="s">
        <v>7992</v>
      </c>
      <c r="IW37" s="206" t="s">
        <v>7992</v>
      </c>
      <c r="IX37" s="206" t="s">
        <v>7992</v>
      </c>
      <c r="IY37" s="206" t="s">
        <v>7992</v>
      </c>
      <c r="IZ37" s="206" t="s">
        <v>7992</v>
      </c>
      <c r="JA37" s="206" t="s">
        <v>7992</v>
      </c>
      <c r="JB37" s="206" t="s">
        <v>7992</v>
      </c>
      <c r="JC37" s="206" t="s">
        <v>7992</v>
      </c>
      <c r="JD37" s="206" t="s">
        <v>7992</v>
      </c>
      <c r="JE37" s="206" t="s">
        <v>7992</v>
      </c>
      <c r="JF37" s="206" t="s">
        <v>7992</v>
      </c>
      <c r="JG37" s="206" t="s">
        <v>7992</v>
      </c>
      <c r="JH37" s="206" t="s">
        <v>7992</v>
      </c>
      <c r="JI37" s="206" t="s">
        <v>7992</v>
      </c>
      <c r="JJ37" s="206" t="s">
        <v>7992</v>
      </c>
      <c r="JK37" s="206" t="s">
        <v>7992</v>
      </c>
      <c r="JL37" s="206" t="s">
        <v>7992</v>
      </c>
      <c r="JM37" s="206" t="s">
        <v>7992</v>
      </c>
      <c r="JN37" s="206" t="s">
        <v>7992</v>
      </c>
      <c r="JO37" s="206" t="s">
        <v>7992</v>
      </c>
      <c r="JP37" s="206" t="s">
        <v>7992</v>
      </c>
      <c r="JQ37" s="206" t="s">
        <v>7992</v>
      </c>
      <c r="JR37" s="206" t="s">
        <v>7992</v>
      </c>
      <c r="JS37" s="206" t="s">
        <v>7992</v>
      </c>
      <c r="JT37" s="206" t="s">
        <v>7992</v>
      </c>
      <c r="JU37" s="206" t="s">
        <v>7992</v>
      </c>
      <c r="JV37" s="206" t="s">
        <v>7992</v>
      </c>
      <c r="JW37" s="206" t="s">
        <v>7992</v>
      </c>
      <c r="JX37" s="206" t="s">
        <v>7992</v>
      </c>
      <c r="JY37" s="206" t="s">
        <v>7992</v>
      </c>
      <c r="JZ37" s="206" t="s">
        <v>7992</v>
      </c>
      <c r="KA37" s="206" t="s">
        <v>7992</v>
      </c>
      <c r="KB37" s="206" t="s">
        <v>7992</v>
      </c>
      <c r="KC37" s="206" t="s">
        <v>7992</v>
      </c>
      <c r="KD37" s="206" t="s">
        <v>7992</v>
      </c>
      <c r="KE37" s="206" t="s">
        <v>7992</v>
      </c>
      <c r="KF37" s="206" t="s">
        <v>7992</v>
      </c>
      <c r="KG37" s="206" t="s">
        <v>7992</v>
      </c>
      <c r="KH37" s="206" t="s">
        <v>7992</v>
      </c>
      <c r="KI37" s="206" t="s">
        <v>7992</v>
      </c>
      <c r="KJ37" s="206" t="s">
        <v>7992</v>
      </c>
      <c r="KK37" s="206" t="s">
        <v>7992</v>
      </c>
      <c r="KL37" s="206" t="s">
        <v>7992</v>
      </c>
      <c r="KM37" s="206" t="s">
        <v>7992</v>
      </c>
      <c r="KN37" s="206" t="s">
        <v>7992</v>
      </c>
      <c r="KO37" s="206" t="s">
        <v>7992</v>
      </c>
      <c r="KP37" s="206" t="s">
        <v>7992</v>
      </c>
      <c r="KQ37" s="206" t="s">
        <v>7992</v>
      </c>
      <c r="KR37" s="206" t="s">
        <v>7992</v>
      </c>
      <c r="KS37" s="206" t="s">
        <v>7992</v>
      </c>
      <c r="KT37" s="206" t="s">
        <v>7992</v>
      </c>
      <c r="KU37" s="206" t="s">
        <v>7992</v>
      </c>
      <c r="KV37" s="206" t="s">
        <v>7992</v>
      </c>
      <c r="KW37" s="206" t="s">
        <v>7992</v>
      </c>
      <c r="KX37" s="206" t="s">
        <v>7992</v>
      </c>
      <c r="KY37" s="206" t="s">
        <v>7992</v>
      </c>
      <c r="KZ37" s="206" t="s">
        <v>7992</v>
      </c>
      <c r="LA37" s="206" t="s">
        <v>7992</v>
      </c>
      <c r="LB37" s="206" t="s">
        <v>7992</v>
      </c>
      <c r="LC37" s="206" t="s">
        <v>7992</v>
      </c>
      <c r="LD37" s="206" t="s">
        <v>7992</v>
      </c>
      <c r="LE37" s="206" t="s">
        <v>7992</v>
      </c>
      <c r="LF37" s="206" t="s">
        <v>7992</v>
      </c>
      <c r="LG37" s="206" t="s">
        <v>7992</v>
      </c>
      <c r="LH37" s="206" t="s">
        <v>7992</v>
      </c>
      <c r="LI37" s="206" t="s">
        <v>7992</v>
      </c>
      <c r="LJ37" s="206" t="s">
        <v>7992</v>
      </c>
      <c r="LK37" s="206" t="s">
        <v>7992</v>
      </c>
      <c r="LL37" s="206" t="s">
        <v>7992</v>
      </c>
      <c r="LM37" s="206" t="s">
        <v>7992</v>
      </c>
      <c r="LN37" s="206" t="s">
        <v>7992</v>
      </c>
      <c r="LO37" s="206" t="s">
        <v>7992</v>
      </c>
      <c r="LP37" s="206" t="s">
        <v>7992</v>
      </c>
      <c r="LQ37" s="206" t="s">
        <v>7992</v>
      </c>
      <c r="LR37" s="206" t="s">
        <v>7992</v>
      </c>
      <c r="LS37" s="206" t="s">
        <v>7992</v>
      </c>
      <c r="LT37" s="206" t="s">
        <v>7992</v>
      </c>
      <c r="LU37" s="206" t="s">
        <v>7992</v>
      </c>
      <c r="LV37" s="206" t="s">
        <v>7992</v>
      </c>
      <c r="LW37" s="206" t="s">
        <v>7992</v>
      </c>
      <c r="LX37" s="206" t="s">
        <v>7992</v>
      </c>
      <c r="LY37" s="206" t="s">
        <v>7992</v>
      </c>
      <c r="LZ37" s="206" t="s">
        <v>7992</v>
      </c>
      <c r="MA37" s="206" t="s">
        <v>7992</v>
      </c>
      <c r="MB37" s="206" t="s">
        <v>7992</v>
      </c>
      <c r="MC37" s="206" t="s">
        <v>7992</v>
      </c>
      <c r="MD37" s="206" t="s">
        <v>7992</v>
      </c>
      <c r="ME37" s="206" t="s">
        <v>7992</v>
      </c>
      <c r="MF37" s="206" t="s">
        <v>7992</v>
      </c>
      <c r="MG37" s="206" t="s">
        <v>7992</v>
      </c>
      <c r="MH37" s="206" t="s">
        <v>7992</v>
      </c>
      <c r="MI37" s="206" t="s">
        <v>7992</v>
      </c>
      <c r="MJ37" s="206" t="s">
        <v>7992</v>
      </c>
      <c r="MK37" s="206" t="s">
        <v>7992</v>
      </c>
      <c r="ML37" s="206" t="s">
        <v>7992</v>
      </c>
      <c r="MM37" s="206" t="s">
        <v>7992</v>
      </c>
      <c r="MN37" s="206" t="s">
        <v>7992</v>
      </c>
      <c r="MO37" s="206" t="s">
        <v>7992</v>
      </c>
      <c r="MP37" s="206" t="s">
        <v>7992</v>
      </c>
      <c r="MQ37" s="206" t="s">
        <v>7992</v>
      </c>
      <c r="MR37" s="206" t="s">
        <v>7992</v>
      </c>
      <c r="MS37" s="206" t="s">
        <v>7992</v>
      </c>
      <c r="MT37" s="206" t="s">
        <v>7992</v>
      </c>
      <c r="MU37" s="206" t="s">
        <v>7992</v>
      </c>
      <c r="MV37" s="206" t="s">
        <v>7992</v>
      </c>
      <c r="MW37" s="206" t="s">
        <v>7992</v>
      </c>
      <c r="MX37" s="206" t="s">
        <v>7992</v>
      </c>
      <c r="MY37" s="206" t="s">
        <v>7992</v>
      </c>
      <c r="MZ37" s="206" t="s">
        <v>7992</v>
      </c>
      <c r="NA37" s="206" t="s">
        <v>7992</v>
      </c>
      <c r="NB37" s="206" t="s">
        <v>7992</v>
      </c>
      <c r="NC37" s="206" t="s">
        <v>7992</v>
      </c>
      <c r="ND37" s="206" t="s">
        <v>7992</v>
      </c>
      <c r="NE37" s="206" t="s">
        <v>7992</v>
      </c>
      <c r="NF37" s="206" t="s">
        <v>7992</v>
      </c>
      <c r="NG37" s="206" t="s">
        <v>7992</v>
      </c>
      <c r="NH37" s="206" t="s">
        <v>7992</v>
      </c>
      <c r="NI37" s="206" t="s">
        <v>7992</v>
      </c>
      <c r="NJ37" s="206" t="s">
        <v>7992</v>
      </c>
      <c r="NK37" s="206" t="s">
        <v>7992</v>
      </c>
      <c r="NL37" s="206" t="s">
        <v>7992</v>
      </c>
      <c r="NM37" s="206" t="s">
        <v>7992</v>
      </c>
      <c r="NN37" s="206" t="s">
        <v>7992</v>
      </c>
      <c r="NO37" s="206" t="s">
        <v>7992</v>
      </c>
      <c r="NP37" s="206" t="s">
        <v>7992</v>
      </c>
      <c r="NQ37" s="206" t="s">
        <v>7992</v>
      </c>
      <c r="NR37" s="206" t="s">
        <v>7992</v>
      </c>
      <c r="NS37" s="206" t="s">
        <v>7992</v>
      </c>
      <c r="NT37" s="206" t="s">
        <v>7992</v>
      </c>
      <c r="NU37" s="206" t="s">
        <v>7992</v>
      </c>
      <c r="NV37" s="206" t="s">
        <v>7992</v>
      </c>
      <c r="NW37" s="206" t="s">
        <v>7992</v>
      </c>
      <c r="NX37" s="206" t="s">
        <v>7992</v>
      </c>
      <c r="NY37" s="206" t="s">
        <v>7992</v>
      </c>
      <c r="NZ37" s="206" t="s">
        <v>7992</v>
      </c>
      <c r="OA37" s="206" t="s">
        <v>7992</v>
      </c>
      <c r="OB37" s="206" t="s">
        <v>7992</v>
      </c>
      <c r="OC37" s="206" t="s">
        <v>7992</v>
      </c>
      <c r="OD37" s="206" t="s">
        <v>7992</v>
      </c>
      <c r="OE37" s="206" t="s">
        <v>7992</v>
      </c>
      <c r="OF37" s="206" t="s">
        <v>7992</v>
      </c>
      <c r="OG37" s="206" t="s">
        <v>7992</v>
      </c>
      <c r="OH37" s="206" t="s">
        <v>7992</v>
      </c>
      <c r="OI37" s="206" t="s">
        <v>7992</v>
      </c>
      <c r="OJ37" s="206" t="s">
        <v>7992</v>
      </c>
      <c r="OK37" s="206" t="s">
        <v>7992</v>
      </c>
      <c r="OL37" s="206" t="s">
        <v>7992</v>
      </c>
      <c r="OM37" s="206" t="s">
        <v>7992</v>
      </c>
      <c r="ON37" s="206" t="s">
        <v>7992</v>
      </c>
      <c r="OO37" s="206" t="s">
        <v>7992</v>
      </c>
      <c r="OP37" s="206" t="s">
        <v>7992</v>
      </c>
      <c r="OQ37" s="206" t="s">
        <v>7992</v>
      </c>
      <c r="OR37" s="206" t="s">
        <v>7992</v>
      </c>
      <c r="OS37" s="206" t="s">
        <v>7992</v>
      </c>
      <c r="OT37" s="206" t="s">
        <v>7992</v>
      </c>
      <c r="OU37" s="206" t="s">
        <v>7992</v>
      </c>
      <c r="OV37" s="206" t="s">
        <v>7992</v>
      </c>
      <c r="OW37" s="206" t="s">
        <v>7992</v>
      </c>
      <c r="OX37" s="206" t="s">
        <v>7992</v>
      </c>
      <c r="OY37" s="206" t="s">
        <v>7992</v>
      </c>
      <c r="OZ37" s="206" t="s">
        <v>7992</v>
      </c>
      <c r="PA37" s="206" t="s">
        <v>7992</v>
      </c>
      <c r="PB37" s="206" t="s">
        <v>7992</v>
      </c>
      <c r="PC37" s="206" t="s">
        <v>7992</v>
      </c>
      <c r="PD37" s="206" t="s">
        <v>7992</v>
      </c>
      <c r="PE37" s="206" t="s">
        <v>7992</v>
      </c>
      <c r="PF37" s="206" t="s">
        <v>7992</v>
      </c>
      <c r="PG37" s="206" t="s">
        <v>7992</v>
      </c>
      <c r="PH37" s="206" t="s">
        <v>7992</v>
      </c>
      <c r="PI37" s="206" t="s">
        <v>7992</v>
      </c>
      <c r="PJ37" s="206" t="s">
        <v>7992</v>
      </c>
      <c r="PK37" s="206" t="s">
        <v>7992</v>
      </c>
      <c r="PL37" s="206" t="s">
        <v>7992</v>
      </c>
      <c r="PM37" s="206" t="s">
        <v>7992</v>
      </c>
      <c r="PN37" s="206" t="s">
        <v>7992</v>
      </c>
      <c r="PO37" s="206" t="s">
        <v>7992</v>
      </c>
      <c r="PP37" s="206" t="s">
        <v>7992</v>
      </c>
      <c r="PQ37" s="206" t="s">
        <v>7992</v>
      </c>
      <c r="PR37" s="206" t="s">
        <v>7992</v>
      </c>
      <c r="PS37" s="206" t="s">
        <v>7992</v>
      </c>
      <c r="PT37" s="206" t="s">
        <v>7992</v>
      </c>
      <c r="PU37" s="206" t="s">
        <v>7992</v>
      </c>
      <c r="PV37" s="206" t="s">
        <v>7992</v>
      </c>
      <c r="PW37" s="206" t="s">
        <v>7992</v>
      </c>
      <c r="PX37" s="206" t="s">
        <v>7992</v>
      </c>
      <c r="PY37" s="206" t="s">
        <v>7992</v>
      </c>
      <c r="PZ37" s="206" t="s">
        <v>7992</v>
      </c>
      <c r="QA37" s="206" t="s">
        <v>7992</v>
      </c>
      <c r="QB37" s="206" t="s">
        <v>7992</v>
      </c>
      <c r="QC37" s="206" t="s">
        <v>7992</v>
      </c>
      <c r="QD37" s="206" t="s">
        <v>7992</v>
      </c>
      <c r="QE37" s="206" t="s">
        <v>7992</v>
      </c>
      <c r="QF37" s="206" t="s">
        <v>7992</v>
      </c>
      <c r="QG37" s="206" t="s">
        <v>7992</v>
      </c>
      <c r="QH37" s="206" t="s">
        <v>7992</v>
      </c>
      <c r="QI37" s="206" t="s">
        <v>7992</v>
      </c>
      <c r="QJ37" s="206" t="s">
        <v>7992</v>
      </c>
      <c r="QK37" s="206" t="s">
        <v>7992</v>
      </c>
      <c r="QL37" s="206" t="s">
        <v>7992</v>
      </c>
      <c r="QM37" s="206" t="s">
        <v>7992</v>
      </c>
      <c r="QN37" s="206" t="s">
        <v>7992</v>
      </c>
      <c r="QO37" s="206" t="s">
        <v>7992</v>
      </c>
      <c r="QP37" s="206" t="s">
        <v>7992</v>
      </c>
      <c r="QQ37" s="206" t="s">
        <v>7992</v>
      </c>
      <c r="QR37" s="206" t="s">
        <v>7992</v>
      </c>
      <c r="QS37" s="206" t="s">
        <v>7992</v>
      </c>
      <c r="QT37" s="206" t="s">
        <v>7992</v>
      </c>
      <c r="QU37" s="206" t="s">
        <v>7992</v>
      </c>
      <c r="QV37" s="206" t="s">
        <v>7992</v>
      </c>
      <c r="QW37" s="206" t="s">
        <v>7992</v>
      </c>
      <c r="QX37" s="206" t="s">
        <v>7992</v>
      </c>
      <c r="QY37" s="206" t="s">
        <v>7992</v>
      </c>
      <c r="QZ37" s="206" t="s">
        <v>7992</v>
      </c>
      <c r="RA37" s="206" t="s">
        <v>7992</v>
      </c>
      <c r="RB37" s="206" t="s">
        <v>7992</v>
      </c>
      <c r="RC37" s="206" t="s">
        <v>7992</v>
      </c>
      <c r="RD37" s="206" t="s">
        <v>7992</v>
      </c>
      <c r="RE37" s="206" t="s">
        <v>7992</v>
      </c>
      <c r="RF37" s="206" t="s">
        <v>7992</v>
      </c>
      <c r="RG37" s="206" t="s">
        <v>7992</v>
      </c>
      <c r="RH37" s="206" t="s">
        <v>7992</v>
      </c>
      <c r="RI37" s="206" t="s">
        <v>7992</v>
      </c>
      <c r="RJ37" s="206" t="s">
        <v>7992</v>
      </c>
      <c r="RK37" s="206" t="s">
        <v>7992</v>
      </c>
      <c r="RL37" s="206" t="s">
        <v>7992</v>
      </c>
      <c r="RM37" s="206" t="s">
        <v>7992</v>
      </c>
      <c r="RN37" s="206" t="s">
        <v>7992</v>
      </c>
      <c r="RO37" s="206" t="s">
        <v>7992</v>
      </c>
      <c r="RP37" s="206" t="s">
        <v>7992</v>
      </c>
      <c r="RQ37" s="206" t="s">
        <v>7992</v>
      </c>
      <c r="RR37" s="206" t="s">
        <v>7992</v>
      </c>
      <c r="RS37" s="206" t="s">
        <v>7992</v>
      </c>
      <c r="RT37" s="206" t="s">
        <v>7992</v>
      </c>
      <c r="RU37" s="206" t="s">
        <v>7992</v>
      </c>
      <c r="RV37" s="206" t="s">
        <v>7992</v>
      </c>
      <c r="RW37" s="206" t="s">
        <v>7992</v>
      </c>
      <c r="RX37" s="206" t="s">
        <v>7992</v>
      </c>
      <c r="RY37" s="206" t="s">
        <v>7992</v>
      </c>
      <c r="RZ37" s="206" t="s">
        <v>7992</v>
      </c>
      <c r="SA37" s="206" t="s">
        <v>7992</v>
      </c>
      <c r="SB37" s="206" t="s">
        <v>7992</v>
      </c>
      <c r="SC37" s="206" t="s">
        <v>7992</v>
      </c>
      <c r="SD37" s="206" t="s">
        <v>7992</v>
      </c>
      <c r="SE37" s="206" t="s">
        <v>7992</v>
      </c>
      <c r="SF37" s="206" t="s">
        <v>7992</v>
      </c>
      <c r="SG37" s="206" t="s">
        <v>7992</v>
      </c>
      <c r="SH37" s="206" t="s">
        <v>7992</v>
      </c>
      <c r="SI37" s="206" t="s">
        <v>7992</v>
      </c>
      <c r="SJ37" s="206" t="s">
        <v>7992</v>
      </c>
      <c r="SK37" s="206" t="s">
        <v>7992</v>
      </c>
      <c r="SL37" s="206" t="s">
        <v>7992</v>
      </c>
      <c r="SM37" s="206" t="s">
        <v>7992</v>
      </c>
      <c r="SN37" s="206" t="s">
        <v>7992</v>
      </c>
      <c r="SO37" s="206" t="s">
        <v>7992</v>
      </c>
      <c r="SP37" s="206" t="s">
        <v>7992</v>
      </c>
      <c r="SQ37" s="206" t="s">
        <v>7992</v>
      </c>
      <c r="SR37" s="206" t="s">
        <v>7992</v>
      </c>
      <c r="SS37" s="206" t="s">
        <v>7992</v>
      </c>
      <c r="ST37" s="206" t="s">
        <v>7992</v>
      </c>
      <c r="SU37" s="206" t="s">
        <v>7992</v>
      </c>
      <c r="SV37" s="206" t="s">
        <v>7992</v>
      </c>
      <c r="SW37" s="206" t="s">
        <v>7992</v>
      </c>
      <c r="SX37" s="206" t="s">
        <v>7992</v>
      </c>
      <c r="SY37" s="206" t="s">
        <v>7992</v>
      </c>
      <c r="SZ37" s="206" t="s">
        <v>7992</v>
      </c>
      <c r="TA37" s="206" t="s">
        <v>7992</v>
      </c>
      <c r="TB37" s="206" t="s">
        <v>7992</v>
      </c>
      <c r="TC37" s="206" t="s">
        <v>7992</v>
      </c>
      <c r="TD37" s="206" t="s">
        <v>7992</v>
      </c>
      <c r="TE37" s="206" t="s">
        <v>7992</v>
      </c>
      <c r="TF37" s="206" t="s">
        <v>7992</v>
      </c>
      <c r="TG37" s="206" t="s">
        <v>7992</v>
      </c>
      <c r="TH37" s="206" t="s">
        <v>7992</v>
      </c>
      <c r="TI37" s="206" t="s">
        <v>7992</v>
      </c>
      <c r="TJ37" s="206" t="s">
        <v>7992</v>
      </c>
      <c r="TK37" s="206" t="s">
        <v>7992</v>
      </c>
      <c r="TL37" s="206" t="s">
        <v>7992</v>
      </c>
      <c r="TM37" s="206" t="s">
        <v>7992</v>
      </c>
      <c r="TN37" s="206" t="s">
        <v>7992</v>
      </c>
      <c r="TO37" s="206" t="s">
        <v>7992</v>
      </c>
      <c r="TP37" s="206" t="s">
        <v>7992</v>
      </c>
      <c r="TQ37" s="206" t="s">
        <v>7992</v>
      </c>
      <c r="TR37" s="206" t="s">
        <v>7992</v>
      </c>
      <c r="TS37" s="206" t="s">
        <v>7992</v>
      </c>
      <c r="TT37" s="206" t="s">
        <v>7992</v>
      </c>
      <c r="TU37" s="206" t="s">
        <v>7992</v>
      </c>
      <c r="TV37" s="206" t="s">
        <v>7992</v>
      </c>
      <c r="TW37" s="206" t="s">
        <v>7992</v>
      </c>
      <c r="TX37" s="206" t="s">
        <v>7992</v>
      </c>
      <c r="TY37" s="206" t="s">
        <v>7992</v>
      </c>
      <c r="TZ37" s="206" t="s">
        <v>7992</v>
      </c>
      <c r="UA37" s="206" t="s">
        <v>7992</v>
      </c>
      <c r="UB37" s="206" t="s">
        <v>7992</v>
      </c>
      <c r="UC37" s="206" t="s">
        <v>7992</v>
      </c>
      <c r="UD37" s="206" t="s">
        <v>7992</v>
      </c>
      <c r="UE37" s="206" t="s">
        <v>7992</v>
      </c>
      <c r="UF37" s="206" t="s">
        <v>7992</v>
      </c>
      <c r="UG37" s="206" t="s">
        <v>7992</v>
      </c>
      <c r="UH37" s="206" t="s">
        <v>7992</v>
      </c>
      <c r="UI37" s="206" t="s">
        <v>7992</v>
      </c>
      <c r="UJ37" s="206" t="s">
        <v>7992</v>
      </c>
      <c r="UK37" s="206" t="s">
        <v>7992</v>
      </c>
      <c r="UL37" s="206" t="s">
        <v>7992</v>
      </c>
      <c r="UM37" s="206" t="s">
        <v>7992</v>
      </c>
      <c r="UN37" s="206" t="s">
        <v>7992</v>
      </c>
      <c r="UO37" s="206" t="s">
        <v>7992</v>
      </c>
      <c r="UP37" s="206" t="s">
        <v>7992</v>
      </c>
      <c r="UQ37" s="206" t="s">
        <v>7992</v>
      </c>
      <c r="UR37" s="206" t="s">
        <v>7992</v>
      </c>
      <c r="US37" s="206" t="s">
        <v>7992</v>
      </c>
      <c r="UT37" s="206" t="s">
        <v>7992</v>
      </c>
      <c r="UU37" s="206" t="s">
        <v>7992</v>
      </c>
      <c r="UV37" s="206" t="s">
        <v>7992</v>
      </c>
      <c r="UW37" s="206" t="s">
        <v>7992</v>
      </c>
      <c r="UX37" s="206" t="s">
        <v>7992</v>
      </c>
      <c r="UY37" s="206" t="s">
        <v>7992</v>
      </c>
      <c r="UZ37" s="206" t="s">
        <v>7992</v>
      </c>
      <c r="VA37" s="206" t="s">
        <v>7992</v>
      </c>
      <c r="VB37" s="206" t="s">
        <v>7992</v>
      </c>
      <c r="VC37" s="206" t="s">
        <v>7992</v>
      </c>
      <c r="VD37" s="206" t="s">
        <v>7992</v>
      </c>
      <c r="VE37" s="206" t="s">
        <v>7992</v>
      </c>
      <c r="VF37" s="206" t="s">
        <v>7992</v>
      </c>
      <c r="VG37" s="206" t="s">
        <v>7992</v>
      </c>
      <c r="VH37" s="206" t="s">
        <v>7992</v>
      </c>
      <c r="VI37" s="206" t="s">
        <v>7992</v>
      </c>
      <c r="VJ37" s="206" t="s">
        <v>7992</v>
      </c>
      <c r="VK37" s="206" t="s">
        <v>7992</v>
      </c>
      <c r="VL37" s="206" t="s">
        <v>7992</v>
      </c>
      <c r="VM37" s="206" t="s">
        <v>7992</v>
      </c>
      <c r="VN37" s="206" t="s">
        <v>7992</v>
      </c>
      <c r="VO37" s="206" t="s">
        <v>7992</v>
      </c>
      <c r="VP37" s="206" t="s">
        <v>7992</v>
      </c>
      <c r="VQ37" s="206" t="s">
        <v>7992</v>
      </c>
      <c r="VR37" s="206" t="s">
        <v>7992</v>
      </c>
      <c r="VS37" s="206" t="s">
        <v>7992</v>
      </c>
      <c r="VT37" s="206" t="s">
        <v>7992</v>
      </c>
      <c r="VU37" s="206" t="s">
        <v>7992</v>
      </c>
      <c r="VV37" s="206" t="s">
        <v>7992</v>
      </c>
      <c r="VW37" s="206" t="s">
        <v>7992</v>
      </c>
      <c r="VX37" s="206" t="s">
        <v>7992</v>
      </c>
      <c r="VY37" s="206" t="s">
        <v>7992</v>
      </c>
      <c r="VZ37" s="206" t="s">
        <v>7992</v>
      </c>
      <c r="WA37" s="206" t="s">
        <v>7992</v>
      </c>
      <c r="WB37" s="206" t="s">
        <v>7992</v>
      </c>
      <c r="WC37" s="206" t="s">
        <v>7992</v>
      </c>
      <c r="WD37" s="206" t="s">
        <v>7992</v>
      </c>
      <c r="WE37" s="206" t="s">
        <v>7992</v>
      </c>
      <c r="WF37" s="206" t="s">
        <v>7992</v>
      </c>
      <c r="WG37" s="206" t="s">
        <v>7992</v>
      </c>
      <c r="WH37" s="206" t="s">
        <v>7992</v>
      </c>
      <c r="WI37" s="206" t="s">
        <v>7992</v>
      </c>
      <c r="WJ37" s="206" t="s">
        <v>7992</v>
      </c>
      <c r="WK37" s="206" t="s">
        <v>7992</v>
      </c>
      <c r="WL37" s="206" t="s">
        <v>7992</v>
      </c>
      <c r="WM37" s="206" t="s">
        <v>7992</v>
      </c>
      <c r="WN37" s="206" t="s">
        <v>7992</v>
      </c>
      <c r="WO37" s="206" t="s">
        <v>7992</v>
      </c>
      <c r="WP37" s="206" t="s">
        <v>7992</v>
      </c>
      <c r="WQ37" s="206" t="s">
        <v>7992</v>
      </c>
      <c r="WR37" s="206" t="s">
        <v>7992</v>
      </c>
      <c r="WS37" s="206" t="s">
        <v>7992</v>
      </c>
      <c r="WT37" s="206" t="s">
        <v>7992</v>
      </c>
      <c r="WU37" s="206" t="s">
        <v>7992</v>
      </c>
      <c r="WV37" s="206" t="s">
        <v>7992</v>
      </c>
      <c r="WW37" s="206" t="s">
        <v>7992</v>
      </c>
      <c r="WX37" s="206" t="s">
        <v>7992</v>
      </c>
      <c r="WY37" s="206" t="s">
        <v>7992</v>
      </c>
      <c r="WZ37" s="206" t="s">
        <v>7992</v>
      </c>
      <c r="XA37" s="206" t="s">
        <v>7992</v>
      </c>
      <c r="XB37" s="206" t="s">
        <v>7992</v>
      </c>
      <c r="XC37" s="206" t="s">
        <v>7992</v>
      </c>
      <c r="XD37" s="206" t="s">
        <v>7992</v>
      </c>
      <c r="XE37" s="206" t="s">
        <v>7992</v>
      </c>
      <c r="XF37" s="206" t="s">
        <v>7992</v>
      </c>
      <c r="XG37" s="206" t="s">
        <v>7992</v>
      </c>
      <c r="XH37" s="206" t="s">
        <v>7992</v>
      </c>
      <c r="XI37" s="206" t="s">
        <v>7992</v>
      </c>
      <c r="XJ37" s="206" t="s">
        <v>7992</v>
      </c>
      <c r="XK37" s="206" t="s">
        <v>7992</v>
      </c>
      <c r="XL37" s="206" t="s">
        <v>7992</v>
      </c>
      <c r="XM37" s="206" t="s">
        <v>7992</v>
      </c>
      <c r="XN37" s="206" t="s">
        <v>7992</v>
      </c>
      <c r="XO37" s="206" t="s">
        <v>7992</v>
      </c>
      <c r="XP37" s="206" t="s">
        <v>7992</v>
      </c>
      <c r="XQ37" s="206" t="s">
        <v>7992</v>
      </c>
      <c r="XR37" s="206" t="s">
        <v>7992</v>
      </c>
      <c r="XS37" s="206" t="s">
        <v>7992</v>
      </c>
      <c r="XT37" s="206" t="s">
        <v>7992</v>
      </c>
      <c r="XU37" s="206" t="s">
        <v>7992</v>
      </c>
      <c r="XV37" s="206" t="s">
        <v>7992</v>
      </c>
      <c r="XW37" s="206" t="s">
        <v>7992</v>
      </c>
      <c r="XX37" s="206" t="s">
        <v>7992</v>
      </c>
      <c r="XY37" s="206" t="s">
        <v>7992</v>
      </c>
      <c r="XZ37" s="206" t="s">
        <v>7992</v>
      </c>
      <c r="YA37" s="206" t="s">
        <v>7992</v>
      </c>
      <c r="YB37" s="206" t="s">
        <v>7992</v>
      </c>
      <c r="YC37" s="206" t="s">
        <v>7992</v>
      </c>
      <c r="YD37" s="206" t="s">
        <v>7992</v>
      </c>
      <c r="YE37" s="206" t="s">
        <v>7992</v>
      </c>
      <c r="YF37" s="206" t="s">
        <v>7992</v>
      </c>
      <c r="YG37" s="206" t="s">
        <v>7992</v>
      </c>
      <c r="YH37" s="206" t="s">
        <v>7992</v>
      </c>
      <c r="YI37" s="206" t="s">
        <v>7992</v>
      </c>
      <c r="YJ37" s="206" t="s">
        <v>7992</v>
      </c>
      <c r="YK37" s="206" t="s">
        <v>7992</v>
      </c>
      <c r="YL37" s="206" t="s">
        <v>7992</v>
      </c>
      <c r="YM37" s="206" t="s">
        <v>7992</v>
      </c>
      <c r="YN37" s="206" t="s">
        <v>7992</v>
      </c>
      <c r="YO37" s="206" t="s">
        <v>7992</v>
      </c>
      <c r="YP37" s="206" t="s">
        <v>7992</v>
      </c>
      <c r="YQ37" s="206" t="s">
        <v>7992</v>
      </c>
      <c r="YR37" s="206" t="s">
        <v>7992</v>
      </c>
      <c r="YS37" s="206" t="s">
        <v>7992</v>
      </c>
      <c r="YT37" s="206" t="s">
        <v>7992</v>
      </c>
      <c r="YU37" s="206" t="s">
        <v>7992</v>
      </c>
      <c r="YV37" s="206" t="s">
        <v>7992</v>
      </c>
      <c r="YW37" s="206" t="s">
        <v>7992</v>
      </c>
      <c r="YX37" s="206" t="s">
        <v>7992</v>
      </c>
      <c r="YY37" s="206" t="s">
        <v>7992</v>
      </c>
      <c r="YZ37" s="206" t="s">
        <v>7992</v>
      </c>
      <c r="ZA37" s="206" t="s">
        <v>7992</v>
      </c>
      <c r="ZB37" s="206" t="s">
        <v>7992</v>
      </c>
      <c r="ZC37" s="206" t="s">
        <v>7992</v>
      </c>
      <c r="ZD37" s="206" t="s">
        <v>7992</v>
      </c>
      <c r="ZE37" s="206" t="s">
        <v>7992</v>
      </c>
      <c r="ZF37" s="206" t="s">
        <v>7992</v>
      </c>
      <c r="ZG37" s="206" t="s">
        <v>7992</v>
      </c>
      <c r="ZH37" s="206" t="s">
        <v>7992</v>
      </c>
      <c r="ZI37" s="206" t="s">
        <v>7992</v>
      </c>
      <c r="ZJ37" s="206" t="s">
        <v>7992</v>
      </c>
      <c r="ZK37" s="206" t="s">
        <v>7992</v>
      </c>
      <c r="ZL37" s="206" t="s">
        <v>7992</v>
      </c>
      <c r="ZM37" s="206" t="s">
        <v>7992</v>
      </c>
      <c r="ZN37" s="206" t="s">
        <v>7992</v>
      </c>
      <c r="ZO37" s="206" t="s">
        <v>7992</v>
      </c>
      <c r="ZP37" s="206" t="s">
        <v>7992</v>
      </c>
      <c r="ZQ37" s="206" t="s">
        <v>7992</v>
      </c>
      <c r="ZR37" s="206" t="s">
        <v>7992</v>
      </c>
      <c r="ZS37" s="206" t="s">
        <v>7992</v>
      </c>
      <c r="ZT37" s="206" t="s">
        <v>7992</v>
      </c>
      <c r="ZU37" s="206" t="s">
        <v>7992</v>
      </c>
      <c r="ZV37" s="206" t="s">
        <v>7992</v>
      </c>
      <c r="ZW37" s="206" t="s">
        <v>7992</v>
      </c>
      <c r="ZX37" s="206" t="s">
        <v>7992</v>
      </c>
      <c r="ZY37" s="206" t="s">
        <v>7992</v>
      </c>
      <c r="ZZ37" s="206" t="s">
        <v>7992</v>
      </c>
      <c r="AAA37" s="206" t="s">
        <v>7992</v>
      </c>
      <c r="AAB37" s="206" t="s">
        <v>7992</v>
      </c>
      <c r="AAC37" s="206" t="s">
        <v>7992</v>
      </c>
      <c r="AAD37" s="206" t="s">
        <v>7992</v>
      </c>
      <c r="AAE37" s="206" t="s">
        <v>7992</v>
      </c>
    </row>
    <row r="38" spans="1:707" s="206" customFormat="1" x14ac:dyDescent="0.25">
      <c r="A38" s="203" t="s">
        <v>3329</v>
      </c>
      <c r="B38" s="225" t="s">
        <v>7992</v>
      </c>
      <c r="C38" s="225" t="s">
        <v>7992</v>
      </c>
      <c r="D38" s="225" t="s">
        <v>7992</v>
      </c>
      <c r="E38" s="225" t="s">
        <v>7992</v>
      </c>
      <c r="F38" s="225" t="s">
        <v>7992</v>
      </c>
      <c r="G38" s="225" t="s">
        <v>7992</v>
      </c>
      <c r="H38" s="227" t="s">
        <v>7992</v>
      </c>
      <c r="I38" s="227" t="s">
        <v>7992</v>
      </c>
      <c r="J38" s="227" t="s">
        <v>7992</v>
      </c>
      <c r="K38" s="206" t="s">
        <v>7992</v>
      </c>
      <c r="L38" s="206" t="s">
        <v>7992</v>
      </c>
      <c r="M38" s="208" t="s">
        <v>7992</v>
      </c>
      <c r="N38" s="206" t="s">
        <v>7992</v>
      </c>
      <c r="O38" s="208" t="s">
        <v>7992</v>
      </c>
      <c r="P38" s="206" t="s">
        <v>7992</v>
      </c>
      <c r="Q38" s="206" t="s">
        <v>7992</v>
      </c>
      <c r="R38" s="206" t="s">
        <v>7992</v>
      </c>
      <c r="S38" s="206" t="s">
        <v>7992</v>
      </c>
      <c r="T38" s="206" t="s">
        <v>7992</v>
      </c>
      <c r="U38" s="206" t="s">
        <v>7992</v>
      </c>
      <c r="V38" s="206" t="s">
        <v>7992</v>
      </c>
      <c r="W38" s="206" t="s">
        <v>7992</v>
      </c>
      <c r="X38" s="206" t="s">
        <v>7992</v>
      </c>
      <c r="Y38" s="206" t="s">
        <v>7992</v>
      </c>
      <c r="Z38" s="167" t="s">
        <v>7992</v>
      </c>
      <c r="AA38" s="206" t="s">
        <v>7992</v>
      </c>
      <c r="AB38" s="206" t="s">
        <v>7992</v>
      </c>
      <c r="AC38" s="206" t="s">
        <v>7992</v>
      </c>
      <c r="AD38" s="206" t="s">
        <v>7992</v>
      </c>
      <c r="AE38" s="206" t="s">
        <v>7992</v>
      </c>
      <c r="AF38" s="206" t="s">
        <v>7992</v>
      </c>
      <c r="AG38" s="206" t="s">
        <v>7992</v>
      </c>
      <c r="AH38" s="206" t="s">
        <v>7992</v>
      </c>
      <c r="AI38" s="206" t="s">
        <v>7992</v>
      </c>
      <c r="AJ38" s="206" t="s">
        <v>7992</v>
      </c>
      <c r="AK38" s="206" t="s">
        <v>7992</v>
      </c>
      <c r="AL38" s="206" t="s">
        <v>7992</v>
      </c>
      <c r="AM38" s="206" t="s">
        <v>7992</v>
      </c>
      <c r="AN38" s="206" t="s">
        <v>7992</v>
      </c>
      <c r="AO38" s="206" t="s">
        <v>7992</v>
      </c>
      <c r="AP38" s="206" t="s">
        <v>7992</v>
      </c>
      <c r="AQ38" s="206" t="s">
        <v>7992</v>
      </c>
      <c r="AR38" s="206" t="s">
        <v>7992</v>
      </c>
      <c r="AS38" s="206" t="s">
        <v>7992</v>
      </c>
      <c r="AT38" s="206" t="s">
        <v>7992</v>
      </c>
      <c r="AU38" s="206" t="s">
        <v>7992</v>
      </c>
      <c r="AV38" s="206" t="s">
        <v>7992</v>
      </c>
      <c r="AW38" s="167" t="s">
        <v>7992</v>
      </c>
      <c r="AX38" s="206" t="s">
        <v>7992</v>
      </c>
      <c r="AY38" s="206" t="s">
        <v>7992</v>
      </c>
      <c r="AZ38" s="206" t="s">
        <v>7992</v>
      </c>
      <c r="BA38" s="206" t="s">
        <v>7992</v>
      </c>
      <c r="BB38" s="206" t="s">
        <v>7992</v>
      </c>
      <c r="BC38" s="206" t="s">
        <v>7992</v>
      </c>
      <c r="BD38" s="206" t="s">
        <v>7992</v>
      </c>
      <c r="BE38" s="206" t="s">
        <v>7992</v>
      </c>
      <c r="BF38" s="206" t="s">
        <v>7992</v>
      </c>
      <c r="BG38" s="206" t="s">
        <v>7992</v>
      </c>
      <c r="BH38" s="206" t="s">
        <v>7992</v>
      </c>
      <c r="BI38" s="206" t="s">
        <v>7992</v>
      </c>
      <c r="BJ38" s="206" t="s">
        <v>7992</v>
      </c>
      <c r="BK38" s="206" t="s">
        <v>7992</v>
      </c>
      <c r="BL38" s="206" t="s">
        <v>7992</v>
      </c>
      <c r="BM38" s="206" t="s">
        <v>7992</v>
      </c>
      <c r="BN38" s="206" t="s">
        <v>7992</v>
      </c>
      <c r="BO38" s="206" t="s">
        <v>7992</v>
      </c>
      <c r="BP38" s="206" t="s">
        <v>7992</v>
      </c>
      <c r="BQ38" s="206" t="s">
        <v>7992</v>
      </c>
      <c r="BR38" s="206" t="s">
        <v>7992</v>
      </c>
      <c r="BS38" s="206" t="s">
        <v>7992</v>
      </c>
      <c r="BT38" s="206" t="s">
        <v>7992</v>
      </c>
      <c r="BU38" s="206" t="s">
        <v>7992</v>
      </c>
      <c r="BV38" s="206" t="s">
        <v>7992</v>
      </c>
      <c r="BW38" s="206" t="s">
        <v>7992</v>
      </c>
      <c r="BX38" s="206" t="s">
        <v>7992</v>
      </c>
      <c r="BY38" s="206" t="s">
        <v>7992</v>
      </c>
      <c r="BZ38" s="206" t="s">
        <v>7992</v>
      </c>
      <c r="CA38" s="206" t="s">
        <v>7992</v>
      </c>
      <c r="CB38" s="206" t="s">
        <v>7992</v>
      </c>
      <c r="CC38" s="206" t="s">
        <v>7992</v>
      </c>
      <c r="CD38" s="206" t="s">
        <v>7992</v>
      </c>
      <c r="CE38" s="206" t="s">
        <v>7992</v>
      </c>
      <c r="CF38" s="206" t="s">
        <v>7992</v>
      </c>
      <c r="CG38" s="206" t="s">
        <v>7992</v>
      </c>
      <c r="CH38" s="206" t="s">
        <v>7992</v>
      </c>
      <c r="CI38" s="206" t="s">
        <v>7992</v>
      </c>
      <c r="CJ38" s="206" t="s">
        <v>7992</v>
      </c>
      <c r="CK38" s="206" t="s">
        <v>7992</v>
      </c>
      <c r="CL38" s="206" t="s">
        <v>7992</v>
      </c>
      <c r="CM38" s="206" t="s">
        <v>7992</v>
      </c>
      <c r="CN38" s="206" t="s">
        <v>7992</v>
      </c>
      <c r="CO38" s="206" t="s">
        <v>7992</v>
      </c>
      <c r="CP38" s="206" t="s">
        <v>7992</v>
      </c>
      <c r="CQ38" s="206" t="s">
        <v>7992</v>
      </c>
      <c r="CR38" s="206" t="s">
        <v>7992</v>
      </c>
      <c r="CS38" s="206" t="s">
        <v>7992</v>
      </c>
      <c r="CT38" s="206" t="s">
        <v>7992</v>
      </c>
      <c r="CU38" s="206" t="s">
        <v>7992</v>
      </c>
      <c r="CV38" s="206" t="s">
        <v>7992</v>
      </c>
      <c r="CW38" s="206" t="s">
        <v>7992</v>
      </c>
      <c r="CX38" s="206" t="s">
        <v>7992</v>
      </c>
      <c r="CY38" s="206" t="s">
        <v>7992</v>
      </c>
      <c r="CZ38" s="206" t="s">
        <v>7992</v>
      </c>
      <c r="DA38" s="206" t="s">
        <v>7992</v>
      </c>
      <c r="DB38" s="206" t="s">
        <v>7992</v>
      </c>
      <c r="DC38" s="206" t="s">
        <v>7992</v>
      </c>
      <c r="DD38" s="206" t="s">
        <v>7992</v>
      </c>
      <c r="DE38" s="206" t="s">
        <v>7992</v>
      </c>
      <c r="DF38" s="206" t="s">
        <v>7992</v>
      </c>
      <c r="DG38" s="206" t="s">
        <v>7992</v>
      </c>
      <c r="DH38" s="206" t="s">
        <v>7992</v>
      </c>
      <c r="DI38" s="206" t="s">
        <v>7992</v>
      </c>
      <c r="DJ38" s="206" t="s">
        <v>7992</v>
      </c>
      <c r="DK38" s="206" t="s">
        <v>7992</v>
      </c>
      <c r="DL38" s="206" t="s">
        <v>7992</v>
      </c>
      <c r="DM38" s="206" t="s">
        <v>7992</v>
      </c>
      <c r="DN38" s="206" t="s">
        <v>7992</v>
      </c>
      <c r="DO38" s="206" t="s">
        <v>7992</v>
      </c>
      <c r="DP38" s="206" t="s">
        <v>7992</v>
      </c>
      <c r="DQ38" s="206" t="s">
        <v>7992</v>
      </c>
      <c r="DR38" s="206" t="s">
        <v>7992</v>
      </c>
      <c r="DS38" s="206" t="s">
        <v>7992</v>
      </c>
      <c r="DT38" s="206" t="s">
        <v>7992</v>
      </c>
      <c r="DU38" s="206" t="s">
        <v>7992</v>
      </c>
      <c r="DV38" s="206" t="s">
        <v>7992</v>
      </c>
      <c r="DW38" s="206" t="s">
        <v>7992</v>
      </c>
      <c r="DX38" s="206" t="s">
        <v>7992</v>
      </c>
      <c r="DY38" s="206" t="s">
        <v>7992</v>
      </c>
      <c r="DZ38" s="206" t="s">
        <v>7992</v>
      </c>
      <c r="EA38" s="206" t="s">
        <v>7992</v>
      </c>
      <c r="EB38" s="206" t="s">
        <v>7992</v>
      </c>
      <c r="EC38" s="206" t="s">
        <v>7992</v>
      </c>
      <c r="ED38" s="206" t="s">
        <v>7992</v>
      </c>
      <c r="EE38" s="206" t="s">
        <v>7992</v>
      </c>
      <c r="EF38" s="206" t="s">
        <v>7992</v>
      </c>
      <c r="EG38" s="206" t="s">
        <v>7992</v>
      </c>
      <c r="EH38" s="206" t="s">
        <v>7992</v>
      </c>
      <c r="EI38" s="206" t="s">
        <v>7992</v>
      </c>
      <c r="EJ38" s="206" t="s">
        <v>7992</v>
      </c>
      <c r="EK38" s="206" t="s">
        <v>7992</v>
      </c>
      <c r="EL38" s="206" t="s">
        <v>7992</v>
      </c>
      <c r="EM38" s="206" t="s">
        <v>7992</v>
      </c>
      <c r="EN38" s="206" t="s">
        <v>7992</v>
      </c>
      <c r="EO38" s="206" t="s">
        <v>7992</v>
      </c>
      <c r="EP38" s="206" t="s">
        <v>7992</v>
      </c>
      <c r="EQ38" s="206" t="s">
        <v>7992</v>
      </c>
      <c r="ER38" s="206" t="s">
        <v>7992</v>
      </c>
      <c r="ES38" s="206" t="s">
        <v>7992</v>
      </c>
      <c r="ET38" s="206" t="s">
        <v>7992</v>
      </c>
      <c r="EU38" s="206" t="s">
        <v>7992</v>
      </c>
      <c r="EV38" s="206" t="s">
        <v>7992</v>
      </c>
      <c r="EW38" s="206" t="s">
        <v>7992</v>
      </c>
      <c r="EX38" s="206" t="s">
        <v>7992</v>
      </c>
      <c r="EY38" s="206" t="s">
        <v>7992</v>
      </c>
      <c r="EZ38" s="206" t="s">
        <v>7992</v>
      </c>
      <c r="FA38" s="206" t="s">
        <v>7992</v>
      </c>
      <c r="FB38" s="206" t="s">
        <v>7992</v>
      </c>
      <c r="FC38" s="206" t="s">
        <v>7992</v>
      </c>
      <c r="FD38" s="206" t="s">
        <v>7992</v>
      </c>
      <c r="FE38" s="206" t="s">
        <v>7992</v>
      </c>
      <c r="FF38" s="206" t="s">
        <v>7992</v>
      </c>
      <c r="FG38" s="206" t="s">
        <v>7992</v>
      </c>
      <c r="FH38" s="206" t="s">
        <v>7992</v>
      </c>
      <c r="FI38" s="206" t="s">
        <v>7992</v>
      </c>
      <c r="FJ38" s="206" t="s">
        <v>7992</v>
      </c>
      <c r="FK38" s="206" t="s">
        <v>7992</v>
      </c>
      <c r="FL38" s="206" t="s">
        <v>7992</v>
      </c>
      <c r="FM38" s="206" t="s">
        <v>7992</v>
      </c>
      <c r="FN38" s="206" t="s">
        <v>7992</v>
      </c>
      <c r="FO38" s="206" t="s">
        <v>7992</v>
      </c>
      <c r="FP38" s="206" t="s">
        <v>7992</v>
      </c>
      <c r="FQ38" s="206" t="s">
        <v>7992</v>
      </c>
      <c r="FR38" s="206" t="s">
        <v>7992</v>
      </c>
      <c r="FS38" s="206" t="s">
        <v>7992</v>
      </c>
      <c r="FT38" s="206" t="s">
        <v>7992</v>
      </c>
      <c r="FU38" s="206" t="s">
        <v>7992</v>
      </c>
      <c r="FV38" s="206" t="s">
        <v>7992</v>
      </c>
      <c r="FW38" s="206" t="s">
        <v>7992</v>
      </c>
      <c r="FX38" s="206" t="s">
        <v>7992</v>
      </c>
      <c r="FY38" s="206" t="s">
        <v>7992</v>
      </c>
      <c r="FZ38" s="206" t="s">
        <v>7992</v>
      </c>
      <c r="GA38" s="206" t="s">
        <v>7992</v>
      </c>
      <c r="GB38" s="206" t="s">
        <v>7992</v>
      </c>
      <c r="GC38" s="206" t="s">
        <v>7992</v>
      </c>
      <c r="GD38" s="206" t="s">
        <v>7992</v>
      </c>
      <c r="GE38" s="206" t="s">
        <v>7992</v>
      </c>
      <c r="GF38" s="206" t="s">
        <v>7992</v>
      </c>
      <c r="GG38" s="206" t="s">
        <v>7992</v>
      </c>
      <c r="GH38" s="206" t="s">
        <v>7992</v>
      </c>
      <c r="GI38" s="206" t="s">
        <v>7992</v>
      </c>
      <c r="GJ38" s="206" t="s">
        <v>7992</v>
      </c>
      <c r="GK38" s="206" t="s">
        <v>7992</v>
      </c>
      <c r="GL38" s="206" t="s">
        <v>7992</v>
      </c>
      <c r="GM38" s="206" t="s">
        <v>7992</v>
      </c>
      <c r="GN38" s="206" t="s">
        <v>7992</v>
      </c>
      <c r="GO38" s="206" t="s">
        <v>7992</v>
      </c>
      <c r="GP38" s="206" t="s">
        <v>7992</v>
      </c>
      <c r="GQ38" s="206" t="s">
        <v>7992</v>
      </c>
      <c r="GR38" s="206" t="s">
        <v>7992</v>
      </c>
      <c r="GS38" s="206" t="s">
        <v>7992</v>
      </c>
      <c r="GT38" s="206" t="s">
        <v>7992</v>
      </c>
      <c r="GU38" s="206" t="s">
        <v>7992</v>
      </c>
      <c r="GV38" s="206" t="s">
        <v>7992</v>
      </c>
      <c r="GW38" s="206" t="s">
        <v>7992</v>
      </c>
      <c r="GX38" s="206" t="s">
        <v>7992</v>
      </c>
      <c r="GY38" s="206" t="s">
        <v>7992</v>
      </c>
      <c r="GZ38" s="206" t="s">
        <v>7992</v>
      </c>
      <c r="HA38" s="206" t="s">
        <v>7992</v>
      </c>
      <c r="HB38" s="206" t="s">
        <v>7992</v>
      </c>
      <c r="HC38" s="206" t="s">
        <v>7992</v>
      </c>
      <c r="HD38" s="206" t="s">
        <v>7992</v>
      </c>
      <c r="HE38" s="206" t="s">
        <v>7992</v>
      </c>
      <c r="HF38" s="206" t="s">
        <v>7992</v>
      </c>
      <c r="HG38" s="206" t="s">
        <v>7992</v>
      </c>
      <c r="HH38" s="206" t="s">
        <v>7992</v>
      </c>
      <c r="HI38" s="206" t="s">
        <v>7992</v>
      </c>
      <c r="HJ38" s="206" t="s">
        <v>7992</v>
      </c>
      <c r="HK38" s="206" t="s">
        <v>7992</v>
      </c>
      <c r="HL38" s="206" t="s">
        <v>7992</v>
      </c>
      <c r="HM38" s="206" t="s">
        <v>7992</v>
      </c>
      <c r="HN38" s="206" t="s">
        <v>7992</v>
      </c>
      <c r="HO38" s="206" t="s">
        <v>7992</v>
      </c>
      <c r="HP38" s="206" t="s">
        <v>7992</v>
      </c>
      <c r="HQ38" s="206" t="s">
        <v>7992</v>
      </c>
      <c r="HR38" s="206" t="s">
        <v>7992</v>
      </c>
      <c r="HS38" s="206" t="s">
        <v>7992</v>
      </c>
      <c r="HT38" s="206" t="s">
        <v>7992</v>
      </c>
      <c r="HU38" s="206" t="s">
        <v>7992</v>
      </c>
      <c r="HV38" s="206" t="s">
        <v>7992</v>
      </c>
      <c r="HW38" s="206" t="s">
        <v>7992</v>
      </c>
      <c r="HX38" s="206" t="s">
        <v>7992</v>
      </c>
      <c r="HY38" s="206" t="s">
        <v>7992</v>
      </c>
      <c r="HZ38" s="206" t="s">
        <v>7992</v>
      </c>
      <c r="IA38" s="206" t="s">
        <v>7992</v>
      </c>
      <c r="IB38" s="206" t="s">
        <v>7992</v>
      </c>
      <c r="IC38" s="206" t="s">
        <v>7992</v>
      </c>
      <c r="ID38" s="206" t="s">
        <v>7992</v>
      </c>
      <c r="IE38" s="206" t="s">
        <v>7992</v>
      </c>
      <c r="IF38" s="206" t="s">
        <v>7992</v>
      </c>
      <c r="IG38" s="206" t="s">
        <v>7992</v>
      </c>
      <c r="IH38" s="206" t="s">
        <v>7992</v>
      </c>
      <c r="II38" s="206" t="s">
        <v>7992</v>
      </c>
      <c r="IJ38" s="206" t="s">
        <v>7992</v>
      </c>
      <c r="IK38" s="206" t="s">
        <v>7992</v>
      </c>
      <c r="IL38" s="206" t="s">
        <v>7992</v>
      </c>
      <c r="IM38" s="206" t="s">
        <v>7992</v>
      </c>
      <c r="IN38" s="206" t="s">
        <v>7992</v>
      </c>
      <c r="IO38" s="206" t="s">
        <v>7992</v>
      </c>
      <c r="IP38" s="206" t="s">
        <v>7992</v>
      </c>
      <c r="IQ38" s="206" t="s">
        <v>7992</v>
      </c>
      <c r="IR38" s="206" t="s">
        <v>7992</v>
      </c>
      <c r="IS38" s="206" t="s">
        <v>7992</v>
      </c>
      <c r="IT38" s="206" t="s">
        <v>7992</v>
      </c>
      <c r="IU38" s="206" t="s">
        <v>7992</v>
      </c>
      <c r="IV38" s="206" t="s">
        <v>7992</v>
      </c>
      <c r="IW38" s="206" t="s">
        <v>7992</v>
      </c>
      <c r="IX38" s="206" t="s">
        <v>7992</v>
      </c>
      <c r="IY38" s="206" t="s">
        <v>7992</v>
      </c>
      <c r="IZ38" s="206" t="s">
        <v>7992</v>
      </c>
      <c r="JA38" s="206" t="s">
        <v>7992</v>
      </c>
      <c r="JB38" s="206" t="s">
        <v>7992</v>
      </c>
      <c r="JC38" s="206" t="s">
        <v>7992</v>
      </c>
      <c r="JD38" s="206" t="s">
        <v>7992</v>
      </c>
      <c r="JE38" s="206" t="s">
        <v>7992</v>
      </c>
      <c r="JF38" s="206" t="s">
        <v>7992</v>
      </c>
      <c r="JG38" s="206" t="s">
        <v>7992</v>
      </c>
      <c r="JH38" s="206" t="s">
        <v>7992</v>
      </c>
      <c r="JI38" s="206" t="s">
        <v>7992</v>
      </c>
      <c r="JJ38" s="206" t="s">
        <v>7992</v>
      </c>
      <c r="JK38" s="206" t="s">
        <v>7992</v>
      </c>
      <c r="JL38" s="206" t="s">
        <v>7992</v>
      </c>
      <c r="JM38" s="206" t="s">
        <v>7992</v>
      </c>
      <c r="JN38" s="206" t="s">
        <v>7992</v>
      </c>
      <c r="JO38" s="206" t="s">
        <v>7992</v>
      </c>
      <c r="JP38" s="206" t="s">
        <v>7992</v>
      </c>
      <c r="JQ38" s="206" t="s">
        <v>7992</v>
      </c>
      <c r="JR38" s="206" t="s">
        <v>7992</v>
      </c>
      <c r="JS38" s="206" t="s">
        <v>7992</v>
      </c>
      <c r="JT38" s="206" t="s">
        <v>7992</v>
      </c>
      <c r="JU38" s="206" t="s">
        <v>7992</v>
      </c>
      <c r="JV38" s="206" t="s">
        <v>7992</v>
      </c>
      <c r="JW38" s="206" t="s">
        <v>7992</v>
      </c>
      <c r="JX38" s="206" t="s">
        <v>7992</v>
      </c>
      <c r="JY38" s="206" t="s">
        <v>7992</v>
      </c>
      <c r="JZ38" s="206" t="s">
        <v>7992</v>
      </c>
      <c r="KA38" s="206" t="s">
        <v>7992</v>
      </c>
      <c r="KB38" s="206" t="s">
        <v>7992</v>
      </c>
      <c r="KC38" s="206" t="s">
        <v>7992</v>
      </c>
      <c r="KD38" s="206" t="s">
        <v>7992</v>
      </c>
      <c r="KE38" s="206" t="s">
        <v>7992</v>
      </c>
      <c r="KF38" s="206" t="s">
        <v>7992</v>
      </c>
      <c r="KG38" s="206" t="s">
        <v>7992</v>
      </c>
      <c r="KH38" s="206" t="s">
        <v>7992</v>
      </c>
      <c r="KI38" s="206" t="s">
        <v>7992</v>
      </c>
      <c r="KJ38" s="206" t="s">
        <v>7992</v>
      </c>
      <c r="KK38" s="206" t="s">
        <v>7992</v>
      </c>
      <c r="KL38" s="206" t="s">
        <v>7992</v>
      </c>
      <c r="KM38" s="206" t="s">
        <v>7992</v>
      </c>
      <c r="KN38" s="206" t="s">
        <v>7992</v>
      </c>
      <c r="KO38" s="206" t="s">
        <v>7992</v>
      </c>
      <c r="KP38" s="206" t="s">
        <v>7992</v>
      </c>
      <c r="KQ38" s="206" t="s">
        <v>7992</v>
      </c>
      <c r="KR38" s="206" t="s">
        <v>7992</v>
      </c>
      <c r="KS38" s="206" t="s">
        <v>7992</v>
      </c>
      <c r="KT38" s="206" t="s">
        <v>7992</v>
      </c>
      <c r="KU38" s="206" t="s">
        <v>7992</v>
      </c>
      <c r="KV38" s="206" t="s">
        <v>7992</v>
      </c>
      <c r="KW38" s="206" t="s">
        <v>7992</v>
      </c>
      <c r="KX38" s="206" t="s">
        <v>7992</v>
      </c>
      <c r="KY38" s="206" t="s">
        <v>7992</v>
      </c>
      <c r="KZ38" s="206" t="s">
        <v>7992</v>
      </c>
      <c r="LA38" s="206" t="s">
        <v>7992</v>
      </c>
      <c r="LB38" s="206" t="s">
        <v>7992</v>
      </c>
      <c r="LC38" s="206" t="s">
        <v>7992</v>
      </c>
      <c r="LD38" s="206" t="s">
        <v>7992</v>
      </c>
      <c r="LE38" s="206" t="s">
        <v>7992</v>
      </c>
      <c r="LF38" s="206" t="s">
        <v>7992</v>
      </c>
      <c r="LG38" s="206" t="s">
        <v>7992</v>
      </c>
      <c r="LH38" s="206" t="s">
        <v>7992</v>
      </c>
      <c r="LI38" s="206" t="s">
        <v>7992</v>
      </c>
      <c r="LJ38" s="206" t="s">
        <v>7992</v>
      </c>
      <c r="LK38" s="206" t="s">
        <v>7992</v>
      </c>
      <c r="LL38" s="206" t="s">
        <v>7992</v>
      </c>
      <c r="LM38" s="206" t="s">
        <v>7992</v>
      </c>
      <c r="LN38" s="206" t="s">
        <v>7992</v>
      </c>
      <c r="LO38" s="206" t="s">
        <v>7992</v>
      </c>
      <c r="LP38" s="206" t="s">
        <v>7992</v>
      </c>
      <c r="LQ38" s="206" t="s">
        <v>7992</v>
      </c>
      <c r="LR38" s="206" t="s">
        <v>7992</v>
      </c>
      <c r="LS38" s="206" t="s">
        <v>7992</v>
      </c>
      <c r="LT38" s="206" t="s">
        <v>7992</v>
      </c>
      <c r="LU38" s="206" t="s">
        <v>7992</v>
      </c>
      <c r="LV38" s="206" t="s">
        <v>7992</v>
      </c>
      <c r="LW38" s="206" t="s">
        <v>7992</v>
      </c>
      <c r="LX38" s="206" t="s">
        <v>7992</v>
      </c>
      <c r="LY38" s="206" t="s">
        <v>7992</v>
      </c>
      <c r="LZ38" s="206" t="s">
        <v>7992</v>
      </c>
      <c r="MA38" s="206" t="s">
        <v>7992</v>
      </c>
      <c r="MB38" s="206" t="s">
        <v>7992</v>
      </c>
      <c r="MC38" s="206" t="s">
        <v>7992</v>
      </c>
      <c r="MD38" s="206" t="s">
        <v>7992</v>
      </c>
      <c r="ME38" s="206" t="s">
        <v>7992</v>
      </c>
      <c r="MF38" s="206" t="s">
        <v>7992</v>
      </c>
      <c r="MG38" s="206" t="s">
        <v>7992</v>
      </c>
      <c r="MH38" s="206" t="s">
        <v>7992</v>
      </c>
      <c r="MI38" s="206" t="s">
        <v>7992</v>
      </c>
      <c r="MJ38" s="206" t="s">
        <v>7992</v>
      </c>
      <c r="MK38" s="206" t="s">
        <v>7992</v>
      </c>
      <c r="ML38" s="206" t="s">
        <v>7992</v>
      </c>
      <c r="MM38" s="206" t="s">
        <v>7992</v>
      </c>
      <c r="MN38" s="206" t="s">
        <v>7992</v>
      </c>
      <c r="MO38" s="206" t="s">
        <v>7992</v>
      </c>
      <c r="MP38" s="206" t="s">
        <v>7992</v>
      </c>
      <c r="MQ38" s="206" t="s">
        <v>7992</v>
      </c>
      <c r="MR38" s="206" t="s">
        <v>7992</v>
      </c>
      <c r="MS38" s="206" t="s">
        <v>7992</v>
      </c>
      <c r="MT38" s="206" t="s">
        <v>7992</v>
      </c>
      <c r="MU38" s="206" t="s">
        <v>7992</v>
      </c>
      <c r="MV38" s="206" t="s">
        <v>7992</v>
      </c>
      <c r="MW38" s="206" t="s">
        <v>7992</v>
      </c>
      <c r="MX38" s="206" t="s">
        <v>7992</v>
      </c>
      <c r="MY38" s="206" t="s">
        <v>7992</v>
      </c>
      <c r="MZ38" s="206" t="s">
        <v>7992</v>
      </c>
      <c r="NA38" s="206" t="s">
        <v>7992</v>
      </c>
      <c r="NB38" s="206" t="s">
        <v>7992</v>
      </c>
      <c r="NC38" s="206" t="s">
        <v>7992</v>
      </c>
      <c r="ND38" s="206" t="s">
        <v>7992</v>
      </c>
      <c r="NE38" s="206" t="s">
        <v>7992</v>
      </c>
      <c r="NF38" s="206" t="s">
        <v>7992</v>
      </c>
      <c r="NG38" s="206" t="s">
        <v>7992</v>
      </c>
      <c r="NH38" s="206" t="s">
        <v>7992</v>
      </c>
      <c r="NI38" s="206" t="s">
        <v>7992</v>
      </c>
      <c r="NJ38" s="206" t="s">
        <v>7992</v>
      </c>
      <c r="NK38" s="206" t="s">
        <v>7992</v>
      </c>
      <c r="NL38" s="206" t="s">
        <v>7992</v>
      </c>
      <c r="NM38" s="206" t="s">
        <v>7992</v>
      </c>
      <c r="NN38" s="206" t="s">
        <v>7992</v>
      </c>
      <c r="NO38" s="206" t="s">
        <v>7992</v>
      </c>
      <c r="NP38" s="206" t="s">
        <v>7992</v>
      </c>
      <c r="NQ38" s="206" t="s">
        <v>7992</v>
      </c>
      <c r="NR38" s="206" t="s">
        <v>7992</v>
      </c>
      <c r="NS38" s="206" t="s">
        <v>7992</v>
      </c>
      <c r="NT38" s="206" t="s">
        <v>7992</v>
      </c>
      <c r="NU38" s="206" t="s">
        <v>7992</v>
      </c>
      <c r="NV38" s="206" t="s">
        <v>7992</v>
      </c>
      <c r="NW38" s="206" t="s">
        <v>7992</v>
      </c>
      <c r="NX38" s="206" t="s">
        <v>7992</v>
      </c>
      <c r="NY38" s="206" t="s">
        <v>7992</v>
      </c>
      <c r="NZ38" s="206" t="s">
        <v>7992</v>
      </c>
      <c r="OA38" s="206" t="s">
        <v>7992</v>
      </c>
      <c r="OB38" s="206" t="s">
        <v>7992</v>
      </c>
      <c r="OC38" s="206" t="s">
        <v>7992</v>
      </c>
      <c r="OD38" s="206" t="s">
        <v>7992</v>
      </c>
      <c r="OE38" s="206" t="s">
        <v>7992</v>
      </c>
      <c r="OF38" s="206" t="s">
        <v>7992</v>
      </c>
      <c r="OG38" s="206" t="s">
        <v>7992</v>
      </c>
      <c r="OH38" s="206" t="s">
        <v>7992</v>
      </c>
      <c r="OI38" s="206" t="s">
        <v>7992</v>
      </c>
      <c r="OJ38" s="206" t="s">
        <v>7992</v>
      </c>
      <c r="OK38" s="206" t="s">
        <v>7992</v>
      </c>
      <c r="OL38" s="206" t="s">
        <v>7992</v>
      </c>
      <c r="OM38" s="206" t="s">
        <v>7992</v>
      </c>
      <c r="ON38" s="206" t="s">
        <v>7992</v>
      </c>
      <c r="OO38" s="206" t="s">
        <v>7992</v>
      </c>
      <c r="OP38" s="206" t="s">
        <v>7992</v>
      </c>
      <c r="OQ38" s="206" t="s">
        <v>7992</v>
      </c>
      <c r="OR38" s="206" t="s">
        <v>7992</v>
      </c>
      <c r="OS38" s="206" t="s">
        <v>7992</v>
      </c>
      <c r="OT38" s="206" t="s">
        <v>7992</v>
      </c>
      <c r="OU38" s="206" t="s">
        <v>7992</v>
      </c>
      <c r="OV38" s="206" t="s">
        <v>7992</v>
      </c>
      <c r="OW38" s="206" t="s">
        <v>7992</v>
      </c>
      <c r="OX38" s="206" t="s">
        <v>7992</v>
      </c>
      <c r="OY38" s="206" t="s">
        <v>7992</v>
      </c>
      <c r="OZ38" s="206" t="s">
        <v>7992</v>
      </c>
      <c r="PA38" s="206" t="s">
        <v>7992</v>
      </c>
      <c r="PB38" s="206" t="s">
        <v>7992</v>
      </c>
      <c r="PC38" s="206" t="s">
        <v>7992</v>
      </c>
      <c r="PD38" s="206" t="s">
        <v>7992</v>
      </c>
      <c r="PE38" s="206" t="s">
        <v>7992</v>
      </c>
      <c r="PF38" s="206" t="s">
        <v>7992</v>
      </c>
      <c r="PG38" s="206" t="s">
        <v>7992</v>
      </c>
      <c r="PH38" s="206" t="s">
        <v>7992</v>
      </c>
      <c r="PI38" s="206" t="s">
        <v>7992</v>
      </c>
      <c r="PJ38" s="206" t="s">
        <v>7992</v>
      </c>
      <c r="PK38" s="206" t="s">
        <v>7992</v>
      </c>
      <c r="PL38" s="206" t="s">
        <v>7992</v>
      </c>
      <c r="PM38" s="206" t="s">
        <v>7992</v>
      </c>
      <c r="PN38" s="206" t="s">
        <v>7992</v>
      </c>
      <c r="PO38" s="206" t="s">
        <v>7992</v>
      </c>
      <c r="PP38" s="206" t="s">
        <v>7992</v>
      </c>
      <c r="PQ38" s="206" t="s">
        <v>7992</v>
      </c>
      <c r="PR38" s="206" t="s">
        <v>7992</v>
      </c>
      <c r="PS38" s="206" t="s">
        <v>7992</v>
      </c>
      <c r="PT38" s="206" t="s">
        <v>7992</v>
      </c>
      <c r="PU38" s="206" t="s">
        <v>7992</v>
      </c>
      <c r="PV38" s="206" t="s">
        <v>7992</v>
      </c>
      <c r="PW38" s="206" t="s">
        <v>7992</v>
      </c>
      <c r="PX38" s="206" t="s">
        <v>7992</v>
      </c>
      <c r="PY38" s="206" t="s">
        <v>7992</v>
      </c>
      <c r="PZ38" s="206" t="s">
        <v>7992</v>
      </c>
      <c r="QA38" s="206" t="s">
        <v>7992</v>
      </c>
      <c r="QB38" s="206" t="s">
        <v>7992</v>
      </c>
      <c r="QC38" s="206" t="s">
        <v>7992</v>
      </c>
      <c r="QD38" s="206" t="s">
        <v>7992</v>
      </c>
      <c r="QE38" s="206" t="s">
        <v>7992</v>
      </c>
      <c r="QF38" s="206" t="s">
        <v>7992</v>
      </c>
      <c r="QG38" s="206" t="s">
        <v>7992</v>
      </c>
      <c r="QH38" s="206" t="s">
        <v>7992</v>
      </c>
      <c r="QI38" s="206" t="s">
        <v>7992</v>
      </c>
      <c r="QJ38" s="206" t="s">
        <v>7992</v>
      </c>
      <c r="QK38" s="206" t="s">
        <v>7992</v>
      </c>
      <c r="QL38" s="206" t="s">
        <v>7992</v>
      </c>
      <c r="QM38" s="206" t="s">
        <v>7992</v>
      </c>
      <c r="QN38" s="206" t="s">
        <v>7992</v>
      </c>
      <c r="QO38" s="206" t="s">
        <v>7992</v>
      </c>
      <c r="QP38" s="206" t="s">
        <v>7992</v>
      </c>
      <c r="QQ38" s="206" t="s">
        <v>7992</v>
      </c>
      <c r="QR38" s="206" t="s">
        <v>7992</v>
      </c>
      <c r="QS38" s="206" t="s">
        <v>7992</v>
      </c>
      <c r="QT38" s="206" t="s">
        <v>7992</v>
      </c>
      <c r="QU38" s="206" t="s">
        <v>7992</v>
      </c>
      <c r="QV38" s="206" t="s">
        <v>7992</v>
      </c>
      <c r="QW38" s="206" t="s">
        <v>7992</v>
      </c>
      <c r="QX38" s="206" t="s">
        <v>7992</v>
      </c>
      <c r="QY38" s="206" t="s">
        <v>7992</v>
      </c>
      <c r="QZ38" s="206" t="s">
        <v>7992</v>
      </c>
      <c r="RA38" s="206" t="s">
        <v>7992</v>
      </c>
      <c r="RB38" s="206" t="s">
        <v>7992</v>
      </c>
      <c r="RC38" s="206" t="s">
        <v>7992</v>
      </c>
      <c r="RD38" s="206" t="s">
        <v>7992</v>
      </c>
      <c r="RE38" s="206" t="s">
        <v>7992</v>
      </c>
      <c r="RF38" s="206" t="s">
        <v>7992</v>
      </c>
      <c r="RG38" s="206" t="s">
        <v>7992</v>
      </c>
      <c r="RH38" s="206" t="s">
        <v>7992</v>
      </c>
      <c r="RI38" s="206" t="s">
        <v>7992</v>
      </c>
      <c r="RJ38" s="206" t="s">
        <v>7992</v>
      </c>
      <c r="RK38" s="206" t="s">
        <v>7992</v>
      </c>
      <c r="RL38" s="206" t="s">
        <v>7992</v>
      </c>
      <c r="RM38" s="206" t="s">
        <v>7992</v>
      </c>
      <c r="RN38" s="206" t="s">
        <v>7992</v>
      </c>
      <c r="RO38" s="206" t="s">
        <v>7992</v>
      </c>
      <c r="RP38" s="206" t="s">
        <v>7992</v>
      </c>
      <c r="RQ38" s="206" t="s">
        <v>7992</v>
      </c>
      <c r="RR38" s="206" t="s">
        <v>7992</v>
      </c>
      <c r="RS38" s="206" t="s">
        <v>7992</v>
      </c>
      <c r="RT38" s="206" t="s">
        <v>7992</v>
      </c>
      <c r="RU38" s="206" t="s">
        <v>7992</v>
      </c>
      <c r="RV38" s="206" t="s">
        <v>7992</v>
      </c>
      <c r="RW38" s="206" t="s">
        <v>7992</v>
      </c>
      <c r="RX38" s="206" t="s">
        <v>7992</v>
      </c>
      <c r="RY38" s="206" t="s">
        <v>7992</v>
      </c>
      <c r="RZ38" s="206" t="s">
        <v>7992</v>
      </c>
      <c r="SA38" s="206" t="s">
        <v>7992</v>
      </c>
      <c r="SB38" s="206" t="s">
        <v>7992</v>
      </c>
      <c r="SC38" s="206" t="s">
        <v>7992</v>
      </c>
      <c r="SD38" s="206" t="s">
        <v>7992</v>
      </c>
      <c r="SE38" s="206" t="s">
        <v>7992</v>
      </c>
      <c r="SF38" s="206" t="s">
        <v>7992</v>
      </c>
      <c r="SG38" s="206" t="s">
        <v>7992</v>
      </c>
      <c r="SH38" s="206" t="s">
        <v>7992</v>
      </c>
      <c r="SI38" s="206" t="s">
        <v>7992</v>
      </c>
      <c r="SJ38" s="206" t="s">
        <v>7992</v>
      </c>
      <c r="SK38" s="206" t="s">
        <v>7992</v>
      </c>
      <c r="SL38" s="206" t="s">
        <v>7992</v>
      </c>
      <c r="SM38" s="206" t="s">
        <v>7992</v>
      </c>
      <c r="SN38" s="206" t="s">
        <v>7992</v>
      </c>
      <c r="SO38" s="206" t="s">
        <v>7992</v>
      </c>
      <c r="SP38" s="206" t="s">
        <v>7992</v>
      </c>
      <c r="SQ38" s="206" t="s">
        <v>7992</v>
      </c>
      <c r="SR38" s="206" t="s">
        <v>7992</v>
      </c>
      <c r="SS38" s="206" t="s">
        <v>7992</v>
      </c>
      <c r="ST38" s="206" t="s">
        <v>7992</v>
      </c>
      <c r="SU38" s="206" t="s">
        <v>7992</v>
      </c>
      <c r="SV38" s="206" t="s">
        <v>7992</v>
      </c>
      <c r="SW38" s="206" t="s">
        <v>7992</v>
      </c>
      <c r="SX38" s="206" t="s">
        <v>7992</v>
      </c>
      <c r="SY38" s="206" t="s">
        <v>7992</v>
      </c>
      <c r="SZ38" s="206" t="s">
        <v>7992</v>
      </c>
      <c r="TA38" s="206" t="s">
        <v>7992</v>
      </c>
      <c r="TB38" s="206" t="s">
        <v>7992</v>
      </c>
      <c r="TC38" s="206" t="s">
        <v>7992</v>
      </c>
      <c r="TD38" s="206" t="s">
        <v>7992</v>
      </c>
      <c r="TE38" s="206" t="s">
        <v>7992</v>
      </c>
      <c r="TF38" s="206" t="s">
        <v>7992</v>
      </c>
      <c r="TG38" s="206" t="s">
        <v>7992</v>
      </c>
      <c r="TH38" s="206" t="s">
        <v>7992</v>
      </c>
      <c r="TI38" s="206" t="s">
        <v>7992</v>
      </c>
      <c r="TJ38" s="206" t="s">
        <v>7992</v>
      </c>
      <c r="TK38" s="206" t="s">
        <v>7992</v>
      </c>
      <c r="TL38" s="206" t="s">
        <v>7992</v>
      </c>
      <c r="TM38" s="206" t="s">
        <v>7992</v>
      </c>
      <c r="TN38" s="206" t="s">
        <v>7992</v>
      </c>
      <c r="TO38" s="206" t="s">
        <v>7992</v>
      </c>
      <c r="TP38" s="206" t="s">
        <v>7992</v>
      </c>
      <c r="TQ38" s="206" t="s">
        <v>7992</v>
      </c>
      <c r="TR38" s="206" t="s">
        <v>7992</v>
      </c>
      <c r="TS38" s="206" t="s">
        <v>7992</v>
      </c>
      <c r="TT38" s="206" t="s">
        <v>7992</v>
      </c>
      <c r="TU38" s="206" t="s">
        <v>7992</v>
      </c>
      <c r="TV38" s="206" t="s">
        <v>7992</v>
      </c>
      <c r="TW38" s="206" t="s">
        <v>7992</v>
      </c>
      <c r="TX38" s="206" t="s">
        <v>7992</v>
      </c>
      <c r="TY38" s="206" t="s">
        <v>7992</v>
      </c>
      <c r="TZ38" s="206" t="s">
        <v>7992</v>
      </c>
      <c r="UA38" s="206" t="s">
        <v>7992</v>
      </c>
      <c r="UB38" s="206" t="s">
        <v>7992</v>
      </c>
      <c r="UC38" s="206" t="s">
        <v>7992</v>
      </c>
      <c r="UD38" s="206" t="s">
        <v>7992</v>
      </c>
      <c r="UE38" s="206" t="s">
        <v>7992</v>
      </c>
      <c r="UF38" s="206" t="s">
        <v>7992</v>
      </c>
      <c r="UG38" s="206" t="s">
        <v>7992</v>
      </c>
      <c r="UH38" s="206" t="s">
        <v>7992</v>
      </c>
      <c r="UI38" s="206" t="s">
        <v>7992</v>
      </c>
      <c r="UJ38" s="206" t="s">
        <v>7992</v>
      </c>
      <c r="UK38" s="206" t="s">
        <v>7992</v>
      </c>
      <c r="UL38" s="206" t="s">
        <v>7992</v>
      </c>
      <c r="UM38" s="206" t="s">
        <v>7992</v>
      </c>
      <c r="UN38" s="206" t="s">
        <v>7992</v>
      </c>
      <c r="UO38" s="206" t="s">
        <v>7992</v>
      </c>
      <c r="UP38" s="206" t="s">
        <v>7992</v>
      </c>
      <c r="UQ38" s="206" t="s">
        <v>7992</v>
      </c>
      <c r="UR38" s="206" t="s">
        <v>7992</v>
      </c>
      <c r="US38" s="206" t="s">
        <v>7992</v>
      </c>
      <c r="UT38" s="206" t="s">
        <v>7992</v>
      </c>
      <c r="UU38" s="206" t="s">
        <v>7992</v>
      </c>
      <c r="UV38" s="206" t="s">
        <v>7992</v>
      </c>
      <c r="UW38" s="206" t="s">
        <v>7992</v>
      </c>
      <c r="UX38" s="206" t="s">
        <v>7992</v>
      </c>
      <c r="UY38" s="206" t="s">
        <v>7992</v>
      </c>
      <c r="UZ38" s="206" t="s">
        <v>7992</v>
      </c>
      <c r="VA38" s="206" t="s">
        <v>7992</v>
      </c>
      <c r="VB38" s="206" t="s">
        <v>7992</v>
      </c>
      <c r="VC38" s="206" t="s">
        <v>7992</v>
      </c>
      <c r="VD38" s="206" t="s">
        <v>7992</v>
      </c>
      <c r="VE38" s="206" t="s">
        <v>7992</v>
      </c>
      <c r="VF38" s="206" t="s">
        <v>7992</v>
      </c>
      <c r="VG38" s="206" t="s">
        <v>7992</v>
      </c>
      <c r="VH38" s="206" t="s">
        <v>7992</v>
      </c>
      <c r="VI38" s="206" t="s">
        <v>7992</v>
      </c>
      <c r="VJ38" s="206" t="s">
        <v>7992</v>
      </c>
      <c r="VK38" s="206" t="s">
        <v>7992</v>
      </c>
      <c r="VL38" s="206" t="s">
        <v>7992</v>
      </c>
      <c r="VM38" s="206" t="s">
        <v>7992</v>
      </c>
      <c r="VN38" s="206" t="s">
        <v>7992</v>
      </c>
      <c r="VO38" s="206" t="s">
        <v>7992</v>
      </c>
      <c r="VP38" s="206" t="s">
        <v>7992</v>
      </c>
      <c r="VQ38" s="206" t="s">
        <v>7992</v>
      </c>
      <c r="VR38" s="206" t="s">
        <v>7992</v>
      </c>
      <c r="VS38" s="206" t="s">
        <v>7992</v>
      </c>
      <c r="VT38" s="206" t="s">
        <v>7992</v>
      </c>
      <c r="VU38" s="206" t="s">
        <v>7992</v>
      </c>
      <c r="VV38" s="206" t="s">
        <v>7992</v>
      </c>
      <c r="VW38" s="206" t="s">
        <v>7992</v>
      </c>
      <c r="VX38" s="206" t="s">
        <v>7992</v>
      </c>
      <c r="VY38" s="206" t="s">
        <v>7992</v>
      </c>
      <c r="VZ38" s="206" t="s">
        <v>7992</v>
      </c>
      <c r="WA38" s="206" t="s">
        <v>7992</v>
      </c>
      <c r="WB38" s="206" t="s">
        <v>7992</v>
      </c>
      <c r="WC38" s="206" t="s">
        <v>7992</v>
      </c>
      <c r="WD38" s="206" t="s">
        <v>7992</v>
      </c>
      <c r="WE38" s="206" t="s">
        <v>7992</v>
      </c>
      <c r="WF38" s="206" t="s">
        <v>7992</v>
      </c>
      <c r="WG38" s="206" t="s">
        <v>7992</v>
      </c>
      <c r="WH38" s="206" t="s">
        <v>7992</v>
      </c>
      <c r="WI38" s="206" t="s">
        <v>7992</v>
      </c>
      <c r="WJ38" s="206" t="s">
        <v>7992</v>
      </c>
      <c r="WK38" s="206" t="s">
        <v>7992</v>
      </c>
      <c r="WL38" s="206" t="s">
        <v>7992</v>
      </c>
      <c r="WM38" s="206" t="s">
        <v>7992</v>
      </c>
      <c r="WN38" s="206" t="s">
        <v>7992</v>
      </c>
      <c r="WO38" s="206" t="s">
        <v>7992</v>
      </c>
      <c r="WP38" s="206" t="s">
        <v>7992</v>
      </c>
      <c r="WQ38" s="206" t="s">
        <v>7992</v>
      </c>
      <c r="WR38" s="206" t="s">
        <v>7992</v>
      </c>
      <c r="WS38" s="206" t="s">
        <v>7992</v>
      </c>
      <c r="WT38" s="206" t="s">
        <v>7992</v>
      </c>
      <c r="WU38" s="206" t="s">
        <v>7992</v>
      </c>
      <c r="WV38" s="206" t="s">
        <v>7992</v>
      </c>
      <c r="WW38" s="206" t="s">
        <v>7992</v>
      </c>
      <c r="WX38" s="206" t="s">
        <v>7992</v>
      </c>
      <c r="WY38" s="206" t="s">
        <v>7992</v>
      </c>
      <c r="WZ38" s="206" t="s">
        <v>7992</v>
      </c>
      <c r="XA38" s="206" t="s">
        <v>7992</v>
      </c>
      <c r="XB38" s="206" t="s">
        <v>7992</v>
      </c>
      <c r="XC38" s="206" t="s">
        <v>7992</v>
      </c>
      <c r="XD38" s="206" t="s">
        <v>7992</v>
      </c>
      <c r="XE38" s="206" t="s">
        <v>7992</v>
      </c>
      <c r="XF38" s="206" t="s">
        <v>7992</v>
      </c>
      <c r="XG38" s="206" t="s">
        <v>7992</v>
      </c>
      <c r="XH38" s="206" t="s">
        <v>7992</v>
      </c>
      <c r="XI38" s="206" t="s">
        <v>7992</v>
      </c>
      <c r="XJ38" s="206" t="s">
        <v>7992</v>
      </c>
      <c r="XK38" s="206" t="s">
        <v>7992</v>
      </c>
      <c r="XL38" s="206" t="s">
        <v>7992</v>
      </c>
      <c r="XM38" s="206" t="s">
        <v>7992</v>
      </c>
      <c r="XN38" s="206" t="s">
        <v>7992</v>
      </c>
      <c r="XO38" s="206" t="s">
        <v>7992</v>
      </c>
      <c r="XP38" s="206" t="s">
        <v>7992</v>
      </c>
      <c r="XQ38" s="206" t="s">
        <v>7992</v>
      </c>
      <c r="XR38" s="206" t="s">
        <v>7992</v>
      </c>
      <c r="XS38" s="206" t="s">
        <v>7992</v>
      </c>
      <c r="XT38" s="206" t="s">
        <v>7992</v>
      </c>
      <c r="XU38" s="206" t="s">
        <v>7992</v>
      </c>
      <c r="XV38" s="206" t="s">
        <v>7992</v>
      </c>
      <c r="XW38" s="206" t="s">
        <v>7992</v>
      </c>
      <c r="XX38" s="206" t="s">
        <v>7992</v>
      </c>
      <c r="XY38" s="206" t="s">
        <v>7992</v>
      </c>
      <c r="XZ38" s="206" t="s">
        <v>7992</v>
      </c>
      <c r="YA38" s="206" t="s">
        <v>7992</v>
      </c>
      <c r="YB38" s="206" t="s">
        <v>7992</v>
      </c>
      <c r="YC38" s="206" t="s">
        <v>7992</v>
      </c>
      <c r="YD38" s="206" t="s">
        <v>7992</v>
      </c>
      <c r="YE38" s="206" t="s">
        <v>7992</v>
      </c>
      <c r="YF38" s="206" t="s">
        <v>7992</v>
      </c>
      <c r="YG38" s="206" t="s">
        <v>7992</v>
      </c>
      <c r="YH38" s="206" t="s">
        <v>7992</v>
      </c>
      <c r="YI38" s="206" t="s">
        <v>7992</v>
      </c>
      <c r="YJ38" s="206" t="s">
        <v>7992</v>
      </c>
      <c r="YK38" s="206" t="s">
        <v>7992</v>
      </c>
      <c r="YL38" s="206" t="s">
        <v>7992</v>
      </c>
      <c r="YM38" s="206" t="s">
        <v>7992</v>
      </c>
      <c r="YN38" s="206" t="s">
        <v>7992</v>
      </c>
      <c r="YO38" s="206" t="s">
        <v>7992</v>
      </c>
      <c r="YP38" s="206" t="s">
        <v>7992</v>
      </c>
      <c r="YQ38" s="206" t="s">
        <v>7992</v>
      </c>
      <c r="YR38" s="206" t="s">
        <v>7992</v>
      </c>
      <c r="YS38" s="206" t="s">
        <v>7992</v>
      </c>
      <c r="YT38" s="206" t="s">
        <v>7992</v>
      </c>
      <c r="YU38" s="206" t="s">
        <v>7992</v>
      </c>
      <c r="YV38" s="206" t="s">
        <v>7992</v>
      </c>
      <c r="YW38" s="206" t="s">
        <v>7992</v>
      </c>
      <c r="YX38" s="206" t="s">
        <v>7992</v>
      </c>
      <c r="YY38" s="206" t="s">
        <v>7992</v>
      </c>
      <c r="YZ38" s="206" t="s">
        <v>7992</v>
      </c>
      <c r="ZA38" s="206" t="s">
        <v>7992</v>
      </c>
      <c r="ZB38" s="206" t="s">
        <v>7992</v>
      </c>
      <c r="ZC38" s="206" t="s">
        <v>7992</v>
      </c>
      <c r="ZD38" s="206" t="s">
        <v>7992</v>
      </c>
      <c r="ZE38" s="206" t="s">
        <v>7992</v>
      </c>
      <c r="ZF38" s="206" t="s">
        <v>7992</v>
      </c>
      <c r="ZG38" s="206" t="s">
        <v>7992</v>
      </c>
      <c r="ZH38" s="206" t="s">
        <v>7992</v>
      </c>
      <c r="ZI38" s="206" t="s">
        <v>7992</v>
      </c>
      <c r="ZJ38" s="206" t="s">
        <v>7992</v>
      </c>
      <c r="ZK38" s="206" t="s">
        <v>7992</v>
      </c>
      <c r="ZL38" s="206" t="s">
        <v>7992</v>
      </c>
      <c r="ZM38" s="206" t="s">
        <v>7992</v>
      </c>
      <c r="ZN38" s="206" t="s">
        <v>7992</v>
      </c>
      <c r="ZO38" s="206" t="s">
        <v>7992</v>
      </c>
      <c r="ZP38" s="206" t="s">
        <v>7992</v>
      </c>
      <c r="ZQ38" s="206" t="s">
        <v>7992</v>
      </c>
      <c r="ZR38" s="206" t="s">
        <v>7992</v>
      </c>
      <c r="ZS38" s="206" t="s">
        <v>7992</v>
      </c>
      <c r="ZT38" s="206" t="s">
        <v>7992</v>
      </c>
      <c r="ZU38" s="206" t="s">
        <v>7992</v>
      </c>
      <c r="ZV38" s="206" t="s">
        <v>7992</v>
      </c>
      <c r="ZW38" s="206" t="s">
        <v>7992</v>
      </c>
      <c r="ZX38" s="206" t="s">
        <v>7992</v>
      </c>
      <c r="ZY38" s="206" t="s">
        <v>7992</v>
      </c>
      <c r="ZZ38" s="206" t="s">
        <v>7992</v>
      </c>
      <c r="AAA38" s="206" t="s">
        <v>7992</v>
      </c>
      <c r="AAB38" s="206" t="s">
        <v>7992</v>
      </c>
      <c r="AAC38" s="206" t="s">
        <v>7992</v>
      </c>
      <c r="AAD38" s="206" t="s">
        <v>7992</v>
      </c>
      <c r="AAE38" s="206" t="s">
        <v>7992</v>
      </c>
    </row>
    <row r="39" spans="1:707" s="206" customFormat="1" x14ac:dyDescent="0.25">
      <c r="A39" s="203" t="s">
        <v>3330</v>
      </c>
      <c r="B39" s="225" t="s">
        <v>7992</v>
      </c>
      <c r="C39" s="225" t="s">
        <v>7992</v>
      </c>
      <c r="D39" s="225" t="s">
        <v>7992</v>
      </c>
      <c r="E39" s="225" t="s">
        <v>7992</v>
      </c>
      <c r="F39" s="225" t="s">
        <v>7992</v>
      </c>
      <c r="G39" s="225" t="s">
        <v>7992</v>
      </c>
      <c r="H39" s="229" t="s">
        <v>7992</v>
      </c>
      <c r="I39" s="227" t="s">
        <v>7992</v>
      </c>
      <c r="J39" s="227" t="s">
        <v>7992</v>
      </c>
      <c r="K39" s="206" t="s">
        <v>7992</v>
      </c>
      <c r="L39" s="206" t="s">
        <v>7992</v>
      </c>
      <c r="M39" s="208" t="s">
        <v>7992</v>
      </c>
      <c r="N39" s="206" t="s">
        <v>7992</v>
      </c>
      <c r="O39" s="208" t="s">
        <v>7992</v>
      </c>
      <c r="P39" s="206" t="s">
        <v>7992</v>
      </c>
      <c r="Q39" s="206" t="s">
        <v>7992</v>
      </c>
      <c r="R39" s="206" t="s">
        <v>7992</v>
      </c>
      <c r="S39" s="206" t="s">
        <v>7992</v>
      </c>
      <c r="T39" s="206" t="s">
        <v>7992</v>
      </c>
      <c r="U39" s="206" t="s">
        <v>7992</v>
      </c>
      <c r="V39" s="206" t="s">
        <v>7992</v>
      </c>
      <c r="W39" s="206" t="s">
        <v>7992</v>
      </c>
      <c r="X39" s="206" t="s">
        <v>7992</v>
      </c>
      <c r="Y39" s="206" t="s">
        <v>7992</v>
      </c>
      <c r="Z39" s="167" t="s">
        <v>7992</v>
      </c>
      <c r="AA39" s="206" t="s">
        <v>7992</v>
      </c>
      <c r="AB39" s="206" t="s">
        <v>7992</v>
      </c>
      <c r="AC39" s="206" t="s">
        <v>7992</v>
      </c>
      <c r="AD39" s="206" t="s">
        <v>7992</v>
      </c>
      <c r="AE39" s="206" t="s">
        <v>7992</v>
      </c>
      <c r="AF39" s="206" t="s">
        <v>7992</v>
      </c>
      <c r="AG39" s="206" t="s">
        <v>7992</v>
      </c>
      <c r="AH39" s="206" t="s">
        <v>7992</v>
      </c>
      <c r="AI39" s="206" t="s">
        <v>7992</v>
      </c>
      <c r="AJ39" s="206" t="s">
        <v>7992</v>
      </c>
      <c r="AK39" s="206" t="s">
        <v>7992</v>
      </c>
      <c r="AL39" s="206" t="s">
        <v>7992</v>
      </c>
      <c r="AM39" s="206" t="s">
        <v>7992</v>
      </c>
      <c r="AN39" s="206" t="s">
        <v>7992</v>
      </c>
      <c r="AO39" s="206" t="s">
        <v>7992</v>
      </c>
      <c r="AP39" s="206" t="s">
        <v>7992</v>
      </c>
      <c r="AQ39" s="206" t="s">
        <v>7992</v>
      </c>
      <c r="AR39" s="206" t="s">
        <v>7992</v>
      </c>
      <c r="AS39" s="206" t="s">
        <v>7992</v>
      </c>
      <c r="AT39" s="206" t="s">
        <v>7992</v>
      </c>
      <c r="AU39" s="206" t="s">
        <v>7992</v>
      </c>
      <c r="AV39" s="206" t="s">
        <v>7992</v>
      </c>
      <c r="AW39" s="167" t="s">
        <v>7992</v>
      </c>
      <c r="AX39" s="206" t="s">
        <v>7992</v>
      </c>
      <c r="AY39" s="206" t="s">
        <v>7992</v>
      </c>
      <c r="AZ39" s="206" t="s">
        <v>7992</v>
      </c>
      <c r="BA39" s="206" t="s">
        <v>7992</v>
      </c>
      <c r="BB39" s="206" t="s">
        <v>7992</v>
      </c>
      <c r="BC39" s="206" t="s">
        <v>7992</v>
      </c>
      <c r="BD39" s="206" t="s">
        <v>7992</v>
      </c>
      <c r="BE39" s="206" t="s">
        <v>7992</v>
      </c>
      <c r="BF39" s="206" t="s">
        <v>7992</v>
      </c>
      <c r="BG39" s="206" t="s">
        <v>7992</v>
      </c>
      <c r="BH39" s="206" t="s">
        <v>7992</v>
      </c>
      <c r="BI39" s="206" t="s">
        <v>7992</v>
      </c>
      <c r="BJ39" s="206" t="s">
        <v>7992</v>
      </c>
      <c r="BK39" s="206" t="s">
        <v>7992</v>
      </c>
      <c r="BL39" s="206" t="s">
        <v>7992</v>
      </c>
      <c r="BM39" s="206" t="s">
        <v>7992</v>
      </c>
      <c r="BN39" s="206" t="s">
        <v>7992</v>
      </c>
      <c r="BO39" s="206" t="s">
        <v>7992</v>
      </c>
      <c r="BP39" s="206" t="s">
        <v>7992</v>
      </c>
      <c r="BQ39" s="206" t="s">
        <v>7992</v>
      </c>
      <c r="BR39" s="206" t="s">
        <v>7992</v>
      </c>
      <c r="BS39" s="206" t="s">
        <v>7992</v>
      </c>
      <c r="BT39" s="206" t="s">
        <v>7992</v>
      </c>
      <c r="BU39" s="206" t="s">
        <v>7992</v>
      </c>
      <c r="BV39" s="206" t="s">
        <v>7992</v>
      </c>
      <c r="BW39" s="206" t="s">
        <v>7992</v>
      </c>
      <c r="BX39" s="206" t="s">
        <v>7992</v>
      </c>
      <c r="BY39" s="206" t="s">
        <v>7992</v>
      </c>
      <c r="BZ39" s="206" t="s">
        <v>7992</v>
      </c>
      <c r="CA39" s="206" t="s">
        <v>7992</v>
      </c>
      <c r="CB39" s="206" t="s">
        <v>7992</v>
      </c>
      <c r="CC39" s="206" t="s">
        <v>7992</v>
      </c>
      <c r="CD39" s="206" t="s">
        <v>7992</v>
      </c>
      <c r="CE39" s="206" t="s">
        <v>7992</v>
      </c>
      <c r="CF39" s="206" t="s">
        <v>7992</v>
      </c>
      <c r="CG39" s="206" t="s">
        <v>7992</v>
      </c>
      <c r="CH39" s="206" t="s">
        <v>7992</v>
      </c>
      <c r="CI39" s="206" t="s">
        <v>7992</v>
      </c>
      <c r="CJ39" s="206" t="s">
        <v>7992</v>
      </c>
      <c r="CK39" s="206" t="s">
        <v>7992</v>
      </c>
      <c r="CL39" s="206" t="s">
        <v>7992</v>
      </c>
      <c r="CM39" s="206" t="s">
        <v>7992</v>
      </c>
      <c r="CN39" s="206" t="s">
        <v>7992</v>
      </c>
      <c r="CO39" s="206" t="s">
        <v>7992</v>
      </c>
      <c r="CP39" s="206" t="s">
        <v>7992</v>
      </c>
      <c r="CQ39" s="206" t="s">
        <v>7992</v>
      </c>
      <c r="CR39" s="206" t="s">
        <v>7992</v>
      </c>
      <c r="CS39" s="206" t="s">
        <v>7992</v>
      </c>
      <c r="CT39" s="206" t="s">
        <v>7992</v>
      </c>
      <c r="CU39" s="206" t="s">
        <v>7992</v>
      </c>
      <c r="CV39" s="206" t="s">
        <v>7992</v>
      </c>
      <c r="CW39" s="206" t="s">
        <v>7992</v>
      </c>
      <c r="CX39" s="206" t="s">
        <v>7992</v>
      </c>
      <c r="CY39" s="206" t="s">
        <v>7992</v>
      </c>
      <c r="CZ39" s="206" t="s">
        <v>7992</v>
      </c>
      <c r="DA39" s="206" t="s">
        <v>7992</v>
      </c>
      <c r="DB39" s="206" t="s">
        <v>7992</v>
      </c>
      <c r="DC39" s="206" t="s">
        <v>7992</v>
      </c>
      <c r="DD39" s="206" t="s">
        <v>7992</v>
      </c>
      <c r="DE39" s="206" t="s">
        <v>7992</v>
      </c>
      <c r="DF39" s="206" t="s">
        <v>7992</v>
      </c>
      <c r="DG39" s="206" t="s">
        <v>7992</v>
      </c>
      <c r="DH39" s="206" t="s">
        <v>7992</v>
      </c>
      <c r="DI39" s="206" t="s">
        <v>7992</v>
      </c>
      <c r="DJ39" s="206" t="s">
        <v>7992</v>
      </c>
      <c r="DK39" s="206" t="s">
        <v>7992</v>
      </c>
      <c r="DL39" s="206" t="s">
        <v>7992</v>
      </c>
      <c r="DM39" s="206" t="s">
        <v>7992</v>
      </c>
      <c r="DN39" s="206" t="s">
        <v>7992</v>
      </c>
      <c r="DO39" s="206" t="s">
        <v>7992</v>
      </c>
      <c r="DP39" s="206" t="s">
        <v>7992</v>
      </c>
      <c r="DQ39" s="206" t="s">
        <v>7992</v>
      </c>
      <c r="DR39" s="206" t="s">
        <v>7992</v>
      </c>
      <c r="DS39" s="206" t="s">
        <v>7992</v>
      </c>
      <c r="DT39" s="206" t="s">
        <v>7992</v>
      </c>
      <c r="DU39" s="206" t="s">
        <v>7992</v>
      </c>
      <c r="DV39" s="206" t="s">
        <v>7992</v>
      </c>
      <c r="DW39" s="206" t="s">
        <v>7992</v>
      </c>
      <c r="DX39" s="206" t="s">
        <v>7992</v>
      </c>
      <c r="DY39" s="206" t="s">
        <v>7992</v>
      </c>
      <c r="DZ39" s="206" t="s">
        <v>7992</v>
      </c>
      <c r="EA39" s="206" t="s">
        <v>7992</v>
      </c>
      <c r="EB39" s="206" t="s">
        <v>7992</v>
      </c>
      <c r="EC39" s="206" t="s">
        <v>7992</v>
      </c>
      <c r="ED39" s="206" t="s">
        <v>7992</v>
      </c>
      <c r="EE39" s="206" t="s">
        <v>7992</v>
      </c>
      <c r="EF39" s="206" t="s">
        <v>7992</v>
      </c>
      <c r="EG39" s="206" t="s">
        <v>7992</v>
      </c>
      <c r="EH39" s="206" t="s">
        <v>7992</v>
      </c>
      <c r="EI39" s="206" t="s">
        <v>7992</v>
      </c>
      <c r="EJ39" s="206" t="s">
        <v>7992</v>
      </c>
      <c r="EK39" s="206" t="s">
        <v>7992</v>
      </c>
      <c r="EL39" s="206" t="s">
        <v>7992</v>
      </c>
      <c r="EM39" s="206" t="s">
        <v>7992</v>
      </c>
      <c r="EN39" s="206" t="s">
        <v>7992</v>
      </c>
      <c r="EO39" s="206" t="s">
        <v>7992</v>
      </c>
      <c r="EP39" s="206" t="s">
        <v>7992</v>
      </c>
      <c r="EQ39" s="206" t="s">
        <v>7992</v>
      </c>
      <c r="ER39" s="206" t="s">
        <v>7992</v>
      </c>
      <c r="ES39" s="206" t="s">
        <v>7992</v>
      </c>
      <c r="ET39" s="206" t="s">
        <v>7992</v>
      </c>
      <c r="EU39" s="206" t="s">
        <v>7992</v>
      </c>
      <c r="EV39" s="206" t="s">
        <v>7992</v>
      </c>
      <c r="EW39" s="206" t="s">
        <v>7992</v>
      </c>
      <c r="EX39" s="206" t="s">
        <v>7992</v>
      </c>
      <c r="EY39" s="206" t="s">
        <v>7992</v>
      </c>
      <c r="EZ39" s="206" t="s">
        <v>7992</v>
      </c>
      <c r="FA39" s="206" t="s">
        <v>7992</v>
      </c>
      <c r="FB39" s="206" t="s">
        <v>7992</v>
      </c>
      <c r="FC39" s="206" t="s">
        <v>7992</v>
      </c>
      <c r="FD39" s="206" t="s">
        <v>7992</v>
      </c>
      <c r="FE39" s="206" t="s">
        <v>7992</v>
      </c>
      <c r="FF39" s="206" t="s">
        <v>7992</v>
      </c>
      <c r="FG39" s="206" t="s">
        <v>7992</v>
      </c>
      <c r="FH39" s="206" t="s">
        <v>7992</v>
      </c>
      <c r="FI39" s="206" t="s">
        <v>7992</v>
      </c>
      <c r="FJ39" s="206" t="s">
        <v>7992</v>
      </c>
      <c r="FK39" s="206" t="s">
        <v>7992</v>
      </c>
      <c r="FL39" s="206" t="s">
        <v>7992</v>
      </c>
      <c r="FM39" s="206" t="s">
        <v>7992</v>
      </c>
      <c r="FN39" s="206" t="s">
        <v>7992</v>
      </c>
      <c r="FO39" s="206" t="s">
        <v>7992</v>
      </c>
      <c r="FP39" s="206" t="s">
        <v>7992</v>
      </c>
      <c r="FQ39" s="206" t="s">
        <v>7992</v>
      </c>
      <c r="FR39" s="206" t="s">
        <v>7992</v>
      </c>
      <c r="FS39" s="206" t="s">
        <v>7992</v>
      </c>
      <c r="FT39" s="206" t="s">
        <v>7992</v>
      </c>
      <c r="FU39" s="206" t="s">
        <v>7992</v>
      </c>
      <c r="FV39" s="206" t="s">
        <v>7992</v>
      </c>
      <c r="FW39" s="206" t="s">
        <v>7992</v>
      </c>
      <c r="FX39" s="206" t="s">
        <v>7992</v>
      </c>
      <c r="FY39" s="206" t="s">
        <v>7992</v>
      </c>
      <c r="FZ39" s="206" t="s">
        <v>7992</v>
      </c>
      <c r="GA39" s="206" t="s">
        <v>7992</v>
      </c>
      <c r="GB39" s="206" t="s">
        <v>7992</v>
      </c>
      <c r="GC39" s="206" t="s">
        <v>7992</v>
      </c>
      <c r="GD39" s="206" t="s">
        <v>7992</v>
      </c>
      <c r="GE39" s="206" t="s">
        <v>7992</v>
      </c>
      <c r="GF39" s="206" t="s">
        <v>7992</v>
      </c>
      <c r="GG39" s="206" t="s">
        <v>7992</v>
      </c>
      <c r="GH39" s="206" t="s">
        <v>7992</v>
      </c>
      <c r="GI39" s="206" t="s">
        <v>7992</v>
      </c>
      <c r="GJ39" s="206" t="s">
        <v>7992</v>
      </c>
      <c r="GK39" s="206" t="s">
        <v>7992</v>
      </c>
      <c r="GL39" s="206" t="s">
        <v>7992</v>
      </c>
      <c r="GM39" s="206" t="s">
        <v>7992</v>
      </c>
      <c r="GN39" s="206" t="s">
        <v>7992</v>
      </c>
      <c r="GO39" s="206" t="s">
        <v>7992</v>
      </c>
      <c r="GP39" s="206" t="s">
        <v>7992</v>
      </c>
      <c r="GQ39" s="206" t="s">
        <v>7992</v>
      </c>
      <c r="GR39" s="206" t="s">
        <v>7992</v>
      </c>
      <c r="GS39" s="206" t="s">
        <v>7992</v>
      </c>
      <c r="GT39" s="206" t="s">
        <v>7992</v>
      </c>
      <c r="GU39" s="206" t="s">
        <v>7992</v>
      </c>
      <c r="GV39" s="206" t="s">
        <v>7992</v>
      </c>
      <c r="GW39" s="206" t="s">
        <v>7992</v>
      </c>
      <c r="GX39" s="206" t="s">
        <v>7992</v>
      </c>
      <c r="GY39" s="206" t="s">
        <v>7992</v>
      </c>
      <c r="GZ39" s="206" t="s">
        <v>7992</v>
      </c>
      <c r="HA39" s="206" t="s">
        <v>7992</v>
      </c>
      <c r="HB39" s="206" t="s">
        <v>7992</v>
      </c>
      <c r="HC39" s="206" t="s">
        <v>7992</v>
      </c>
      <c r="HD39" s="206" t="s">
        <v>7992</v>
      </c>
      <c r="HE39" s="206" t="s">
        <v>7992</v>
      </c>
      <c r="HF39" s="206" t="s">
        <v>7992</v>
      </c>
      <c r="HG39" s="206" t="s">
        <v>7992</v>
      </c>
      <c r="HH39" s="206" t="s">
        <v>7992</v>
      </c>
      <c r="HI39" s="206" t="s">
        <v>7992</v>
      </c>
      <c r="HJ39" s="206" t="s">
        <v>7992</v>
      </c>
      <c r="HK39" s="206" t="s">
        <v>7992</v>
      </c>
      <c r="HL39" s="206" t="s">
        <v>7992</v>
      </c>
      <c r="HM39" s="206" t="s">
        <v>7992</v>
      </c>
      <c r="HN39" s="206" t="s">
        <v>7992</v>
      </c>
      <c r="HO39" s="206" t="s">
        <v>7992</v>
      </c>
      <c r="HP39" s="206" t="s">
        <v>7992</v>
      </c>
      <c r="HQ39" s="206" t="s">
        <v>7992</v>
      </c>
      <c r="HR39" s="206" t="s">
        <v>7992</v>
      </c>
      <c r="HS39" s="206" t="s">
        <v>7992</v>
      </c>
      <c r="HT39" s="206" t="s">
        <v>7992</v>
      </c>
      <c r="HU39" s="206" t="s">
        <v>7992</v>
      </c>
      <c r="HV39" s="206" t="s">
        <v>7992</v>
      </c>
      <c r="HW39" s="206" t="s">
        <v>7992</v>
      </c>
      <c r="HX39" s="206" t="s">
        <v>7992</v>
      </c>
      <c r="HY39" s="206" t="s">
        <v>7992</v>
      </c>
      <c r="HZ39" s="206" t="s">
        <v>7992</v>
      </c>
      <c r="IA39" s="206" t="s">
        <v>7992</v>
      </c>
      <c r="IB39" s="206" t="s">
        <v>7992</v>
      </c>
      <c r="IC39" s="206" t="s">
        <v>7992</v>
      </c>
      <c r="ID39" s="206" t="s">
        <v>7992</v>
      </c>
      <c r="IE39" s="206" t="s">
        <v>7992</v>
      </c>
      <c r="IF39" s="206" t="s">
        <v>7992</v>
      </c>
      <c r="IG39" s="206" t="s">
        <v>7992</v>
      </c>
      <c r="IH39" s="206" t="s">
        <v>7992</v>
      </c>
      <c r="II39" s="206" t="s">
        <v>7992</v>
      </c>
      <c r="IJ39" s="206" t="s">
        <v>7992</v>
      </c>
      <c r="IK39" s="206" t="s">
        <v>7992</v>
      </c>
      <c r="IL39" s="206" t="s">
        <v>7992</v>
      </c>
      <c r="IM39" s="206" t="s">
        <v>7992</v>
      </c>
      <c r="IN39" s="206" t="s">
        <v>7992</v>
      </c>
      <c r="IO39" s="206" t="s">
        <v>7992</v>
      </c>
      <c r="IP39" s="206" t="s">
        <v>7992</v>
      </c>
      <c r="IQ39" s="206" t="s">
        <v>7992</v>
      </c>
      <c r="IR39" s="206" t="s">
        <v>7992</v>
      </c>
      <c r="IS39" s="206" t="s">
        <v>7992</v>
      </c>
      <c r="IT39" s="206" t="s">
        <v>7992</v>
      </c>
      <c r="IU39" s="206" t="s">
        <v>7992</v>
      </c>
      <c r="IV39" s="206" t="s">
        <v>7992</v>
      </c>
      <c r="IW39" s="206" t="s">
        <v>7992</v>
      </c>
      <c r="IX39" s="206" t="s">
        <v>7992</v>
      </c>
      <c r="IY39" s="206" t="s">
        <v>7992</v>
      </c>
      <c r="IZ39" s="206" t="s">
        <v>7992</v>
      </c>
      <c r="JA39" s="206" t="s">
        <v>7992</v>
      </c>
      <c r="JB39" s="206" t="s">
        <v>7992</v>
      </c>
      <c r="JC39" s="206" t="s">
        <v>7992</v>
      </c>
      <c r="JD39" s="206" t="s">
        <v>7992</v>
      </c>
      <c r="JE39" s="206" t="s">
        <v>7992</v>
      </c>
      <c r="JF39" s="206" t="s">
        <v>7992</v>
      </c>
      <c r="JG39" s="206" t="s">
        <v>7992</v>
      </c>
      <c r="JH39" s="206" t="s">
        <v>7992</v>
      </c>
      <c r="JI39" s="206" t="s">
        <v>7992</v>
      </c>
      <c r="JJ39" s="206" t="s">
        <v>7992</v>
      </c>
      <c r="JK39" s="206" t="s">
        <v>7992</v>
      </c>
      <c r="JL39" s="206" t="s">
        <v>7992</v>
      </c>
      <c r="JM39" s="206" t="s">
        <v>7992</v>
      </c>
      <c r="JN39" s="206" t="s">
        <v>7992</v>
      </c>
      <c r="JO39" s="206" t="s">
        <v>7992</v>
      </c>
      <c r="JP39" s="206" t="s">
        <v>7992</v>
      </c>
      <c r="JQ39" s="206" t="s">
        <v>7992</v>
      </c>
      <c r="JR39" s="206" t="s">
        <v>7992</v>
      </c>
      <c r="JS39" s="206" t="s">
        <v>7992</v>
      </c>
      <c r="JT39" s="206" t="s">
        <v>7992</v>
      </c>
      <c r="JU39" s="206" t="s">
        <v>7992</v>
      </c>
      <c r="JV39" s="206" t="s">
        <v>7992</v>
      </c>
      <c r="JW39" s="206" t="s">
        <v>7992</v>
      </c>
      <c r="JX39" s="206" t="s">
        <v>7992</v>
      </c>
      <c r="JY39" s="206" t="s">
        <v>7992</v>
      </c>
      <c r="JZ39" s="206" t="s">
        <v>7992</v>
      </c>
      <c r="KA39" s="206" t="s">
        <v>7992</v>
      </c>
      <c r="KB39" s="206" t="s">
        <v>7992</v>
      </c>
      <c r="KC39" s="206" t="s">
        <v>7992</v>
      </c>
      <c r="KD39" s="206" t="s">
        <v>7992</v>
      </c>
      <c r="KE39" s="206" t="s">
        <v>7992</v>
      </c>
      <c r="KF39" s="206" t="s">
        <v>7992</v>
      </c>
      <c r="KG39" s="206" t="s">
        <v>7992</v>
      </c>
      <c r="KH39" s="206" t="s">
        <v>7992</v>
      </c>
      <c r="KI39" s="206" t="s">
        <v>7992</v>
      </c>
      <c r="KJ39" s="206" t="s">
        <v>7992</v>
      </c>
      <c r="KK39" s="206" t="s">
        <v>7992</v>
      </c>
      <c r="KL39" s="206" t="s">
        <v>7992</v>
      </c>
      <c r="KM39" s="206" t="s">
        <v>7992</v>
      </c>
      <c r="KN39" s="206" t="s">
        <v>7992</v>
      </c>
      <c r="KO39" s="206" t="s">
        <v>7992</v>
      </c>
      <c r="KP39" s="206" t="s">
        <v>7992</v>
      </c>
      <c r="KQ39" s="206" t="s">
        <v>7992</v>
      </c>
      <c r="KR39" s="206" t="s">
        <v>7992</v>
      </c>
      <c r="KS39" s="206" t="s">
        <v>7992</v>
      </c>
      <c r="KT39" s="206" t="s">
        <v>7992</v>
      </c>
      <c r="KU39" s="206" t="s">
        <v>7992</v>
      </c>
      <c r="KV39" s="206" t="s">
        <v>7992</v>
      </c>
      <c r="KW39" s="206" t="s">
        <v>7992</v>
      </c>
      <c r="KX39" s="206" t="s">
        <v>7992</v>
      </c>
      <c r="KY39" s="206" t="s">
        <v>7992</v>
      </c>
      <c r="KZ39" s="206" t="s">
        <v>7992</v>
      </c>
      <c r="LA39" s="206" t="s">
        <v>7992</v>
      </c>
      <c r="LB39" s="206" t="s">
        <v>7992</v>
      </c>
      <c r="LC39" s="206" t="s">
        <v>7992</v>
      </c>
      <c r="LD39" s="206" t="s">
        <v>7992</v>
      </c>
      <c r="LE39" s="206" t="s">
        <v>7992</v>
      </c>
      <c r="LF39" s="206" t="s">
        <v>7992</v>
      </c>
      <c r="LG39" s="206" t="s">
        <v>7992</v>
      </c>
      <c r="LH39" s="206" t="s">
        <v>7992</v>
      </c>
      <c r="LI39" s="206" t="s">
        <v>7992</v>
      </c>
      <c r="LJ39" s="206" t="s">
        <v>7992</v>
      </c>
      <c r="LK39" s="206" t="s">
        <v>7992</v>
      </c>
      <c r="LL39" s="206" t="s">
        <v>7992</v>
      </c>
      <c r="LM39" s="206" t="s">
        <v>7992</v>
      </c>
      <c r="LN39" s="206" t="s">
        <v>7992</v>
      </c>
      <c r="LO39" s="206" t="s">
        <v>7992</v>
      </c>
      <c r="LP39" s="206" t="s">
        <v>7992</v>
      </c>
      <c r="LQ39" s="206" t="s">
        <v>7992</v>
      </c>
      <c r="LR39" s="206" t="s">
        <v>7992</v>
      </c>
      <c r="LS39" s="206" t="s">
        <v>7992</v>
      </c>
      <c r="LT39" s="206" t="s">
        <v>7992</v>
      </c>
      <c r="LU39" s="206" t="s">
        <v>7992</v>
      </c>
      <c r="LV39" s="206" t="s">
        <v>7992</v>
      </c>
      <c r="LW39" s="206" t="s">
        <v>7992</v>
      </c>
      <c r="LX39" s="206" t="s">
        <v>7992</v>
      </c>
      <c r="LY39" s="206" t="s">
        <v>7992</v>
      </c>
      <c r="LZ39" s="206" t="s">
        <v>7992</v>
      </c>
      <c r="MA39" s="206" t="s">
        <v>7992</v>
      </c>
      <c r="MB39" s="206" t="s">
        <v>7992</v>
      </c>
      <c r="MC39" s="206" t="s">
        <v>7992</v>
      </c>
      <c r="MD39" s="206" t="s">
        <v>7992</v>
      </c>
      <c r="ME39" s="206" t="s">
        <v>7992</v>
      </c>
      <c r="MF39" s="206" t="s">
        <v>7992</v>
      </c>
      <c r="MG39" s="206" t="s">
        <v>7992</v>
      </c>
      <c r="MH39" s="206" t="s">
        <v>7992</v>
      </c>
      <c r="MI39" s="206" t="s">
        <v>7992</v>
      </c>
      <c r="MJ39" s="206" t="s">
        <v>7992</v>
      </c>
      <c r="MK39" s="206" t="s">
        <v>7992</v>
      </c>
      <c r="ML39" s="206" t="s">
        <v>7992</v>
      </c>
      <c r="MM39" s="206" t="s">
        <v>7992</v>
      </c>
      <c r="MN39" s="206" t="s">
        <v>7992</v>
      </c>
      <c r="MO39" s="206" t="s">
        <v>7992</v>
      </c>
      <c r="MP39" s="206" t="s">
        <v>7992</v>
      </c>
      <c r="MQ39" s="206" t="s">
        <v>7992</v>
      </c>
      <c r="MR39" s="206" t="s">
        <v>7992</v>
      </c>
      <c r="MS39" s="206" t="s">
        <v>7992</v>
      </c>
      <c r="MT39" s="206" t="s">
        <v>7992</v>
      </c>
      <c r="MU39" s="206" t="s">
        <v>7992</v>
      </c>
      <c r="MV39" s="206" t="s">
        <v>7992</v>
      </c>
      <c r="MW39" s="206" t="s">
        <v>7992</v>
      </c>
      <c r="MX39" s="206" t="s">
        <v>7992</v>
      </c>
      <c r="MY39" s="206" t="s">
        <v>7992</v>
      </c>
      <c r="MZ39" s="206" t="s">
        <v>7992</v>
      </c>
      <c r="NA39" s="206" t="s">
        <v>7992</v>
      </c>
      <c r="NB39" s="206" t="s">
        <v>7992</v>
      </c>
      <c r="NC39" s="206" t="s">
        <v>7992</v>
      </c>
      <c r="ND39" s="206" t="s">
        <v>7992</v>
      </c>
      <c r="NE39" s="206" t="s">
        <v>7992</v>
      </c>
      <c r="NF39" s="206" t="s">
        <v>7992</v>
      </c>
      <c r="NG39" s="206" t="s">
        <v>7992</v>
      </c>
      <c r="NH39" s="206" t="s">
        <v>7992</v>
      </c>
      <c r="NI39" s="206" t="s">
        <v>7992</v>
      </c>
      <c r="NJ39" s="206" t="s">
        <v>7992</v>
      </c>
      <c r="NK39" s="206" t="s">
        <v>7992</v>
      </c>
      <c r="NL39" s="206" t="s">
        <v>7992</v>
      </c>
      <c r="NM39" s="206" t="s">
        <v>7992</v>
      </c>
      <c r="NN39" s="206" t="s">
        <v>7992</v>
      </c>
      <c r="NO39" s="206" t="s">
        <v>7992</v>
      </c>
      <c r="NP39" s="206" t="s">
        <v>7992</v>
      </c>
      <c r="NQ39" s="206" t="s">
        <v>7992</v>
      </c>
      <c r="NR39" s="206" t="s">
        <v>7992</v>
      </c>
      <c r="NS39" s="206" t="s">
        <v>7992</v>
      </c>
      <c r="NT39" s="206" t="s">
        <v>7992</v>
      </c>
      <c r="NU39" s="206" t="s">
        <v>7992</v>
      </c>
      <c r="NV39" s="206" t="s">
        <v>7992</v>
      </c>
      <c r="NW39" s="206" t="s">
        <v>7992</v>
      </c>
      <c r="NX39" s="206" t="s">
        <v>7992</v>
      </c>
      <c r="NY39" s="206" t="s">
        <v>7992</v>
      </c>
      <c r="NZ39" s="206" t="s">
        <v>7992</v>
      </c>
      <c r="OA39" s="206" t="s">
        <v>7992</v>
      </c>
      <c r="OB39" s="206" t="s">
        <v>7992</v>
      </c>
      <c r="OC39" s="206" t="s">
        <v>7992</v>
      </c>
      <c r="OD39" s="206" t="s">
        <v>7992</v>
      </c>
      <c r="OE39" s="206" t="s">
        <v>7992</v>
      </c>
      <c r="OF39" s="206" t="s">
        <v>7992</v>
      </c>
      <c r="OG39" s="206" t="s">
        <v>7992</v>
      </c>
      <c r="OH39" s="206" t="s">
        <v>7992</v>
      </c>
      <c r="OI39" s="206" t="s">
        <v>7992</v>
      </c>
      <c r="OJ39" s="206" t="s">
        <v>7992</v>
      </c>
      <c r="OK39" s="206" t="s">
        <v>7992</v>
      </c>
      <c r="OL39" s="206" t="s">
        <v>7992</v>
      </c>
      <c r="OM39" s="206" t="s">
        <v>7992</v>
      </c>
      <c r="ON39" s="206" t="s">
        <v>7992</v>
      </c>
      <c r="OO39" s="206" t="s">
        <v>7992</v>
      </c>
      <c r="OP39" s="206" t="s">
        <v>7992</v>
      </c>
      <c r="OQ39" s="206" t="s">
        <v>7992</v>
      </c>
      <c r="OR39" s="206" t="s">
        <v>7992</v>
      </c>
      <c r="OS39" s="206" t="s">
        <v>7992</v>
      </c>
      <c r="OT39" s="206" t="s">
        <v>7992</v>
      </c>
      <c r="OU39" s="206" t="s">
        <v>7992</v>
      </c>
      <c r="OV39" s="206" t="s">
        <v>7992</v>
      </c>
      <c r="OW39" s="206" t="s">
        <v>7992</v>
      </c>
      <c r="OX39" s="206" t="s">
        <v>7992</v>
      </c>
      <c r="OY39" s="206" t="s">
        <v>7992</v>
      </c>
      <c r="OZ39" s="206" t="s">
        <v>7992</v>
      </c>
      <c r="PA39" s="206" t="s">
        <v>7992</v>
      </c>
      <c r="PB39" s="206" t="s">
        <v>7992</v>
      </c>
      <c r="PC39" s="206" t="s">
        <v>7992</v>
      </c>
      <c r="PD39" s="206" t="s">
        <v>7992</v>
      </c>
      <c r="PE39" s="206" t="s">
        <v>7992</v>
      </c>
      <c r="PF39" s="206" t="s">
        <v>7992</v>
      </c>
      <c r="PG39" s="206" t="s">
        <v>7992</v>
      </c>
      <c r="PH39" s="206" t="s">
        <v>7992</v>
      </c>
      <c r="PI39" s="206" t="s">
        <v>7992</v>
      </c>
      <c r="PJ39" s="206" t="s">
        <v>7992</v>
      </c>
      <c r="PK39" s="206" t="s">
        <v>7992</v>
      </c>
      <c r="PL39" s="206" t="s">
        <v>7992</v>
      </c>
      <c r="PM39" s="206" t="s">
        <v>7992</v>
      </c>
      <c r="PN39" s="206" t="s">
        <v>7992</v>
      </c>
      <c r="PO39" s="206" t="s">
        <v>7992</v>
      </c>
      <c r="PP39" s="206" t="s">
        <v>7992</v>
      </c>
      <c r="PQ39" s="206" t="s">
        <v>7992</v>
      </c>
      <c r="PR39" s="206" t="s">
        <v>7992</v>
      </c>
      <c r="PS39" s="206" t="s">
        <v>7992</v>
      </c>
      <c r="PT39" s="206" t="s">
        <v>7992</v>
      </c>
      <c r="PU39" s="206" t="s">
        <v>7992</v>
      </c>
      <c r="PV39" s="206" t="s">
        <v>7992</v>
      </c>
      <c r="PW39" s="206" t="s">
        <v>7992</v>
      </c>
      <c r="PX39" s="206" t="s">
        <v>7992</v>
      </c>
      <c r="PY39" s="206" t="s">
        <v>7992</v>
      </c>
      <c r="PZ39" s="206" t="s">
        <v>7992</v>
      </c>
      <c r="QA39" s="206" t="s">
        <v>7992</v>
      </c>
      <c r="QB39" s="206" t="s">
        <v>7992</v>
      </c>
      <c r="QC39" s="206" t="s">
        <v>7992</v>
      </c>
      <c r="QD39" s="206" t="s">
        <v>7992</v>
      </c>
      <c r="QE39" s="206" t="s">
        <v>7992</v>
      </c>
      <c r="QF39" s="206" t="s">
        <v>7992</v>
      </c>
      <c r="QG39" s="206" t="s">
        <v>7992</v>
      </c>
      <c r="QH39" s="206" t="s">
        <v>7992</v>
      </c>
      <c r="QI39" s="206" t="s">
        <v>7992</v>
      </c>
      <c r="QJ39" s="206" t="s">
        <v>7992</v>
      </c>
      <c r="QK39" s="206" t="s">
        <v>7992</v>
      </c>
      <c r="QL39" s="206" t="s">
        <v>7992</v>
      </c>
      <c r="QM39" s="206" t="s">
        <v>7992</v>
      </c>
      <c r="QN39" s="206" t="s">
        <v>7992</v>
      </c>
      <c r="QO39" s="206" t="s">
        <v>7992</v>
      </c>
      <c r="QP39" s="206" t="s">
        <v>7992</v>
      </c>
      <c r="QQ39" s="206" t="s">
        <v>7992</v>
      </c>
      <c r="QR39" s="206" t="s">
        <v>7992</v>
      </c>
      <c r="QS39" s="206" t="s">
        <v>7992</v>
      </c>
      <c r="QT39" s="206" t="s">
        <v>7992</v>
      </c>
      <c r="QU39" s="206" t="s">
        <v>7992</v>
      </c>
      <c r="QV39" s="206" t="s">
        <v>7992</v>
      </c>
      <c r="QW39" s="206" t="s">
        <v>7992</v>
      </c>
      <c r="QX39" s="206" t="s">
        <v>7992</v>
      </c>
      <c r="QY39" s="206" t="s">
        <v>7992</v>
      </c>
      <c r="QZ39" s="206" t="s">
        <v>7992</v>
      </c>
      <c r="RA39" s="206" t="s">
        <v>7992</v>
      </c>
      <c r="RB39" s="206" t="s">
        <v>7992</v>
      </c>
      <c r="RC39" s="206" t="s">
        <v>7992</v>
      </c>
      <c r="RD39" s="206" t="s">
        <v>7992</v>
      </c>
      <c r="RE39" s="206" t="s">
        <v>7992</v>
      </c>
      <c r="RF39" s="206" t="s">
        <v>7992</v>
      </c>
      <c r="RG39" s="206" t="s">
        <v>7992</v>
      </c>
      <c r="RH39" s="206" t="s">
        <v>7992</v>
      </c>
      <c r="RI39" s="206" t="s">
        <v>7992</v>
      </c>
      <c r="RJ39" s="206" t="s">
        <v>7992</v>
      </c>
      <c r="RK39" s="206" t="s">
        <v>7992</v>
      </c>
      <c r="RL39" s="206" t="s">
        <v>7992</v>
      </c>
      <c r="RM39" s="206" t="s">
        <v>7992</v>
      </c>
      <c r="RN39" s="206" t="s">
        <v>7992</v>
      </c>
      <c r="RO39" s="206" t="s">
        <v>7992</v>
      </c>
      <c r="RP39" s="206" t="s">
        <v>7992</v>
      </c>
      <c r="RQ39" s="206" t="s">
        <v>7992</v>
      </c>
      <c r="RR39" s="206" t="s">
        <v>7992</v>
      </c>
      <c r="RS39" s="206" t="s">
        <v>7992</v>
      </c>
      <c r="RT39" s="206" t="s">
        <v>7992</v>
      </c>
      <c r="RU39" s="206" t="s">
        <v>7992</v>
      </c>
      <c r="RV39" s="206" t="s">
        <v>7992</v>
      </c>
      <c r="RW39" s="206" t="s">
        <v>7992</v>
      </c>
      <c r="RX39" s="206" t="s">
        <v>7992</v>
      </c>
      <c r="RY39" s="206" t="s">
        <v>7992</v>
      </c>
      <c r="RZ39" s="206" t="s">
        <v>7992</v>
      </c>
      <c r="SA39" s="206" t="s">
        <v>7992</v>
      </c>
      <c r="SB39" s="206" t="s">
        <v>7992</v>
      </c>
      <c r="SC39" s="206" t="s">
        <v>7992</v>
      </c>
      <c r="SD39" s="206" t="s">
        <v>7992</v>
      </c>
      <c r="SE39" s="206" t="s">
        <v>7992</v>
      </c>
      <c r="SF39" s="206" t="s">
        <v>7992</v>
      </c>
      <c r="SG39" s="206" t="s">
        <v>7992</v>
      </c>
      <c r="SH39" s="206" t="s">
        <v>7992</v>
      </c>
      <c r="SI39" s="206" t="s">
        <v>7992</v>
      </c>
      <c r="SJ39" s="206" t="s">
        <v>7992</v>
      </c>
      <c r="SK39" s="206" t="s">
        <v>7992</v>
      </c>
      <c r="SL39" s="206" t="s">
        <v>7992</v>
      </c>
      <c r="SM39" s="206" t="s">
        <v>7992</v>
      </c>
      <c r="SN39" s="206" t="s">
        <v>7992</v>
      </c>
      <c r="SO39" s="206" t="s">
        <v>7992</v>
      </c>
      <c r="SP39" s="206" t="s">
        <v>7992</v>
      </c>
      <c r="SQ39" s="206" t="s">
        <v>7992</v>
      </c>
      <c r="SR39" s="206" t="s">
        <v>7992</v>
      </c>
      <c r="SS39" s="206" t="s">
        <v>7992</v>
      </c>
      <c r="ST39" s="206" t="s">
        <v>7992</v>
      </c>
      <c r="SU39" s="206" t="s">
        <v>7992</v>
      </c>
      <c r="SV39" s="206" t="s">
        <v>7992</v>
      </c>
      <c r="SW39" s="206" t="s">
        <v>7992</v>
      </c>
      <c r="SX39" s="206" t="s">
        <v>7992</v>
      </c>
      <c r="SY39" s="206" t="s">
        <v>7992</v>
      </c>
      <c r="SZ39" s="206" t="s">
        <v>7992</v>
      </c>
      <c r="TA39" s="206" t="s">
        <v>7992</v>
      </c>
      <c r="TB39" s="206" t="s">
        <v>7992</v>
      </c>
      <c r="TC39" s="206" t="s">
        <v>7992</v>
      </c>
      <c r="TD39" s="206" t="s">
        <v>7992</v>
      </c>
      <c r="TE39" s="206" t="s">
        <v>7992</v>
      </c>
      <c r="TF39" s="206" t="s">
        <v>7992</v>
      </c>
      <c r="TG39" s="206" t="s">
        <v>7992</v>
      </c>
      <c r="TH39" s="206" t="s">
        <v>7992</v>
      </c>
      <c r="TI39" s="206" t="s">
        <v>7992</v>
      </c>
      <c r="TJ39" s="206" t="s">
        <v>7992</v>
      </c>
      <c r="TK39" s="206" t="s">
        <v>7992</v>
      </c>
      <c r="TL39" s="206" t="s">
        <v>7992</v>
      </c>
      <c r="TM39" s="206" t="s">
        <v>7992</v>
      </c>
      <c r="TN39" s="206" t="s">
        <v>7992</v>
      </c>
      <c r="TO39" s="206" t="s">
        <v>7992</v>
      </c>
      <c r="TP39" s="206" t="s">
        <v>7992</v>
      </c>
      <c r="TQ39" s="206" t="s">
        <v>7992</v>
      </c>
      <c r="TR39" s="206" t="s">
        <v>7992</v>
      </c>
      <c r="TS39" s="206" t="s">
        <v>7992</v>
      </c>
      <c r="TT39" s="206" t="s">
        <v>7992</v>
      </c>
      <c r="TU39" s="206" t="s">
        <v>7992</v>
      </c>
      <c r="TV39" s="206" t="s">
        <v>7992</v>
      </c>
      <c r="TW39" s="206" t="s">
        <v>7992</v>
      </c>
      <c r="TX39" s="206" t="s">
        <v>7992</v>
      </c>
      <c r="TY39" s="206" t="s">
        <v>7992</v>
      </c>
      <c r="TZ39" s="206" t="s">
        <v>7992</v>
      </c>
      <c r="UA39" s="206" t="s">
        <v>7992</v>
      </c>
      <c r="UB39" s="206" t="s">
        <v>7992</v>
      </c>
      <c r="UC39" s="206" t="s">
        <v>7992</v>
      </c>
      <c r="UD39" s="206" t="s">
        <v>7992</v>
      </c>
      <c r="UE39" s="206" t="s">
        <v>7992</v>
      </c>
      <c r="UF39" s="206" t="s">
        <v>7992</v>
      </c>
      <c r="UG39" s="206" t="s">
        <v>7992</v>
      </c>
      <c r="UH39" s="206" t="s">
        <v>7992</v>
      </c>
      <c r="UI39" s="206" t="s">
        <v>7992</v>
      </c>
      <c r="UJ39" s="206" t="s">
        <v>7992</v>
      </c>
      <c r="UK39" s="206" t="s">
        <v>7992</v>
      </c>
      <c r="UL39" s="206" t="s">
        <v>7992</v>
      </c>
      <c r="UM39" s="206" t="s">
        <v>7992</v>
      </c>
      <c r="UN39" s="206" t="s">
        <v>7992</v>
      </c>
      <c r="UO39" s="206" t="s">
        <v>7992</v>
      </c>
      <c r="UP39" s="206" t="s">
        <v>7992</v>
      </c>
      <c r="UQ39" s="206" t="s">
        <v>7992</v>
      </c>
      <c r="UR39" s="206" t="s">
        <v>7992</v>
      </c>
      <c r="US39" s="206" t="s">
        <v>7992</v>
      </c>
      <c r="UT39" s="206" t="s">
        <v>7992</v>
      </c>
      <c r="UU39" s="206" t="s">
        <v>7992</v>
      </c>
      <c r="UV39" s="206" t="s">
        <v>7992</v>
      </c>
      <c r="UW39" s="206" t="s">
        <v>7992</v>
      </c>
      <c r="UX39" s="206" t="s">
        <v>7992</v>
      </c>
      <c r="UY39" s="206" t="s">
        <v>7992</v>
      </c>
      <c r="UZ39" s="206" t="s">
        <v>7992</v>
      </c>
      <c r="VA39" s="206" t="s">
        <v>7992</v>
      </c>
      <c r="VB39" s="206" t="s">
        <v>7992</v>
      </c>
      <c r="VC39" s="206" t="s">
        <v>7992</v>
      </c>
      <c r="VD39" s="206" t="s">
        <v>7992</v>
      </c>
      <c r="VE39" s="206" t="s">
        <v>7992</v>
      </c>
      <c r="VF39" s="206" t="s">
        <v>7992</v>
      </c>
      <c r="VG39" s="206" t="s">
        <v>7992</v>
      </c>
      <c r="VH39" s="206" t="s">
        <v>7992</v>
      </c>
      <c r="VI39" s="206" t="s">
        <v>7992</v>
      </c>
      <c r="VJ39" s="206" t="s">
        <v>7992</v>
      </c>
      <c r="VK39" s="206" t="s">
        <v>7992</v>
      </c>
      <c r="VL39" s="206" t="s">
        <v>7992</v>
      </c>
      <c r="VM39" s="206" t="s">
        <v>7992</v>
      </c>
      <c r="VN39" s="206" t="s">
        <v>7992</v>
      </c>
      <c r="VO39" s="206" t="s">
        <v>7992</v>
      </c>
      <c r="VP39" s="206" t="s">
        <v>7992</v>
      </c>
      <c r="VQ39" s="206" t="s">
        <v>7992</v>
      </c>
      <c r="VR39" s="206" t="s">
        <v>7992</v>
      </c>
      <c r="VS39" s="206" t="s">
        <v>7992</v>
      </c>
      <c r="VT39" s="206" t="s">
        <v>7992</v>
      </c>
      <c r="VU39" s="206" t="s">
        <v>7992</v>
      </c>
      <c r="VV39" s="206" t="s">
        <v>7992</v>
      </c>
      <c r="VW39" s="206" t="s">
        <v>7992</v>
      </c>
      <c r="VX39" s="206" t="s">
        <v>7992</v>
      </c>
      <c r="VY39" s="206" t="s">
        <v>7992</v>
      </c>
      <c r="VZ39" s="206" t="s">
        <v>7992</v>
      </c>
      <c r="WA39" s="206" t="s">
        <v>7992</v>
      </c>
      <c r="WB39" s="206" t="s">
        <v>7992</v>
      </c>
      <c r="WC39" s="206" t="s">
        <v>7992</v>
      </c>
      <c r="WD39" s="206" t="s">
        <v>7992</v>
      </c>
      <c r="WE39" s="206" t="s">
        <v>7992</v>
      </c>
      <c r="WF39" s="206" t="s">
        <v>7992</v>
      </c>
      <c r="WG39" s="206" t="s">
        <v>7992</v>
      </c>
      <c r="WH39" s="206" t="s">
        <v>7992</v>
      </c>
      <c r="WI39" s="206" t="s">
        <v>7992</v>
      </c>
      <c r="WJ39" s="206" t="s">
        <v>7992</v>
      </c>
      <c r="WK39" s="206" t="s">
        <v>7992</v>
      </c>
      <c r="WL39" s="206" t="s">
        <v>7992</v>
      </c>
      <c r="WM39" s="206" t="s">
        <v>7992</v>
      </c>
      <c r="WN39" s="206" t="s">
        <v>7992</v>
      </c>
      <c r="WO39" s="206" t="s">
        <v>7992</v>
      </c>
      <c r="WP39" s="206" t="s">
        <v>7992</v>
      </c>
      <c r="WQ39" s="206" t="s">
        <v>7992</v>
      </c>
      <c r="WR39" s="206" t="s">
        <v>7992</v>
      </c>
      <c r="WS39" s="206" t="s">
        <v>7992</v>
      </c>
      <c r="WT39" s="206" t="s">
        <v>7992</v>
      </c>
      <c r="WU39" s="206" t="s">
        <v>7992</v>
      </c>
      <c r="WV39" s="206" t="s">
        <v>7992</v>
      </c>
      <c r="WW39" s="206" t="s">
        <v>7992</v>
      </c>
      <c r="WX39" s="206" t="s">
        <v>7992</v>
      </c>
      <c r="WY39" s="206" t="s">
        <v>7992</v>
      </c>
      <c r="WZ39" s="206" t="s">
        <v>7992</v>
      </c>
      <c r="XA39" s="206" t="s">
        <v>7992</v>
      </c>
      <c r="XB39" s="206" t="s">
        <v>7992</v>
      </c>
      <c r="XC39" s="206" t="s">
        <v>7992</v>
      </c>
      <c r="XD39" s="206" t="s">
        <v>7992</v>
      </c>
      <c r="XE39" s="206" t="s">
        <v>7992</v>
      </c>
      <c r="XF39" s="206" t="s">
        <v>7992</v>
      </c>
      <c r="XG39" s="206" t="s">
        <v>7992</v>
      </c>
      <c r="XH39" s="206" t="s">
        <v>7992</v>
      </c>
      <c r="XI39" s="206" t="s">
        <v>7992</v>
      </c>
      <c r="XJ39" s="206" t="s">
        <v>7992</v>
      </c>
      <c r="XK39" s="206" t="s">
        <v>7992</v>
      </c>
      <c r="XL39" s="206" t="s">
        <v>7992</v>
      </c>
      <c r="XM39" s="206" t="s">
        <v>7992</v>
      </c>
      <c r="XN39" s="206" t="s">
        <v>7992</v>
      </c>
      <c r="XO39" s="206" t="s">
        <v>7992</v>
      </c>
      <c r="XP39" s="206" t="s">
        <v>7992</v>
      </c>
      <c r="XQ39" s="206" t="s">
        <v>7992</v>
      </c>
      <c r="XR39" s="206" t="s">
        <v>7992</v>
      </c>
      <c r="XS39" s="206" t="s">
        <v>7992</v>
      </c>
      <c r="XT39" s="206" t="s">
        <v>7992</v>
      </c>
      <c r="XU39" s="206" t="s">
        <v>7992</v>
      </c>
      <c r="XV39" s="206" t="s">
        <v>7992</v>
      </c>
      <c r="XW39" s="206" t="s">
        <v>7992</v>
      </c>
      <c r="XX39" s="206" t="s">
        <v>7992</v>
      </c>
      <c r="XY39" s="206" t="s">
        <v>7992</v>
      </c>
      <c r="XZ39" s="206" t="s">
        <v>7992</v>
      </c>
      <c r="YA39" s="206" t="s">
        <v>7992</v>
      </c>
      <c r="YB39" s="206" t="s">
        <v>7992</v>
      </c>
      <c r="YC39" s="206" t="s">
        <v>7992</v>
      </c>
      <c r="YD39" s="206" t="s">
        <v>7992</v>
      </c>
      <c r="YE39" s="206" t="s">
        <v>7992</v>
      </c>
      <c r="YF39" s="206" t="s">
        <v>7992</v>
      </c>
      <c r="YG39" s="206" t="s">
        <v>7992</v>
      </c>
      <c r="YH39" s="206" t="s">
        <v>7992</v>
      </c>
      <c r="YI39" s="206" t="s">
        <v>7992</v>
      </c>
      <c r="YJ39" s="206" t="s">
        <v>7992</v>
      </c>
      <c r="YK39" s="206" t="s">
        <v>7992</v>
      </c>
      <c r="YL39" s="206" t="s">
        <v>7992</v>
      </c>
      <c r="YM39" s="206" t="s">
        <v>7992</v>
      </c>
      <c r="YN39" s="206" t="s">
        <v>7992</v>
      </c>
      <c r="YO39" s="206" t="s">
        <v>7992</v>
      </c>
      <c r="YP39" s="206" t="s">
        <v>7992</v>
      </c>
      <c r="YQ39" s="206" t="s">
        <v>7992</v>
      </c>
      <c r="YR39" s="206" t="s">
        <v>7992</v>
      </c>
      <c r="YS39" s="206" t="s">
        <v>7992</v>
      </c>
      <c r="YT39" s="206" t="s">
        <v>7992</v>
      </c>
      <c r="YU39" s="206" t="s">
        <v>7992</v>
      </c>
      <c r="YV39" s="206" t="s">
        <v>7992</v>
      </c>
      <c r="YW39" s="206" t="s">
        <v>7992</v>
      </c>
      <c r="YX39" s="206" t="s">
        <v>7992</v>
      </c>
      <c r="YY39" s="206" t="s">
        <v>7992</v>
      </c>
      <c r="YZ39" s="206" t="s">
        <v>7992</v>
      </c>
      <c r="ZA39" s="206" t="s">
        <v>7992</v>
      </c>
      <c r="ZB39" s="206" t="s">
        <v>7992</v>
      </c>
      <c r="ZC39" s="206" t="s">
        <v>7992</v>
      </c>
      <c r="ZD39" s="206" t="s">
        <v>7992</v>
      </c>
      <c r="ZE39" s="206" t="s">
        <v>7992</v>
      </c>
      <c r="ZF39" s="206" t="s">
        <v>7992</v>
      </c>
      <c r="ZG39" s="206" t="s">
        <v>7992</v>
      </c>
      <c r="ZH39" s="206" t="s">
        <v>7992</v>
      </c>
      <c r="ZI39" s="206" t="s">
        <v>7992</v>
      </c>
      <c r="ZJ39" s="206" t="s">
        <v>7992</v>
      </c>
      <c r="ZK39" s="206" t="s">
        <v>7992</v>
      </c>
      <c r="ZL39" s="206" t="s">
        <v>7992</v>
      </c>
      <c r="ZM39" s="206" t="s">
        <v>7992</v>
      </c>
      <c r="ZN39" s="206" t="s">
        <v>7992</v>
      </c>
      <c r="ZO39" s="206" t="s">
        <v>7992</v>
      </c>
      <c r="ZP39" s="206" t="s">
        <v>7992</v>
      </c>
      <c r="ZQ39" s="206" t="s">
        <v>7992</v>
      </c>
      <c r="ZR39" s="206" t="s">
        <v>7992</v>
      </c>
      <c r="ZS39" s="206" t="s">
        <v>7992</v>
      </c>
      <c r="ZT39" s="206" t="s">
        <v>7992</v>
      </c>
      <c r="ZU39" s="206" t="s">
        <v>7992</v>
      </c>
      <c r="ZV39" s="206" t="s">
        <v>7992</v>
      </c>
      <c r="ZW39" s="206" t="s">
        <v>7992</v>
      </c>
      <c r="ZX39" s="206" t="s">
        <v>7992</v>
      </c>
      <c r="ZY39" s="206" t="s">
        <v>7992</v>
      </c>
      <c r="ZZ39" s="206" t="s">
        <v>7992</v>
      </c>
      <c r="AAA39" s="206" t="s">
        <v>7992</v>
      </c>
      <c r="AAB39" s="206" t="s">
        <v>7992</v>
      </c>
      <c r="AAC39" s="206" t="s">
        <v>7992</v>
      </c>
      <c r="AAD39" s="206" t="s">
        <v>7992</v>
      </c>
      <c r="AAE39" s="206" t="s">
        <v>7992</v>
      </c>
    </row>
    <row r="40" spans="1:707" s="206" customFormat="1" x14ac:dyDescent="0.25">
      <c r="A40" s="203" t="s">
        <v>3331</v>
      </c>
      <c r="B40" s="225" t="s">
        <v>7992</v>
      </c>
      <c r="C40" s="225" t="s">
        <v>7992</v>
      </c>
      <c r="D40" s="225" t="s">
        <v>7992</v>
      </c>
      <c r="E40" s="225" t="s">
        <v>7992</v>
      </c>
      <c r="F40" s="225" t="s">
        <v>7992</v>
      </c>
      <c r="G40" s="225" t="s">
        <v>7992</v>
      </c>
      <c r="H40" s="227" t="s">
        <v>7992</v>
      </c>
      <c r="I40" s="227" t="s">
        <v>7992</v>
      </c>
      <c r="J40" s="227" t="s">
        <v>7992</v>
      </c>
      <c r="K40" s="206" t="s">
        <v>7992</v>
      </c>
      <c r="L40" s="206" t="s">
        <v>7992</v>
      </c>
      <c r="M40" s="208" t="s">
        <v>7992</v>
      </c>
      <c r="N40" s="206" t="s">
        <v>7992</v>
      </c>
      <c r="O40" s="208" t="s">
        <v>7992</v>
      </c>
      <c r="P40" s="206" t="s">
        <v>7992</v>
      </c>
      <c r="Q40" s="206" t="s">
        <v>7992</v>
      </c>
      <c r="R40" s="206" t="s">
        <v>7992</v>
      </c>
      <c r="S40" s="206" t="s">
        <v>7992</v>
      </c>
      <c r="T40" s="206" t="s">
        <v>7992</v>
      </c>
      <c r="U40" s="206" t="s">
        <v>7992</v>
      </c>
      <c r="V40" s="206" t="s">
        <v>7992</v>
      </c>
      <c r="W40" s="206" t="s">
        <v>7992</v>
      </c>
      <c r="X40" s="206" t="s">
        <v>7992</v>
      </c>
      <c r="Y40" s="206" t="s">
        <v>7992</v>
      </c>
      <c r="Z40" s="167" t="s">
        <v>7992</v>
      </c>
      <c r="AA40" s="206" t="s">
        <v>7992</v>
      </c>
      <c r="AB40" s="206" t="s">
        <v>7992</v>
      </c>
      <c r="AC40" s="206" t="s">
        <v>7992</v>
      </c>
      <c r="AD40" s="206" t="s">
        <v>7992</v>
      </c>
      <c r="AE40" s="206" t="s">
        <v>7992</v>
      </c>
      <c r="AF40" s="206" t="s">
        <v>7992</v>
      </c>
      <c r="AG40" s="206" t="s">
        <v>7992</v>
      </c>
      <c r="AH40" s="206" t="s">
        <v>7992</v>
      </c>
      <c r="AI40" s="206" t="s">
        <v>7992</v>
      </c>
      <c r="AJ40" s="206" t="s">
        <v>7992</v>
      </c>
      <c r="AK40" s="206" t="s">
        <v>7992</v>
      </c>
      <c r="AL40" s="206" t="s">
        <v>7992</v>
      </c>
      <c r="AM40" s="206" t="s">
        <v>7992</v>
      </c>
      <c r="AN40" s="206" t="s">
        <v>7992</v>
      </c>
      <c r="AO40" s="206" t="s">
        <v>7992</v>
      </c>
      <c r="AP40" s="206" t="s">
        <v>7992</v>
      </c>
      <c r="AQ40" s="206" t="s">
        <v>7992</v>
      </c>
      <c r="AR40" s="206" t="s">
        <v>7992</v>
      </c>
      <c r="AS40" s="206" t="s">
        <v>7992</v>
      </c>
      <c r="AT40" s="206" t="s">
        <v>7992</v>
      </c>
      <c r="AU40" s="206" t="s">
        <v>7992</v>
      </c>
      <c r="AV40" s="206" t="s">
        <v>7992</v>
      </c>
      <c r="AW40" s="167" t="s">
        <v>7992</v>
      </c>
      <c r="AX40" s="206" t="s">
        <v>7992</v>
      </c>
      <c r="AY40" s="206" t="s">
        <v>7992</v>
      </c>
      <c r="AZ40" s="206" t="s">
        <v>7992</v>
      </c>
      <c r="BA40" s="206" t="s">
        <v>7992</v>
      </c>
      <c r="BB40" s="206" t="s">
        <v>7992</v>
      </c>
      <c r="BC40" s="206" t="s">
        <v>7992</v>
      </c>
      <c r="BD40" s="206" t="s">
        <v>7992</v>
      </c>
      <c r="BE40" s="206" t="s">
        <v>7992</v>
      </c>
      <c r="BF40" s="206" t="s">
        <v>7992</v>
      </c>
      <c r="BG40" s="206" t="s">
        <v>7992</v>
      </c>
      <c r="BH40" s="206" t="s">
        <v>7992</v>
      </c>
      <c r="BI40" s="206" t="s">
        <v>7992</v>
      </c>
      <c r="BJ40" s="206" t="s">
        <v>7992</v>
      </c>
      <c r="BK40" s="206" t="s">
        <v>7992</v>
      </c>
      <c r="BL40" s="206" t="s">
        <v>7992</v>
      </c>
      <c r="BM40" s="206" t="s">
        <v>7992</v>
      </c>
      <c r="BN40" s="206" t="s">
        <v>7992</v>
      </c>
      <c r="BO40" s="206" t="s">
        <v>7992</v>
      </c>
      <c r="BP40" s="206" t="s">
        <v>7992</v>
      </c>
      <c r="BQ40" s="206" t="s">
        <v>7992</v>
      </c>
      <c r="BR40" s="206" t="s">
        <v>7992</v>
      </c>
      <c r="BS40" s="206" t="s">
        <v>7992</v>
      </c>
      <c r="BT40" s="206" t="s">
        <v>7992</v>
      </c>
      <c r="BU40" s="206" t="s">
        <v>7992</v>
      </c>
      <c r="BV40" s="206" t="s">
        <v>7992</v>
      </c>
      <c r="BW40" s="206" t="s">
        <v>7992</v>
      </c>
      <c r="BX40" s="206" t="s">
        <v>7992</v>
      </c>
      <c r="BY40" s="206" t="s">
        <v>7992</v>
      </c>
      <c r="BZ40" s="206" t="s">
        <v>7992</v>
      </c>
      <c r="CA40" s="206" t="s">
        <v>7992</v>
      </c>
      <c r="CB40" s="206" t="s">
        <v>7992</v>
      </c>
      <c r="CC40" s="206" t="s">
        <v>7992</v>
      </c>
      <c r="CD40" s="206" t="s">
        <v>7992</v>
      </c>
      <c r="CE40" s="206" t="s">
        <v>7992</v>
      </c>
      <c r="CF40" s="206" t="s">
        <v>7992</v>
      </c>
      <c r="CG40" s="206" t="s">
        <v>7992</v>
      </c>
      <c r="CH40" s="206" t="s">
        <v>7992</v>
      </c>
      <c r="CI40" s="206" t="s">
        <v>7992</v>
      </c>
      <c r="CJ40" s="206" t="s">
        <v>7992</v>
      </c>
      <c r="CK40" s="206" t="s">
        <v>7992</v>
      </c>
      <c r="CL40" s="206" t="s">
        <v>7992</v>
      </c>
      <c r="CM40" s="206" t="s">
        <v>7992</v>
      </c>
      <c r="CN40" s="206" t="s">
        <v>7992</v>
      </c>
      <c r="CO40" s="206" t="s">
        <v>7992</v>
      </c>
      <c r="CP40" s="206" t="s">
        <v>7992</v>
      </c>
      <c r="CQ40" s="206" t="s">
        <v>7992</v>
      </c>
      <c r="CR40" s="206" t="s">
        <v>7992</v>
      </c>
      <c r="CS40" s="206" t="s">
        <v>7992</v>
      </c>
      <c r="CT40" s="206" t="s">
        <v>7992</v>
      </c>
      <c r="CU40" s="206" t="s">
        <v>7992</v>
      </c>
      <c r="CV40" s="206" t="s">
        <v>7992</v>
      </c>
      <c r="CW40" s="206" t="s">
        <v>7992</v>
      </c>
      <c r="CX40" s="206" t="s">
        <v>7992</v>
      </c>
      <c r="CY40" s="206" t="s">
        <v>7992</v>
      </c>
      <c r="CZ40" s="206" t="s">
        <v>7992</v>
      </c>
      <c r="DA40" s="206" t="s">
        <v>7992</v>
      </c>
      <c r="DB40" s="206" t="s">
        <v>7992</v>
      </c>
      <c r="DC40" s="206" t="s">
        <v>7992</v>
      </c>
      <c r="DD40" s="206" t="s">
        <v>7992</v>
      </c>
      <c r="DE40" s="206" t="s">
        <v>7992</v>
      </c>
      <c r="DF40" s="206" t="s">
        <v>7992</v>
      </c>
      <c r="DG40" s="206" t="s">
        <v>7992</v>
      </c>
      <c r="DH40" s="206" t="s">
        <v>7992</v>
      </c>
      <c r="DI40" s="206" t="s">
        <v>7992</v>
      </c>
      <c r="DJ40" s="206" t="s">
        <v>7992</v>
      </c>
      <c r="DK40" s="206" t="s">
        <v>7992</v>
      </c>
      <c r="DL40" s="206" t="s">
        <v>7992</v>
      </c>
      <c r="DM40" s="206" t="s">
        <v>7992</v>
      </c>
      <c r="DN40" s="206" t="s">
        <v>7992</v>
      </c>
      <c r="DO40" s="206" t="s">
        <v>7992</v>
      </c>
      <c r="DP40" s="206" t="s">
        <v>7992</v>
      </c>
      <c r="DQ40" s="206" t="s">
        <v>7992</v>
      </c>
      <c r="DR40" s="206" t="s">
        <v>7992</v>
      </c>
      <c r="DS40" s="206" t="s">
        <v>7992</v>
      </c>
      <c r="DT40" s="206" t="s">
        <v>7992</v>
      </c>
      <c r="DU40" s="206" t="s">
        <v>7992</v>
      </c>
      <c r="DV40" s="206" t="s">
        <v>7992</v>
      </c>
      <c r="DW40" s="206" t="s">
        <v>7992</v>
      </c>
      <c r="DX40" s="206" t="s">
        <v>7992</v>
      </c>
      <c r="DY40" s="206" t="s">
        <v>7992</v>
      </c>
      <c r="DZ40" s="206" t="s">
        <v>7992</v>
      </c>
      <c r="EA40" s="206" t="s">
        <v>7992</v>
      </c>
      <c r="EB40" s="206" t="s">
        <v>7992</v>
      </c>
      <c r="EC40" s="206" t="s">
        <v>7992</v>
      </c>
      <c r="ED40" s="206" t="s">
        <v>7992</v>
      </c>
      <c r="EE40" s="206" t="s">
        <v>7992</v>
      </c>
      <c r="EF40" s="206" t="s">
        <v>7992</v>
      </c>
      <c r="EG40" s="206" t="s">
        <v>7992</v>
      </c>
      <c r="EH40" s="206" t="s">
        <v>7992</v>
      </c>
      <c r="EI40" s="206" t="s">
        <v>7992</v>
      </c>
      <c r="EJ40" s="206" t="s">
        <v>7992</v>
      </c>
      <c r="EK40" s="206" t="s">
        <v>7992</v>
      </c>
      <c r="EL40" s="206" t="s">
        <v>7992</v>
      </c>
      <c r="EM40" s="206" t="s">
        <v>7992</v>
      </c>
      <c r="EN40" s="206" t="s">
        <v>7992</v>
      </c>
      <c r="EO40" s="206" t="s">
        <v>7992</v>
      </c>
      <c r="EP40" s="206" t="s">
        <v>7992</v>
      </c>
      <c r="EQ40" s="206" t="s">
        <v>7992</v>
      </c>
      <c r="ER40" s="206" t="s">
        <v>7992</v>
      </c>
      <c r="ES40" s="206" t="s">
        <v>7992</v>
      </c>
      <c r="ET40" s="206" t="s">
        <v>7992</v>
      </c>
      <c r="EU40" s="206" t="s">
        <v>7992</v>
      </c>
      <c r="EV40" s="206" t="s">
        <v>7992</v>
      </c>
      <c r="EW40" s="206" t="s">
        <v>7992</v>
      </c>
      <c r="EX40" s="206" t="s">
        <v>7992</v>
      </c>
      <c r="EY40" s="206" t="s">
        <v>7992</v>
      </c>
      <c r="EZ40" s="206" t="s">
        <v>7992</v>
      </c>
      <c r="FA40" s="206" t="s">
        <v>7992</v>
      </c>
      <c r="FB40" s="206" t="s">
        <v>7992</v>
      </c>
      <c r="FC40" s="206" t="s">
        <v>7992</v>
      </c>
      <c r="FD40" s="206" t="s">
        <v>7992</v>
      </c>
      <c r="FE40" s="206" t="s">
        <v>7992</v>
      </c>
      <c r="FF40" s="206" t="s">
        <v>7992</v>
      </c>
      <c r="FG40" s="206" t="s">
        <v>7992</v>
      </c>
      <c r="FH40" s="206" t="s">
        <v>7992</v>
      </c>
      <c r="FI40" s="206" t="s">
        <v>7992</v>
      </c>
      <c r="FJ40" s="206" t="s">
        <v>7992</v>
      </c>
      <c r="FK40" s="206" t="s">
        <v>7992</v>
      </c>
      <c r="FL40" s="206" t="s">
        <v>7992</v>
      </c>
      <c r="FM40" s="206" t="s">
        <v>7992</v>
      </c>
      <c r="FN40" s="206" t="s">
        <v>7992</v>
      </c>
      <c r="FO40" s="206" t="s">
        <v>7992</v>
      </c>
      <c r="FP40" s="206" t="s">
        <v>7992</v>
      </c>
      <c r="FQ40" s="206" t="s">
        <v>7992</v>
      </c>
      <c r="FR40" s="206" t="s">
        <v>7992</v>
      </c>
      <c r="FS40" s="206" t="s">
        <v>7992</v>
      </c>
      <c r="FT40" s="206" t="s">
        <v>7992</v>
      </c>
      <c r="FU40" s="206" t="s">
        <v>7992</v>
      </c>
      <c r="FV40" s="206" t="s">
        <v>7992</v>
      </c>
      <c r="FW40" s="206" t="s">
        <v>7992</v>
      </c>
      <c r="FX40" s="206" t="s">
        <v>7992</v>
      </c>
      <c r="FY40" s="206" t="s">
        <v>7992</v>
      </c>
      <c r="FZ40" s="206" t="s">
        <v>7992</v>
      </c>
      <c r="GA40" s="206" t="s">
        <v>7992</v>
      </c>
      <c r="GB40" s="206" t="s">
        <v>7992</v>
      </c>
      <c r="GC40" s="206" t="s">
        <v>7992</v>
      </c>
      <c r="GD40" s="206" t="s">
        <v>7992</v>
      </c>
      <c r="GE40" s="206" t="s">
        <v>7992</v>
      </c>
      <c r="GF40" s="206" t="s">
        <v>7992</v>
      </c>
      <c r="GG40" s="206" t="s">
        <v>7992</v>
      </c>
      <c r="GH40" s="206" t="s">
        <v>7992</v>
      </c>
      <c r="GI40" s="206" t="s">
        <v>7992</v>
      </c>
      <c r="GJ40" s="206" t="s">
        <v>7992</v>
      </c>
      <c r="GK40" s="206" t="s">
        <v>7992</v>
      </c>
      <c r="GL40" s="206" t="s">
        <v>7992</v>
      </c>
      <c r="GM40" s="206" t="s">
        <v>7992</v>
      </c>
      <c r="GN40" s="206" t="s">
        <v>7992</v>
      </c>
      <c r="GO40" s="206" t="s">
        <v>7992</v>
      </c>
      <c r="GP40" s="206" t="s">
        <v>7992</v>
      </c>
      <c r="GQ40" s="206" t="s">
        <v>7992</v>
      </c>
      <c r="GR40" s="206" t="s">
        <v>7992</v>
      </c>
      <c r="GS40" s="206" t="s">
        <v>7992</v>
      </c>
      <c r="GT40" s="206" t="s">
        <v>7992</v>
      </c>
      <c r="GU40" s="206" t="s">
        <v>7992</v>
      </c>
      <c r="GV40" s="206" t="s">
        <v>7992</v>
      </c>
      <c r="GW40" s="206" t="s">
        <v>7992</v>
      </c>
      <c r="GX40" s="206" t="s">
        <v>7992</v>
      </c>
      <c r="GY40" s="206" t="s">
        <v>7992</v>
      </c>
      <c r="GZ40" s="206" t="s">
        <v>7992</v>
      </c>
      <c r="HA40" s="206" t="s">
        <v>7992</v>
      </c>
      <c r="HB40" s="206" t="s">
        <v>7992</v>
      </c>
      <c r="HC40" s="206" t="s">
        <v>7992</v>
      </c>
      <c r="HD40" s="206" t="s">
        <v>7992</v>
      </c>
      <c r="HE40" s="206" t="s">
        <v>7992</v>
      </c>
      <c r="HF40" s="206" t="s">
        <v>7992</v>
      </c>
      <c r="HG40" s="206" t="s">
        <v>7992</v>
      </c>
      <c r="HH40" s="206" t="s">
        <v>7992</v>
      </c>
      <c r="HI40" s="206" t="s">
        <v>7992</v>
      </c>
      <c r="HJ40" s="206" t="s">
        <v>7992</v>
      </c>
      <c r="HK40" s="206" t="s">
        <v>7992</v>
      </c>
      <c r="HL40" s="206" t="s">
        <v>7992</v>
      </c>
      <c r="HM40" s="206" t="s">
        <v>7992</v>
      </c>
      <c r="HN40" s="206" t="s">
        <v>7992</v>
      </c>
      <c r="HO40" s="206" t="s">
        <v>7992</v>
      </c>
      <c r="HP40" s="206" t="s">
        <v>7992</v>
      </c>
      <c r="HQ40" s="206" t="s">
        <v>7992</v>
      </c>
      <c r="HR40" s="206" t="s">
        <v>7992</v>
      </c>
      <c r="HS40" s="206" t="s">
        <v>7992</v>
      </c>
      <c r="HT40" s="206" t="s">
        <v>7992</v>
      </c>
      <c r="HU40" s="206" t="s">
        <v>7992</v>
      </c>
      <c r="HV40" s="206" t="s">
        <v>7992</v>
      </c>
      <c r="HW40" s="206" t="s">
        <v>7992</v>
      </c>
      <c r="HX40" s="206" t="s">
        <v>7992</v>
      </c>
      <c r="HY40" s="206" t="s">
        <v>7992</v>
      </c>
      <c r="HZ40" s="206" t="s">
        <v>7992</v>
      </c>
      <c r="IA40" s="206" t="s">
        <v>7992</v>
      </c>
      <c r="IB40" s="206" t="s">
        <v>7992</v>
      </c>
      <c r="IC40" s="206" t="s">
        <v>7992</v>
      </c>
      <c r="ID40" s="206" t="s">
        <v>7992</v>
      </c>
      <c r="IE40" s="206" t="s">
        <v>7992</v>
      </c>
      <c r="IF40" s="206" t="s">
        <v>7992</v>
      </c>
      <c r="IG40" s="206" t="s">
        <v>7992</v>
      </c>
      <c r="IH40" s="206" t="s">
        <v>7992</v>
      </c>
      <c r="II40" s="206" t="s">
        <v>7992</v>
      </c>
      <c r="IJ40" s="206" t="s">
        <v>7992</v>
      </c>
      <c r="IK40" s="206" t="s">
        <v>7992</v>
      </c>
      <c r="IL40" s="206" t="s">
        <v>7992</v>
      </c>
      <c r="IM40" s="206" t="s">
        <v>7992</v>
      </c>
      <c r="IN40" s="206" t="s">
        <v>7992</v>
      </c>
      <c r="IO40" s="206" t="s">
        <v>7992</v>
      </c>
      <c r="IP40" s="206" t="s">
        <v>7992</v>
      </c>
      <c r="IQ40" s="206" t="s">
        <v>7992</v>
      </c>
      <c r="IR40" s="206" t="s">
        <v>7992</v>
      </c>
      <c r="IS40" s="206" t="s">
        <v>7992</v>
      </c>
      <c r="IT40" s="206" t="s">
        <v>7992</v>
      </c>
      <c r="IU40" s="206" t="s">
        <v>7992</v>
      </c>
      <c r="IV40" s="206" t="s">
        <v>7992</v>
      </c>
      <c r="IW40" s="206" t="s">
        <v>7992</v>
      </c>
      <c r="IX40" s="206" t="s">
        <v>7992</v>
      </c>
      <c r="IY40" s="206" t="s">
        <v>7992</v>
      </c>
      <c r="IZ40" s="206" t="s">
        <v>7992</v>
      </c>
      <c r="JA40" s="206" t="s">
        <v>7992</v>
      </c>
      <c r="JB40" s="206" t="s">
        <v>7992</v>
      </c>
      <c r="JC40" s="206" t="s">
        <v>7992</v>
      </c>
      <c r="JD40" s="206" t="s">
        <v>7992</v>
      </c>
      <c r="JE40" s="206" t="s">
        <v>7992</v>
      </c>
      <c r="JF40" s="206" t="s">
        <v>7992</v>
      </c>
      <c r="JG40" s="206" t="s">
        <v>7992</v>
      </c>
      <c r="JH40" s="206" t="s">
        <v>7992</v>
      </c>
      <c r="JI40" s="206" t="s">
        <v>7992</v>
      </c>
      <c r="JJ40" s="206" t="s">
        <v>7992</v>
      </c>
      <c r="JK40" s="206" t="s">
        <v>7992</v>
      </c>
      <c r="JL40" s="206" t="s">
        <v>7992</v>
      </c>
      <c r="JM40" s="206" t="s">
        <v>7992</v>
      </c>
      <c r="JN40" s="206" t="s">
        <v>7992</v>
      </c>
      <c r="JO40" s="206" t="s">
        <v>7992</v>
      </c>
      <c r="JP40" s="206" t="s">
        <v>7992</v>
      </c>
      <c r="JQ40" s="206" t="s">
        <v>7992</v>
      </c>
      <c r="JR40" s="206" t="s">
        <v>7992</v>
      </c>
      <c r="JS40" s="206" t="s">
        <v>7992</v>
      </c>
      <c r="JT40" s="206" t="s">
        <v>7992</v>
      </c>
      <c r="JU40" s="206" t="s">
        <v>7992</v>
      </c>
      <c r="JV40" s="206" t="s">
        <v>7992</v>
      </c>
      <c r="JW40" s="206" t="s">
        <v>7992</v>
      </c>
      <c r="JX40" s="206" t="s">
        <v>7992</v>
      </c>
      <c r="JY40" s="206" t="s">
        <v>7992</v>
      </c>
      <c r="JZ40" s="206" t="s">
        <v>7992</v>
      </c>
      <c r="KA40" s="206" t="s">
        <v>7992</v>
      </c>
      <c r="KB40" s="206" t="s">
        <v>7992</v>
      </c>
      <c r="KC40" s="206" t="s">
        <v>7992</v>
      </c>
      <c r="KD40" s="206" t="s">
        <v>7992</v>
      </c>
      <c r="KE40" s="206" t="s">
        <v>7992</v>
      </c>
      <c r="KF40" s="206" t="s">
        <v>7992</v>
      </c>
      <c r="KG40" s="206" t="s">
        <v>7992</v>
      </c>
      <c r="KH40" s="206" t="s">
        <v>7992</v>
      </c>
      <c r="KI40" s="206" t="s">
        <v>7992</v>
      </c>
      <c r="KJ40" s="206" t="s">
        <v>7992</v>
      </c>
      <c r="KK40" s="206" t="s">
        <v>7992</v>
      </c>
      <c r="KL40" s="206" t="s">
        <v>7992</v>
      </c>
      <c r="KM40" s="206" t="s">
        <v>7992</v>
      </c>
      <c r="KN40" s="206" t="s">
        <v>7992</v>
      </c>
      <c r="KO40" s="206" t="s">
        <v>7992</v>
      </c>
      <c r="KP40" s="206" t="s">
        <v>7992</v>
      </c>
      <c r="KQ40" s="206" t="s">
        <v>7992</v>
      </c>
      <c r="KR40" s="206" t="s">
        <v>7992</v>
      </c>
      <c r="KS40" s="206" t="s">
        <v>7992</v>
      </c>
      <c r="KT40" s="206" t="s">
        <v>7992</v>
      </c>
      <c r="KU40" s="206" t="s">
        <v>7992</v>
      </c>
      <c r="KV40" s="206" t="s">
        <v>7992</v>
      </c>
      <c r="KW40" s="206" t="s">
        <v>7992</v>
      </c>
      <c r="KX40" s="206" t="s">
        <v>7992</v>
      </c>
      <c r="KY40" s="206" t="s">
        <v>7992</v>
      </c>
      <c r="KZ40" s="206" t="s">
        <v>7992</v>
      </c>
      <c r="LA40" s="206" t="s">
        <v>7992</v>
      </c>
      <c r="LB40" s="206" t="s">
        <v>7992</v>
      </c>
      <c r="LC40" s="206" t="s">
        <v>7992</v>
      </c>
      <c r="LD40" s="206" t="s">
        <v>7992</v>
      </c>
      <c r="LE40" s="206" t="s">
        <v>7992</v>
      </c>
      <c r="LF40" s="206" t="s">
        <v>7992</v>
      </c>
      <c r="LG40" s="206" t="s">
        <v>7992</v>
      </c>
      <c r="LH40" s="206" t="s">
        <v>7992</v>
      </c>
      <c r="LI40" s="206" t="s">
        <v>7992</v>
      </c>
      <c r="LJ40" s="206" t="s">
        <v>7992</v>
      </c>
      <c r="LK40" s="206" t="s">
        <v>7992</v>
      </c>
      <c r="LL40" s="206" t="s">
        <v>7992</v>
      </c>
      <c r="LM40" s="206" t="s">
        <v>7992</v>
      </c>
      <c r="LN40" s="206" t="s">
        <v>7992</v>
      </c>
      <c r="LO40" s="206" t="s">
        <v>7992</v>
      </c>
      <c r="LP40" s="206" t="s">
        <v>7992</v>
      </c>
      <c r="LQ40" s="206" t="s">
        <v>7992</v>
      </c>
      <c r="LR40" s="206" t="s">
        <v>7992</v>
      </c>
      <c r="LS40" s="206" t="s">
        <v>7992</v>
      </c>
      <c r="LT40" s="206" t="s">
        <v>7992</v>
      </c>
      <c r="LU40" s="206" t="s">
        <v>7992</v>
      </c>
      <c r="LV40" s="206" t="s">
        <v>7992</v>
      </c>
      <c r="LW40" s="206" t="s">
        <v>7992</v>
      </c>
      <c r="LX40" s="206" t="s">
        <v>7992</v>
      </c>
      <c r="LY40" s="206" t="s">
        <v>7992</v>
      </c>
      <c r="LZ40" s="206" t="s">
        <v>7992</v>
      </c>
      <c r="MA40" s="206" t="s">
        <v>7992</v>
      </c>
      <c r="MB40" s="206" t="s">
        <v>7992</v>
      </c>
      <c r="MC40" s="206" t="s">
        <v>7992</v>
      </c>
      <c r="MD40" s="206" t="s">
        <v>7992</v>
      </c>
      <c r="ME40" s="206" t="s">
        <v>7992</v>
      </c>
      <c r="MF40" s="206" t="s">
        <v>7992</v>
      </c>
      <c r="MG40" s="206" t="s">
        <v>7992</v>
      </c>
      <c r="MH40" s="206" t="s">
        <v>7992</v>
      </c>
      <c r="MI40" s="206" t="s">
        <v>7992</v>
      </c>
      <c r="MJ40" s="206" t="s">
        <v>7992</v>
      </c>
      <c r="MK40" s="206" t="s">
        <v>7992</v>
      </c>
      <c r="ML40" s="206" t="s">
        <v>7992</v>
      </c>
      <c r="MM40" s="206" t="s">
        <v>7992</v>
      </c>
      <c r="MN40" s="206" t="s">
        <v>7992</v>
      </c>
      <c r="MO40" s="206" t="s">
        <v>7992</v>
      </c>
      <c r="MP40" s="206" t="s">
        <v>7992</v>
      </c>
      <c r="MQ40" s="206" t="s">
        <v>7992</v>
      </c>
      <c r="MR40" s="206" t="s">
        <v>7992</v>
      </c>
      <c r="MS40" s="206" t="s">
        <v>7992</v>
      </c>
      <c r="MT40" s="206" t="s">
        <v>7992</v>
      </c>
      <c r="MU40" s="206" t="s">
        <v>7992</v>
      </c>
      <c r="MV40" s="206" t="s">
        <v>7992</v>
      </c>
      <c r="MW40" s="206" t="s">
        <v>7992</v>
      </c>
      <c r="MX40" s="206" t="s">
        <v>7992</v>
      </c>
      <c r="MY40" s="206" t="s">
        <v>7992</v>
      </c>
      <c r="MZ40" s="206" t="s">
        <v>7992</v>
      </c>
      <c r="NA40" s="206" t="s">
        <v>7992</v>
      </c>
      <c r="NB40" s="206" t="s">
        <v>7992</v>
      </c>
      <c r="NC40" s="206" t="s">
        <v>7992</v>
      </c>
      <c r="ND40" s="206" t="s">
        <v>7992</v>
      </c>
      <c r="NE40" s="206" t="s">
        <v>7992</v>
      </c>
      <c r="NF40" s="206" t="s">
        <v>7992</v>
      </c>
      <c r="NG40" s="206" t="s">
        <v>7992</v>
      </c>
      <c r="NH40" s="206" t="s">
        <v>7992</v>
      </c>
      <c r="NI40" s="206" t="s">
        <v>7992</v>
      </c>
      <c r="NJ40" s="206" t="s">
        <v>7992</v>
      </c>
      <c r="NK40" s="206" t="s">
        <v>7992</v>
      </c>
      <c r="NL40" s="206" t="s">
        <v>7992</v>
      </c>
      <c r="NM40" s="206" t="s">
        <v>7992</v>
      </c>
      <c r="NN40" s="206" t="s">
        <v>7992</v>
      </c>
      <c r="NO40" s="206" t="s">
        <v>7992</v>
      </c>
      <c r="NP40" s="206" t="s">
        <v>7992</v>
      </c>
      <c r="NQ40" s="206" t="s">
        <v>7992</v>
      </c>
      <c r="NR40" s="206" t="s">
        <v>7992</v>
      </c>
      <c r="NS40" s="206" t="s">
        <v>7992</v>
      </c>
      <c r="NT40" s="206" t="s">
        <v>7992</v>
      </c>
      <c r="NU40" s="206" t="s">
        <v>7992</v>
      </c>
      <c r="NV40" s="206" t="s">
        <v>7992</v>
      </c>
      <c r="NW40" s="206" t="s">
        <v>7992</v>
      </c>
      <c r="NX40" s="206" t="s">
        <v>7992</v>
      </c>
      <c r="NY40" s="206" t="s">
        <v>7992</v>
      </c>
      <c r="NZ40" s="206" t="s">
        <v>7992</v>
      </c>
      <c r="OA40" s="206" t="s">
        <v>7992</v>
      </c>
      <c r="OB40" s="206" t="s">
        <v>7992</v>
      </c>
      <c r="OC40" s="206" t="s">
        <v>7992</v>
      </c>
      <c r="OD40" s="206" t="s">
        <v>7992</v>
      </c>
      <c r="OE40" s="206" t="s">
        <v>7992</v>
      </c>
      <c r="OF40" s="206" t="s">
        <v>7992</v>
      </c>
      <c r="OG40" s="206" t="s">
        <v>7992</v>
      </c>
      <c r="OH40" s="206" t="s">
        <v>7992</v>
      </c>
      <c r="OI40" s="206" t="s">
        <v>7992</v>
      </c>
      <c r="OJ40" s="206" t="s">
        <v>7992</v>
      </c>
      <c r="OK40" s="206" t="s">
        <v>7992</v>
      </c>
      <c r="OL40" s="206" t="s">
        <v>7992</v>
      </c>
      <c r="OM40" s="206" t="s">
        <v>7992</v>
      </c>
      <c r="ON40" s="206" t="s">
        <v>7992</v>
      </c>
      <c r="OO40" s="206" t="s">
        <v>7992</v>
      </c>
      <c r="OP40" s="206" t="s">
        <v>7992</v>
      </c>
      <c r="OQ40" s="206" t="s">
        <v>7992</v>
      </c>
      <c r="OR40" s="206" t="s">
        <v>7992</v>
      </c>
      <c r="OS40" s="206" t="s">
        <v>7992</v>
      </c>
      <c r="OT40" s="206" t="s">
        <v>7992</v>
      </c>
      <c r="OU40" s="206" t="s">
        <v>7992</v>
      </c>
      <c r="OV40" s="206" t="s">
        <v>7992</v>
      </c>
      <c r="OW40" s="206" t="s">
        <v>7992</v>
      </c>
      <c r="OX40" s="206" t="s">
        <v>7992</v>
      </c>
      <c r="OY40" s="206" t="s">
        <v>7992</v>
      </c>
      <c r="OZ40" s="206" t="s">
        <v>7992</v>
      </c>
      <c r="PA40" s="206" t="s">
        <v>7992</v>
      </c>
      <c r="PB40" s="206" t="s">
        <v>7992</v>
      </c>
      <c r="PC40" s="206" t="s">
        <v>7992</v>
      </c>
      <c r="PD40" s="206" t="s">
        <v>7992</v>
      </c>
      <c r="PE40" s="206" t="s">
        <v>7992</v>
      </c>
      <c r="PF40" s="206" t="s">
        <v>7992</v>
      </c>
      <c r="PG40" s="206" t="s">
        <v>7992</v>
      </c>
      <c r="PH40" s="206" t="s">
        <v>7992</v>
      </c>
      <c r="PI40" s="206" t="s">
        <v>7992</v>
      </c>
      <c r="PJ40" s="206" t="s">
        <v>7992</v>
      </c>
      <c r="PK40" s="206" t="s">
        <v>7992</v>
      </c>
      <c r="PL40" s="206" t="s">
        <v>7992</v>
      </c>
      <c r="PM40" s="206" t="s">
        <v>7992</v>
      </c>
      <c r="PN40" s="206" t="s">
        <v>7992</v>
      </c>
      <c r="PO40" s="206" t="s">
        <v>7992</v>
      </c>
      <c r="PP40" s="206" t="s">
        <v>7992</v>
      </c>
      <c r="PQ40" s="206" t="s">
        <v>7992</v>
      </c>
      <c r="PR40" s="206" t="s">
        <v>7992</v>
      </c>
      <c r="PS40" s="206" t="s">
        <v>7992</v>
      </c>
      <c r="PT40" s="206" t="s">
        <v>7992</v>
      </c>
      <c r="PU40" s="206" t="s">
        <v>7992</v>
      </c>
      <c r="PV40" s="206" t="s">
        <v>7992</v>
      </c>
      <c r="PW40" s="206" t="s">
        <v>7992</v>
      </c>
      <c r="PX40" s="206" t="s">
        <v>7992</v>
      </c>
      <c r="PY40" s="206" t="s">
        <v>7992</v>
      </c>
      <c r="PZ40" s="206" t="s">
        <v>7992</v>
      </c>
      <c r="QA40" s="206" t="s">
        <v>7992</v>
      </c>
      <c r="QB40" s="206" t="s">
        <v>7992</v>
      </c>
      <c r="QC40" s="206" t="s">
        <v>7992</v>
      </c>
      <c r="QD40" s="206" t="s">
        <v>7992</v>
      </c>
      <c r="QE40" s="206" t="s">
        <v>7992</v>
      </c>
      <c r="QF40" s="206" t="s">
        <v>7992</v>
      </c>
      <c r="QG40" s="206" t="s">
        <v>7992</v>
      </c>
      <c r="QH40" s="206" t="s">
        <v>7992</v>
      </c>
      <c r="QI40" s="206" t="s">
        <v>7992</v>
      </c>
      <c r="QJ40" s="206" t="s">
        <v>7992</v>
      </c>
      <c r="QK40" s="206" t="s">
        <v>7992</v>
      </c>
      <c r="QL40" s="206" t="s">
        <v>7992</v>
      </c>
      <c r="QM40" s="206" t="s">
        <v>7992</v>
      </c>
      <c r="QN40" s="206" t="s">
        <v>7992</v>
      </c>
      <c r="QO40" s="206" t="s">
        <v>7992</v>
      </c>
      <c r="QP40" s="206" t="s">
        <v>7992</v>
      </c>
      <c r="QQ40" s="206" t="s">
        <v>7992</v>
      </c>
      <c r="QR40" s="206" t="s">
        <v>7992</v>
      </c>
      <c r="QS40" s="206" t="s">
        <v>7992</v>
      </c>
      <c r="QT40" s="206" t="s">
        <v>7992</v>
      </c>
      <c r="QU40" s="206" t="s">
        <v>7992</v>
      </c>
      <c r="QV40" s="206" t="s">
        <v>7992</v>
      </c>
      <c r="QW40" s="206" t="s">
        <v>7992</v>
      </c>
      <c r="QX40" s="206" t="s">
        <v>7992</v>
      </c>
      <c r="QY40" s="206" t="s">
        <v>7992</v>
      </c>
      <c r="QZ40" s="206" t="s">
        <v>7992</v>
      </c>
      <c r="RA40" s="206" t="s">
        <v>7992</v>
      </c>
      <c r="RB40" s="206" t="s">
        <v>7992</v>
      </c>
      <c r="RC40" s="206" t="s">
        <v>7992</v>
      </c>
      <c r="RD40" s="206" t="s">
        <v>7992</v>
      </c>
      <c r="RE40" s="206" t="s">
        <v>7992</v>
      </c>
      <c r="RF40" s="206" t="s">
        <v>7992</v>
      </c>
      <c r="RG40" s="206" t="s">
        <v>7992</v>
      </c>
      <c r="RH40" s="206" t="s">
        <v>7992</v>
      </c>
      <c r="RI40" s="206" t="s">
        <v>7992</v>
      </c>
      <c r="RJ40" s="206" t="s">
        <v>7992</v>
      </c>
      <c r="RK40" s="206" t="s">
        <v>7992</v>
      </c>
      <c r="RL40" s="206" t="s">
        <v>7992</v>
      </c>
      <c r="RM40" s="206" t="s">
        <v>7992</v>
      </c>
      <c r="RN40" s="206" t="s">
        <v>7992</v>
      </c>
      <c r="RO40" s="206" t="s">
        <v>7992</v>
      </c>
      <c r="RP40" s="206" t="s">
        <v>7992</v>
      </c>
      <c r="RQ40" s="206" t="s">
        <v>7992</v>
      </c>
      <c r="RR40" s="206" t="s">
        <v>7992</v>
      </c>
      <c r="RS40" s="206" t="s">
        <v>7992</v>
      </c>
      <c r="RT40" s="206" t="s">
        <v>7992</v>
      </c>
      <c r="RU40" s="206" t="s">
        <v>7992</v>
      </c>
      <c r="RV40" s="206" t="s">
        <v>7992</v>
      </c>
      <c r="RW40" s="206" t="s">
        <v>7992</v>
      </c>
      <c r="RX40" s="206" t="s">
        <v>7992</v>
      </c>
      <c r="RY40" s="206" t="s">
        <v>7992</v>
      </c>
      <c r="RZ40" s="206" t="s">
        <v>7992</v>
      </c>
      <c r="SA40" s="206" t="s">
        <v>7992</v>
      </c>
      <c r="SB40" s="206" t="s">
        <v>7992</v>
      </c>
      <c r="SC40" s="206" t="s">
        <v>7992</v>
      </c>
      <c r="SD40" s="206" t="s">
        <v>7992</v>
      </c>
      <c r="SE40" s="206" t="s">
        <v>7992</v>
      </c>
      <c r="SF40" s="206" t="s">
        <v>7992</v>
      </c>
      <c r="SG40" s="206" t="s">
        <v>7992</v>
      </c>
      <c r="SH40" s="206" t="s">
        <v>7992</v>
      </c>
      <c r="SI40" s="206" t="s">
        <v>7992</v>
      </c>
      <c r="SJ40" s="206" t="s">
        <v>7992</v>
      </c>
      <c r="SK40" s="206" t="s">
        <v>7992</v>
      </c>
      <c r="SL40" s="206" t="s">
        <v>7992</v>
      </c>
      <c r="SM40" s="206" t="s">
        <v>7992</v>
      </c>
      <c r="SN40" s="206" t="s">
        <v>7992</v>
      </c>
      <c r="SO40" s="206" t="s">
        <v>7992</v>
      </c>
      <c r="SP40" s="206" t="s">
        <v>7992</v>
      </c>
      <c r="SQ40" s="206" t="s">
        <v>7992</v>
      </c>
      <c r="SR40" s="206" t="s">
        <v>7992</v>
      </c>
      <c r="SS40" s="206" t="s">
        <v>7992</v>
      </c>
      <c r="ST40" s="206" t="s">
        <v>7992</v>
      </c>
      <c r="SU40" s="206" t="s">
        <v>7992</v>
      </c>
      <c r="SV40" s="206" t="s">
        <v>7992</v>
      </c>
      <c r="SW40" s="206" t="s">
        <v>7992</v>
      </c>
      <c r="SX40" s="206" t="s">
        <v>7992</v>
      </c>
      <c r="SY40" s="206" t="s">
        <v>7992</v>
      </c>
      <c r="SZ40" s="206" t="s">
        <v>7992</v>
      </c>
      <c r="TA40" s="206" t="s">
        <v>7992</v>
      </c>
      <c r="TB40" s="206" t="s">
        <v>7992</v>
      </c>
      <c r="TC40" s="206" t="s">
        <v>7992</v>
      </c>
      <c r="TD40" s="206" t="s">
        <v>7992</v>
      </c>
      <c r="TE40" s="206" t="s">
        <v>7992</v>
      </c>
      <c r="TF40" s="206" t="s">
        <v>7992</v>
      </c>
      <c r="TG40" s="206" t="s">
        <v>7992</v>
      </c>
      <c r="TH40" s="206" t="s">
        <v>7992</v>
      </c>
      <c r="TI40" s="206" t="s">
        <v>7992</v>
      </c>
      <c r="TJ40" s="206" t="s">
        <v>7992</v>
      </c>
      <c r="TK40" s="206" t="s">
        <v>7992</v>
      </c>
      <c r="TL40" s="206" t="s">
        <v>7992</v>
      </c>
      <c r="TM40" s="206" t="s">
        <v>7992</v>
      </c>
      <c r="TN40" s="206" t="s">
        <v>7992</v>
      </c>
      <c r="TO40" s="206" t="s">
        <v>7992</v>
      </c>
      <c r="TP40" s="206" t="s">
        <v>7992</v>
      </c>
      <c r="TQ40" s="206" t="s">
        <v>7992</v>
      </c>
      <c r="TR40" s="206" t="s">
        <v>7992</v>
      </c>
      <c r="TS40" s="206" t="s">
        <v>7992</v>
      </c>
      <c r="TT40" s="206" t="s">
        <v>7992</v>
      </c>
      <c r="TU40" s="206" t="s">
        <v>7992</v>
      </c>
      <c r="TV40" s="206" t="s">
        <v>7992</v>
      </c>
      <c r="TW40" s="206" t="s">
        <v>7992</v>
      </c>
      <c r="TX40" s="206" t="s">
        <v>7992</v>
      </c>
      <c r="TY40" s="206" t="s">
        <v>7992</v>
      </c>
      <c r="TZ40" s="206" t="s">
        <v>7992</v>
      </c>
      <c r="UA40" s="206" t="s">
        <v>7992</v>
      </c>
      <c r="UB40" s="206" t="s">
        <v>7992</v>
      </c>
      <c r="UC40" s="206" t="s">
        <v>7992</v>
      </c>
      <c r="UD40" s="206" t="s">
        <v>7992</v>
      </c>
      <c r="UE40" s="206" t="s">
        <v>7992</v>
      </c>
      <c r="UF40" s="206" t="s">
        <v>7992</v>
      </c>
      <c r="UG40" s="206" t="s">
        <v>7992</v>
      </c>
      <c r="UH40" s="206" t="s">
        <v>7992</v>
      </c>
      <c r="UI40" s="206" t="s">
        <v>7992</v>
      </c>
      <c r="UJ40" s="206" t="s">
        <v>7992</v>
      </c>
      <c r="UK40" s="206" t="s">
        <v>7992</v>
      </c>
      <c r="UL40" s="206" t="s">
        <v>7992</v>
      </c>
      <c r="UM40" s="206" t="s">
        <v>7992</v>
      </c>
      <c r="UN40" s="206" t="s">
        <v>7992</v>
      </c>
      <c r="UO40" s="206" t="s">
        <v>7992</v>
      </c>
      <c r="UP40" s="206" t="s">
        <v>7992</v>
      </c>
      <c r="UQ40" s="206" t="s">
        <v>7992</v>
      </c>
      <c r="UR40" s="206" t="s">
        <v>7992</v>
      </c>
      <c r="US40" s="206" t="s">
        <v>7992</v>
      </c>
      <c r="UT40" s="206" t="s">
        <v>7992</v>
      </c>
      <c r="UU40" s="206" t="s">
        <v>7992</v>
      </c>
      <c r="UV40" s="206" t="s">
        <v>7992</v>
      </c>
      <c r="UW40" s="206" t="s">
        <v>7992</v>
      </c>
      <c r="UX40" s="206" t="s">
        <v>7992</v>
      </c>
      <c r="UY40" s="206" t="s">
        <v>7992</v>
      </c>
      <c r="UZ40" s="206" t="s">
        <v>7992</v>
      </c>
      <c r="VA40" s="206" t="s">
        <v>7992</v>
      </c>
      <c r="VB40" s="206" t="s">
        <v>7992</v>
      </c>
      <c r="VC40" s="206" t="s">
        <v>7992</v>
      </c>
      <c r="VD40" s="206" t="s">
        <v>7992</v>
      </c>
      <c r="VE40" s="206" t="s">
        <v>7992</v>
      </c>
      <c r="VF40" s="206" t="s">
        <v>7992</v>
      </c>
      <c r="VG40" s="206" t="s">
        <v>7992</v>
      </c>
      <c r="VH40" s="206" t="s">
        <v>7992</v>
      </c>
      <c r="VI40" s="206" t="s">
        <v>7992</v>
      </c>
      <c r="VJ40" s="206" t="s">
        <v>7992</v>
      </c>
      <c r="VK40" s="206" t="s">
        <v>7992</v>
      </c>
      <c r="VL40" s="206" t="s">
        <v>7992</v>
      </c>
      <c r="VM40" s="206" t="s">
        <v>7992</v>
      </c>
      <c r="VN40" s="206" t="s">
        <v>7992</v>
      </c>
      <c r="VO40" s="206" t="s">
        <v>7992</v>
      </c>
      <c r="VP40" s="206" t="s">
        <v>7992</v>
      </c>
      <c r="VQ40" s="206" t="s">
        <v>7992</v>
      </c>
      <c r="VR40" s="206" t="s">
        <v>7992</v>
      </c>
      <c r="VS40" s="206" t="s">
        <v>7992</v>
      </c>
      <c r="VT40" s="206" t="s">
        <v>7992</v>
      </c>
      <c r="VU40" s="206" t="s">
        <v>7992</v>
      </c>
      <c r="VV40" s="206" t="s">
        <v>7992</v>
      </c>
      <c r="VW40" s="206" t="s">
        <v>7992</v>
      </c>
      <c r="VX40" s="206" t="s">
        <v>7992</v>
      </c>
      <c r="VY40" s="206" t="s">
        <v>7992</v>
      </c>
      <c r="VZ40" s="206" t="s">
        <v>7992</v>
      </c>
      <c r="WA40" s="206" t="s">
        <v>7992</v>
      </c>
      <c r="WB40" s="206" t="s">
        <v>7992</v>
      </c>
      <c r="WC40" s="206" t="s">
        <v>7992</v>
      </c>
      <c r="WD40" s="206" t="s">
        <v>7992</v>
      </c>
      <c r="WE40" s="206" t="s">
        <v>7992</v>
      </c>
      <c r="WF40" s="206" t="s">
        <v>7992</v>
      </c>
      <c r="WG40" s="206" t="s">
        <v>7992</v>
      </c>
      <c r="WH40" s="206" t="s">
        <v>7992</v>
      </c>
      <c r="WI40" s="206" t="s">
        <v>7992</v>
      </c>
      <c r="WJ40" s="206" t="s">
        <v>7992</v>
      </c>
      <c r="WK40" s="206" t="s">
        <v>7992</v>
      </c>
      <c r="WL40" s="206" t="s">
        <v>7992</v>
      </c>
      <c r="WM40" s="206" t="s">
        <v>7992</v>
      </c>
      <c r="WN40" s="206" t="s">
        <v>7992</v>
      </c>
      <c r="WO40" s="206" t="s">
        <v>7992</v>
      </c>
      <c r="WP40" s="206" t="s">
        <v>7992</v>
      </c>
      <c r="WQ40" s="206" t="s">
        <v>7992</v>
      </c>
      <c r="WR40" s="206" t="s">
        <v>7992</v>
      </c>
      <c r="WS40" s="206" t="s">
        <v>7992</v>
      </c>
      <c r="WT40" s="206" t="s">
        <v>7992</v>
      </c>
      <c r="WU40" s="206" t="s">
        <v>7992</v>
      </c>
      <c r="WV40" s="206" t="s">
        <v>7992</v>
      </c>
      <c r="WW40" s="206" t="s">
        <v>7992</v>
      </c>
      <c r="WX40" s="206" t="s">
        <v>7992</v>
      </c>
      <c r="WY40" s="206" t="s">
        <v>7992</v>
      </c>
      <c r="WZ40" s="206" t="s">
        <v>7992</v>
      </c>
      <c r="XA40" s="206" t="s">
        <v>7992</v>
      </c>
      <c r="XB40" s="206" t="s">
        <v>7992</v>
      </c>
      <c r="XC40" s="206" t="s">
        <v>7992</v>
      </c>
      <c r="XD40" s="206" t="s">
        <v>7992</v>
      </c>
      <c r="XE40" s="206" t="s">
        <v>7992</v>
      </c>
      <c r="XF40" s="206" t="s">
        <v>7992</v>
      </c>
      <c r="XG40" s="206" t="s">
        <v>7992</v>
      </c>
      <c r="XH40" s="206" t="s">
        <v>7992</v>
      </c>
      <c r="XI40" s="206" t="s">
        <v>7992</v>
      </c>
      <c r="XJ40" s="206" t="s">
        <v>7992</v>
      </c>
      <c r="XK40" s="206" t="s">
        <v>7992</v>
      </c>
      <c r="XL40" s="206" t="s">
        <v>7992</v>
      </c>
      <c r="XM40" s="206" t="s">
        <v>7992</v>
      </c>
      <c r="XN40" s="206" t="s">
        <v>7992</v>
      </c>
      <c r="XO40" s="206" t="s">
        <v>7992</v>
      </c>
      <c r="XP40" s="206" t="s">
        <v>7992</v>
      </c>
      <c r="XQ40" s="206" t="s">
        <v>7992</v>
      </c>
      <c r="XR40" s="206" t="s">
        <v>7992</v>
      </c>
      <c r="XS40" s="206" t="s">
        <v>7992</v>
      </c>
      <c r="XT40" s="206" t="s">
        <v>7992</v>
      </c>
      <c r="XU40" s="206" t="s">
        <v>7992</v>
      </c>
      <c r="XV40" s="206" t="s">
        <v>7992</v>
      </c>
      <c r="XW40" s="206" t="s">
        <v>7992</v>
      </c>
      <c r="XX40" s="206" t="s">
        <v>7992</v>
      </c>
      <c r="XY40" s="206" t="s">
        <v>7992</v>
      </c>
      <c r="XZ40" s="206" t="s">
        <v>7992</v>
      </c>
      <c r="YA40" s="206" t="s">
        <v>7992</v>
      </c>
      <c r="YB40" s="206" t="s">
        <v>7992</v>
      </c>
      <c r="YC40" s="206" t="s">
        <v>7992</v>
      </c>
      <c r="YD40" s="206" t="s">
        <v>7992</v>
      </c>
      <c r="YE40" s="206" t="s">
        <v>7992</v>
      </c>
      <c r="YF40" s="206" t="s">
        <v>7992</v>
      </c>
      <c r="YG40" s="206" t="s">
        <v>7992</v>
      </c>
      <c r="YH40" s="206" t="s">
        <v>7992</v>
      </c>
      <c r="YI40" s="206" t="s">
        <v>7992</v>
      </c>
      <c r="YJ40" s="206" t="s">
        <v>7992</v>
      </c>
      <c r="YK40" s="206" t="s">
        <v>7992</v>
      </c>
      <c r="YL40" s="206" t="s">
        <v>7992</v>
      </c>
      <c r="YM40" s="206" t="s">
        <v>7992</v>
      </c>
      <c r="YN40" s="206" t="s">
        <v>7992</v>
      </c>
      <c r="YO40" s="206" t="s">
        <v>7992</v>
      </c>
      <c r="YP40" s="206" t="s">
        <v>7992</v>
      </c>
      <c r="YQ40" s="206" t="s">
        <v>7992</v>
      </c>
      <c r="YR40" s="206" t="s">
        <v>7992</v>
      </c>
      <c r="YS40" s="206" t="s">
        <v>7992</v>
      </c>
      <c r="YT40" s="206" t="s">
        <v>7992</v>
      </c>
      <c r="YU40" s="206" t="s">
        <v>7992</v>
      </c>
      <c r="YV40" s="206" t="s">
        <v>7992</v>
      </c>
      <c r="YW40" s="206" t="s">
        <v>7992</v>
      </c>
      <c r="YX40" s="206" t="s">
        <v>7992</v>
      </c>
      <c r="YY40" s="206" t="s">
        <v>7992</v>
      </c>
      <c r="YZ40" s="206" t="s">
        <v>7992</v>
      </c>
      <c r="ZA40" s="206" t="s">
        <v>7992</v>
      </c>
      <c r="ZB40" s="206" t="s">
        <v>7992</v>
      </c>
      <c r="ZC40" s="206" t="s">
        <v>7992</v>
      </c>
      <c r="ZD40" s="206" t="s">
        <v>7992</v>
      </c>
      <c r="ZE40" s="206" t="s">
        <v>7992</v>
      </c>
      <c r="ZF40" s="206" t="s">
        <v>7992</v>
      </c>
      <c r="ZG40" s="206" t="s">
        <v>7992</v>
      </c>
      <c r="ZH40" s="206" t="s">
        <v>7992</v>
      </c>
      <c r="ZI40" s="206" t="s">
        <v>7992</v>
      </c>
      <c r="ZJ40" s="206" t="s">
        <v>7992</v>
      </c>
      <c r="ZK40" s="206" t="s">
        <v>7992</v>
      </c>
      <c r="ZL40" s="206" t="s">
        <v>7992</v>
      </c>
      <c r="ZM40" s="206" t="s">
        <v>7992</v>
      </c>
      <c r="ZN40" s="206" t="s">
        <v>7992</v>
      </c>
      <c r="ZO40" s="206" t="s">
        <v>7992</v>
      </c>
      <c r="ZP40" s="206" t="s">
        <v>7992</v>
      </c>
      <c r="ZQ40" s="206" t="s">
        <v>7992</v>
      </c>
      <c r="ZR40" s="206" t="s">
        <v>7992</v>
      </c>
      <c r="ZS40" s="206" t="s">
        <v>7992</v>
      </c>
      <c r="ZT40" s="206" t="s">
        <v>7992</v>
      </c>
      <c r="ZU40" s="206" t="s">
        <v>7992</v>
      </c>
      <c r="ZV40" s="206" t="s">
        <v>7992</v>
      </c>
      <c r="ZW40" s="206" t="s">
        <v>7992</v>
      </c>
      <c r="ZX40" s="206" t="s">
        <v>7992</v>
      </c>
      <c r="ZY40" s="206" t="s">
        <v>7992</v>
      </c>
      <c r="ZZ40" s="206" t="s">
        <v>7992</v>
      </c>
      <c r="AAA40" s="206" t="s">
        <v>7992</v>
      </c>
      <c r="AAB40" s="206" t="s">
        <v>7992</v>
      </c>
      <c r="AAC40" s="206" t="s">
        <v>7992</v>
      </c>
      <c r="AAD40" s="206" t="s">
        <v>7992</v>
      </c>
      <c r="AAE40" s="206" t="s">
        <v>7992</v>
      </c>
    </row>
    <row r="41" spans="1:707" s="206" customFormat="1" x14ac:dyDescent="0.25">
      <c r="A41" s="203" t="s">
        <v>3332</v>
      </c>
      <c r="B41" s="225" t="s">
        <v>7992</v>
      </c>
      <c r="C41" s="225" t="s">
        <v>7992</v>
      </c>
      <c r="D41" s="225" t="s">
        <v>7992</v>
      </c>
      <c r="E41" s="225" t="s">
        <v>7992</v>
      </c>
      <c r="F41" s="225" t="s">
        <v>7992</v>
      </c>
      <c r="G41" s="225" t="s">
        <v>7992</v>
      </c>
      <c r="H41" s="227" t="s">
        <v>7992</v>
      </c>
      <c r="I41" s="227" t="s">
        <v>7992</v>
      </c>
      <c r="J41" s="227" t="s">
        <v>7992</v>
      </c>
      <c r="K41" s="206" t="s">
        <v>7992</v>
      </c>
      <c r="L41" s="206" t="s">
        <v>7992</v>
      </c>
      <c r="M41" s="208" t="s">
        <v>7992</v>
      </c>
      <c r="N41" s="206" t="s">
        <v>7992</v>
      </c>
      <c r="O41" s="208" t="s">
        <v>7992</v>
      </c>
      <c r="P41" s="206" t="s">
        <v>7992</v>
      </c>
      <c r="Q41" s="206" t="s">
        <v>7992</v>
      </c>
      <c r="R41" s="206" t="s">
        <v>7992</v>
      </c>
      <c r="S41" s="206" t="s">
        <v>7992</v>
      </c>
      <c r="T41" s="206" t="s">
        <v>7992</v>
      </c>
      <c r="U41" s="206" t="s">
        <v>7992</v>
      </c>
      <c r="V41" s="206" t="s">
        <v>7992</v>
      </c>
      <c r="W41" s="206" t="s">
        <v>7992</v>
      </c>
      <c r="X41" s="206" t="s">
        <v>7992</v>
      </c>
      <c r="Y41" s="206" t="s">
        <v>7992</v>
      </c>
      <c r="Z41" s="167" t="s">
        <v>7992</v>
      </c>
      <c r="AA41" s="206" t="s">
        <v>7992</v>
      </c>
      <c r="AB41" s="206" t="s">
        <v>7992</v>
      </c>
      <c r="AC41" s="206" t="s">
        <v>7992</v>
      </c>
      <c r="AD41" s="206" t="s">
        <v>7992</v>
      </c>
      <c r="AE41" s="206" t="s">
        <v>7992</v>
      </c>
      <c r="AF41" s="206" t="s">
        <v>7992</v>
      </c>
      <c r="AG41" s="206" t="s">
        <v>7992</v>
      </c>
      <c r="AH41" s="206" t="s">
        <v>7992</v>
      </c>
      <c r="AI41" s="206" t="s">
        <v>7992</v>
      </c>
      <c r="AJ41" s="206" t="s">
        <v>7992</v>
      </c>
      <c r="AK41" s="206" t="s">
        <v>7992</v>
      </c>
      <c r="AL41" s="206" t="s">
        <v>7992</v>
      </c>
      <c r="AM41" s="206" t="s">
        <v>7992</v>
      </c>
      <c r="AN41" s="206" t="s">
        <v>7992</v>
      </c>
      <c r="AO41" s="206" t="s">
        <v>7992</v>
      </c>
      <c r="AP41" s="206" t="s">
        <v>7992</v>
      </c>
      <c r="AQ41" s="206" t="s">
        <v>7992</v>
      </c>
      <c r="AR41" s="206" t="s">
        <v>7992</v>
      </c>
      <c r="AS41" s="206" t="s">
        <v>7992</v>
      </c>
      <c r="AT41" s="206" t="s">
        <v>7992</v>
      </c>
      <c r="AU41" s="206" t="s">
        <v>7992</v>
      </c>
      <c r="AV41" s="206" t="s">
        <v>7992</v>
      </c>
      <c r="AW41" s="167" t="s">
        <v>7992</v>
      </c>
      <c r="AX41" s="206" t="s">
        <v>7992</v>
      </c>
      <c r="AY41" s="206" t="s">
        <v>7992</v>
      </c>
      <c r="AZ41" s="206" t="s">
        <v>7992</v>
      </c>
      <c r="BA41" s="206" t="s">
        <v>7992</v>
      </c>
      <c r="BB41" s="206" t="s">
        <v>7992</v>
      </c>
      <c r="BC41" s="206" t="s">
        <v>7992</v>
      </c>
      <c r="BD41" s="206" t="s">
        <v>7992</v>
      </c>
      <c r="BE41" s="206" t="s">
        <v>7992</v>
      </c>
      <c r="BF41" s="206" t="s">
        <v>7992</v>
      </c>
      <c r="BG41" s="206" t="s">
        <v>7992</v>
      </c>
      <c r="BH41" s="206" t="s">
        <v>7992</v>
      </c>
      <c r="BI41" s="206" t="s">
        <v>7992</v>
      </c>
      <c r="BJ41" s="206" t="s">
        <v>7992</v>
      </c>
      <c r="BK41" s="206" t="s">
        <v>7992</v>
      </c>
      <c r="BL41" s="206" t="s">
        <v>7992</v>
      </c>
      <c r="BM41" s="206" t="s">
        <v>7992</v>
      </c>
      <c r="BN41" s="206" t="s">
        <v>7992</v>
      </c>
      <c r="BO41" s="206" t="s">
        <v>7992</v>
      </c>
      <c r="BP41" s="206" t="s">
        <v>7992</v>
      </c>
      <c r="BQ41" s="206" t="s">
        <v>7992</v>
      </c>
      <c r="BR41" s="206" t="s">
        <v>7992</v>
      </c>
      <c r="BS41" s="206" t="s">
        <v>7992</v>
      </c>
      <c r="BT41" s="206" t="s">
        <v>7992</v>
      </c>
      <c r="BU41" s="206" t="s">
        <v>7992</v>
      </c>
      <c r="BV41" s="206" t="s">
        <v>7992</v>
      </c>
      <c r="BW41" s="206" t="s">
        <v>7992</v>
      </c>
      <c r="BX41" s="206" t="s">
        <v>7992</v>
      </c>
      <c r="BY41" s="206" t="s">
        <v>7992</v>
      </c>
      <c r="BZ41" s="206" t="s">
        <v>7992</v>
      </c>
      <c r="CA41" s="206" t="s">
        <v>7992</v>
      </c>
      <c r="CB41" s="206" t="s">
        <v>7992</v>
      </c>
      <c r="CC41" s="206" t="s">
        <v>7992</v>
      </c>
      <c r="CD41" s="206" t="s">
        <v>7992</v>
      </c>
      <c r="CE41" s="206" t="s">
        <v>7992</v>
      </c>
      <c r="CF41" s="206" t="s">
        <v>7992</v>
      </c>
      <c r="CG41" s="206" t="s">
        <v>7992</v>
      </c>
      <c r="CH41" s="206" t="s">
        <v>7992</v>
      </c>
      <c r="CI41" s="206" t="s">
        <v>7992</v>
      </c>
      <c r="CJ41" s="206" t="s">
        <v>7992</v>
      </c>
      <c r="CK41" s="206" t="s">
        <v>7992</v>
      </c>
      <c r="CL41" s="206" t="s">
        <v>7992</v>
      </c>
      <c r="CM41" s="206" t="s">
        <v>7992</v>
      </c>
      <c r="CN41" s="206" t="s">
        <v>7992</v>
      </c>
      <c r="CO41" s="206" t="s">
        <v>7992</v>
      </c>
      <c r="CP41" s="206" t="s">
        <v>7992</v>
      </c>
      <c r="CQ41" s="206" t="s">
        <v>7992</v>
      </c>
      <c r="CR41" s="206" t="s">
        <v>7992</v>
      </c>
      <c r="CS41" s="206" t="s">
        <v>7992</v>
      </c>
      <c r="CT41" s="206" t="s">
        <v>7992</v>
      </c>
      <c r="CU41" s="206" t="s">
        <v>7992</v>
      </c>
      <c r="CV41" s="206" t="s">
        <v>7992</v>
      </c>
      <c r="CW41" s="206" t="s">
        <v>7992</v>
      </c>
      <c r="CX41" s="206" t="s">
        <v>7992</v>
      </c>
      <c r="CY41" s="206" t="s">
        <v>7992</v>
      </c>
      <c r="CZ41" s="206" t="s">
        <v>7992</v>
      </c>
      <c r="DA41" s="206" t="s">
        <v>7992</v>
      </c>
      <c r="DB41" s="206" t="s">
        <v>7992</v>
      </c>
      <c r="DC41" s="206" t="s">
        <v>7992</v>
      </c>
      <c r="DD41" s="206" t="s">
        <v>7992</v>
      </c>
      <c r="DE41" s="206" t="s">
        <v>7992</v>
      </c>
      <c r="DF41" s="206" t="s">
        <v>7992</v>
      </c>
      <c r="DG41" s="206" t="s">
        <v>7992</v>
      </c>
      <c r="DH41" s="206" t="s">
        <v>7992</v>
      </c>
      <c r="DI41" s="206" t="s">
        <v>7992</v>
      </c>
      <c r="DJ41" s="206" t="s">
        <v>7992</v>
      </c>
      <c r="DK41" s="206" t="s">
        <v>7992</v>
      </c>
      <c r="DL41" s="206" t="s">
        <v>7992</v>
      </c>
      <c r="DM41" s="206" t="s">
        <v>7992</v>
      </c>
      <c r="DN41" s="206" t="s">
        <v>7992</v>
      </c>
      <c r="DO41" s="206" t="s">
        <v>7992</v>
      </c>
      <c r="DP41" s="206" t="s">
        <v>7992</v>
      </c>
      <c r="DQ41" s="206" t="s">
        <v>7992</v>
      </c>
      <c r="DR41" s="206" t="s">
        <v>7992</v>
      </c>
      <c r="DS41" s="206" t="s">
        <v>7992</v>
      </c>
      <c r="DT41" s="206" t="s">
        <v>7992</v>
      </c>
      <c r="DU41" s="206" t="s">
        <v>7992</v>
      </c>
      <c r="DV41" s="206" t="s">
        <v>7992</v>
      </c>
      <c r="DW41" s="206" t="s">
        <v>7992</v>
      </c>
      <c r="DX41" s="206" t="s">
        <v>7992</v>
      </c>
      <c r="DY41" s="206" t="s">
        <v>7992</v>
      </c>
      <c r="DZ41" s="206" t="s">
        <v>7992</v>
      </c>
      <c r="EA41" s="206" t="s">
        <v>7992</v>
      </c>
      <c r="EB41" s="206" t="s">
        <v>7992</v>
      </c>
      <c r="EC41" s="206" t="s">
        <v>7992</v>
      </c>
      <c r="ED41" s="206" t="s">
        <v>7992</v>
      </c>
      <c r="EE41" s="206" t="s">
        <v>7992</v>
      </c>
      <c r="EF41" s="206" t="s">
        <v>7992</v>
      </c>
      <c r="EG41" s="206" t="s">
        <v>7992</v>
      </c>
      <c r="EH41" s="206" t="s">
        <v>7992</v>
      </c>
      <c r="EI41" s="206" t="s">
        <v>7992</v>
      </c>
      <c r="EJ41" s="206" t="s">
        <v>7992</v>
      </c>
      <c r="EK41" s="206" t="s">
        <v>7992</v>
      </c>
      <c r="EL41" s="206" t="s">
        <v>7992</v>
      </c>
      <c r="EM41" s="206" t="s">
        <v>7992</v>
      </c>
      <c r="EN41" s="206" t="s">
        <v>7992</v>
      </c>
      <c r="EO41" s="206" t="s">
        <v>7992</v>
      </c>
      <c r="EP41" s="206" t="s">
        <v>7992</v>
      </c>
      <c r="EQ41" s="206" t="s">
        <v>7992</v>
      </c>
      <c r="ER41" s="206" t="s">
        <v>7992</v>
      </c>
      <c r="ES41" s="206" t="s">
        <v>7992</v>
      </c>
      <c r="ET41" s="206" t="s">
        <v>7992</v>
      </c>
      <c r="EU41" s="206" t="s">
        <v>7992</v>
      </c>
      <c r="EV41" s="206" t="s">
        <v>7992</v>
      </c>
      <c r="EW41" s="206" t="s">
        <v>7992</v>
      </c>
      <c r="EX41" s="206" t="s">
        <v>7992</v>
      </c>
      <c r="EY41" s="206" t="s">
        <v>7992</v>
      </c>
      <c r="EZ41" s="206" t="s">
        <v>7992</v>
      </c>
      <c r="FA41" s="206" t="s">
        <v>7992</v>
      </c>
      <c r="FB41" s="206" t="s">
        <v>7992</v>
      </c>
      <c r="FC41" s="206" t="s">
        <v>7992</v>
      </c>
      <c r="FD41" s="206" t="s">
        <v>7992</v>
      </c>
      <c r="FE41" s="206" t="s">
        <v>7992</v>
      </c>
      <c r="FF41" s="206" t="s">
        <v>7992</v>
      </c>
      <c r="FG41" s="206" t="s">
        <v>7992</v>
      </c>
      <c r="FH41" s="206" t="s">
        <v>7992</v>
      </c>
      <c r="FI41" s="206" t="s">
        <v>7992</v>
      </c>
      <c r="FJ41" s="206" t="s">
        <v>7992</v>
      </c>
      <c r="FK41" s="206" t="s">
        <v>7992</v>
      </c>
      <c r="FL41" s="206" t="s">
        <v>7992</v>
      </c>
      <c r="FM41" s="206" t="s">
        <v>7992</v>
      </c>
      <c r="FN41" s="206" t="s">
        <v>7992</v>
      </c>
      <c r="FO41" s="206" t="s">
        <v>7992</v>
      </c>
      <c r="FP41" s="206" t="s">
        <v>7992</v>
      </c>
      <c r="FQ41" s="206" t="s">
        <v>7992</v>
      </c>
      <c r="FR41" s="206" t="s">
        <v>7992</v>
      </c>
      <c r="FS41" s="206" t="s">
        <v>7992</v>
      </c>
      <c r="FT41" s="206" t="s">
        <v>7992</v>
      </c>
      <c r="FU41" s="206" t="s">
        <v>7992</v>
      </c>
      <c r="FV41" s="206" t="s">
        <v>7992</v>
      </c>
      <c r="FW41" s="206" t="s">
        <v>7992</v>
      </c>
      <c r="FX41" s="206" t="s">
        <v>7992</v>
      </c>
      <c r="FY41" s="206" t="s">
        <v>7992</v>
      </c>
      <c r="FZ41" s="206" t="s">
        <v>7992</v>
      </c>
      <c r="GA41" s="206" t="s">
        <v>7992</v>
      </c>
      <c r="GB41" s="206" t="s">
        <v>7992</v>
      </c>
      <c r="GC41" s="206" t="s">
        <v>7992</v>
      </c>
      <c r="GD41" s="206" t="s">
        <v>7992</v>
      </c>
      <c r="GE41" s="206" t="s">
        <v>7992</v>
      </c>
      <c r="GF41" s="206" t="s">
        <v>7992</v>
      </c>
      <c r="GG41" s="206" t="s">
        <v>7992</v>
      </c>
      <c r="GH41" s="206" t="s">
        <v>7992</v>
      </c>
      <c r="GI41" s="206" t="s">
        <v>7992</v>
      </c>
      <c r="GJ41" s="206" t="s">
        <v>7992</v>
      </c>
      <c r="GK41" s="206" t="s">
        <v>7992</v>
      </c>
      <c r="GL41" s="206" t="s">
        <v>7992</v>
      </c>
      <c r="GM41" s="206" t="s">
        <v>7992</v>
      </c>
      <c r="GN41" s="206" t="s">
        <v>7992</v>
      </c>
      <c r="GO41" s="206" t="s">
        <v>7992</v>
      </c>
      <c r="GP41" s="206" t="s">
        <v>7992</v>
      </c>
      <c r="GQ41" s="206" t="s">
        <v>7992</v>
      </c>
      <c r="GR41" s="206" t="s">
        <v>7992</v>
      </c>
      <c r="GS41" s="206" t="s">
        <v>7992</v>
      </c>
      <c r="GT41" s="206" t="s">
        <v>7992</v>
      </c>
      <c r="GU41" s="206" t="s">
        <v>7992</v>
      </c>
      <c r="GV41" s="206" t="s">
        <v>7992</v>
      </c>
      <c r="GW41" s="206" t="s">
        <v>7992</v>
      </c>
      <c r="GX41" s="206" t="s">
        <v>7992</v>
      </c>
      <c r="GY41" s="206" t="s">
        <v>7992</v>
      </c>
      <c r="GZ41" s="206" t="s">
        <v>7992</v>
      </c>
      <c r="HA41" s="206" t="s">
        <v>7992</v>
      </c>
      <c r="HB41" s="206" t="s">
        <v>7992</v>
      </c>
      <c r="HC41" s="206" t="s">
        <v>7992</v>
      </c>
      <c r="HD41" s="206" t="s">
        <v>7992</v>
      </c>
      <c r="HE41" s="206" t="s">
        <v>7992</v>
      </c>
      <c r="HF41" s="206" t="s">
        <v>7992</v>
      </c>
      <c r="HG41" s="206" t="s">
        <v>7992</v>
      </c>
      <c r="HH41" s="206" t="s">
        <v>7992</v>
      </c>
      <c r="HI41" s="206" t="s">
        <v>7992</v>
      </c>
      <c r="HJ41" s="206" t="s">
        <v>7992</v>
      </c>
      <c r="HK41" s="206" t="s">
        <v>7992</v>
      </c>
      <c r="HL41" s="206" t="s">
        <v>7992</v>
      </c>
      <c r="HM41" s="206" t="s">
        <v>7992</v>
      </c>
      <c r="HN41" s="206" t="s">
        <v>7992</v>
      </c>
      <c r="HO41" s="206" t="s">
        <v>7992</v>
      </c>
      <c r="HP41" s="206" t="s">
        <v>7992</v>
      </c>
      <c r="HQ41" s="206" t="s">
        <v>7992</v>
      </c>
      <c r="HR41" s="206" t="s">
        <v>7992</v>
      </c>
      <c r="HS41" s="206" t="s">
        <v>7992</v>
      </c>
      <c r="HT41" s="206" t="s">
        <v>7992</v>
      </c>
      <c r="HU41" s="206" t="s">
        <v>7992</v>
      </c>
      <c r="HV41" s="206" t="s">
        <v>7992</v>
      </c>
      <c r="HW41" s="206" t="s">
        <v>7992</v>
      </c>
      <c r="HX41" s="206" t="s">
        <v>7992</v>
      </c>
      <c r="HY41" s="206" t="s">
        <v>7992</v>
      </c>
      <c r="HZ41" s="206" t="s">
        <v>7992</v>
      </c>
      <c r="IA41" s="206" t="s">
        <v>7992</v>
      </c>
      <c r="IB41" s="206" t="s">
        <v>7992</v>
      </c>
      <c r="IC41" s="206" t="s">
        <v>7992</v>
      </c>
      <c r="ID41" s="206" t="s">
        <v>7992</v>
      </c>
      <c r="IE41" s="206" t="s">
        <v>7992</v>
      </c>
      <c r="IF41" s="206" t="s">
        <v>7992</v>
      </c>
      <c r="IG41" s="206" t="s">
        <v>7992</v>
      </c>
      <c r="IH41" s="206" t="s">
        <v>7992</v>
      </c>
      <c r="II41" s="206" t="s">
        <v>7992</v>
      </c>
      <c r="IJ41" s="206" t="s">
        <v>7992</v>
      </c>
      <c r="IK41" s="206" t="s">
        <v>7992</v>
      </c>
      <c r="IL41" s="206" t="s">
        <v>7992</v>
      </c>
      <c r="IM41" s="206" t="s">
        <v>7992</v>
      </c>
      <c r="IN41" s="206" t="s">
        <v>7992</v>
      </c>
      <c r="IO41" s="206" t="s">
        <v>7992</v>
      </c>
      <c r="IP41" s="206" t="s">
        <v>7992</v>
      </c>
      <c r="IQ41" s="206" t="s">
        <v>7992</v>
      </c>
      <c r="IR41" s="206" t="s">
        <v>7992</v>
      </c>
      <c r="IS41" s="206" t="s">
        <v>7992</v>
      </c>
      <c r="IT41" s="206" t="s">
        <v>7992</v>
      </c>
      <c r="IU41" s="206" t="s">
        <v>7992</v>
      </c>
      <c r="IV41" s="206" t="s">
        <v>7992</v>
      </c>
      <c r="IW41" s="206" t="s">
        <v>7992</v>
      </c>
      <c r="IX41" s="206" t="s">
        <v>7992</v>
      </c>
      <c r="IY41" s="206" t="s">
        <v>7992</v>
      </c>
      <c r="IZ41" s="206" t="s">
        <v>7992</v>
      </c>
      <c r="JA41" s="206" t="s">
        <v>7992</v>
      </c>
      <c r="JB41" s="206" t="s">
        <v>7992</v>
      </c>
      <c r="JC41" s="206" t="s">
        <v>7992</v>
      </c>
      <c r="JD41" s="206" t="s">
        <v>7992</v>
      </c>
      <c r="JE41" s="206" t="s">
        <v>7992</v>
      </c>
      <c r="JF41" s="206" t="s">
        <v>7992</v>
      </c>
      <c r="JG41" s="206" t="s">
        <v>7992</v>
      </c>
      <c r="JH41" s="206" t="s">
        <v>7992</v>
      </c>
      <c r="JI41" s="206" t="s">
        <v>7992</v>
      </c>
      <c r="JJ41" s="206" t="s">
        <v>7992</v>
      </c>
      <c r="JK41" s="206" t="s">
        <v>7992</v>
      </c>
      <c r="JL41" s="206" t="s">
        <v>7992</v>
      </c>
      <c r="JM41" s="206" t="s">
        <v>7992</v>
      </c>
      <c r="JN41" s="206" t="s">
        <v>7992</v>
      </c>
      <c r="JO41" s="206" t="s">
        <v>7992</v>
      </c>
      <c r="JP41" s="206" t="s">
        <v>7992</v>
      </c>
      <c r="JQ41" s="206" t="s">
        <v>7992</v>
      </c>
      <c r="JR41" s="206" t="s">
        <v>7992</v>
      </c>
      <c r="JS41" s="206" t="s">
        <v>7992</v>
      </c>
      <c r="JT41" s="206" t="s">
        <v>7992</v>
      </c>
      <c r="JU41" s="206" t="s">
        <v>7992</v>
      </c>
      <c r="JV41" s="206" t="s">
        <v>7992</v>
      </c>
      <c r="JW41" s="206" t="s">
        <v>7992</v>
      </c>
      <c r="JX41" s="206" t="s">
        <v>7992</v>
      </c>
      <c r="JY41" s="206" t="s">
        <v>7992</v>
      </c>
      <c r="JZ41" s="206" t="s">
        <v>7992</v>
      </c>
      <c r="KA41" s="206" t="s">
        <v>7992</v>
      </c>
      <c r="KB41" s="206" t="s">
        <v>7992</v>
      </c>
      <c r="KC41" s="206" t="s">
        <v>7992</v>
      </c>
      <c r="KD41" s="206" t="s">
        <v>7992</v>
      </c>
      <c r="KE41" s="206" t="s">
        <v>7992</v>
      </c>
      <c r="KF41" s="206" t="s">
        <v>7992</v>
      </c>
      <c r="KG41" s="206" t="s">
        <v>7992</v>
      </c>
      <c r="KH41" s="206" t="s">
        <v>7992</v>
      </c>
      <c r="KI41" s="206" t="s">
        <v>7992</v>
      </c>
      <c r="KJ41" s="206" t="s">
        <v>7992</v>
      </c>
      <c r="KK41" s="206" t="s">
        <v>7992</v>
      </c>
      <c r="KL41" s="206" t="s">
        <v>7992</v>
      </c>
      <c r="KM41" s="206" t="s">
        <v>7992</v>
      </c>
      <c r="KN41" s="206" t="s">
        <v>7992</v>
      </c>
      <c r="KO41" s="206" t="s">
        <v>7992</v>
      </c>
      <c r="KP41" s="206" t="s">
        <v>7992</v>
      </c>
      <c r="KQ41" s="206" t="s">
        <v>7992</v>
      </c>
      <c r="KR41" s="206" t="s">
        <v>7992</v>
      </c>
      <c r="KS41" s="206" t="s">
        <v>7992</v>
      </c>
      <c r="KT41" s="206" t="s">
        <v>7992</v>
      </c>
      <c r="KU41" s="206" t="s">
        <v>7992</v>
      </c>
      <c r="KV41" s="206" t="s">
        <v>7992</v>
      </c>
      <c r="KW41" s="206" t="s">
        <v>7992</v>
      </c>
      <c r="KX41" s="206" t="s">
        <v>7992</v>
      </c>
      <c r="KY41" s="206" t="s">
        <v>7992</v>
      </c>
      <c r="KZ41" s="206" t="s">
        <v>7992</v>
      </c>
      <c r="LA41" s="206" t="s">
        <v>7992</v>
      </c>
      <c r="LB41" s="206" t="s">
        <v>7992</v>
      </c>
      <c r="LC41" s="206" t="s">
        <v>7992</v>
      </c>
      <c r="LD41" s="206" t="s">
        <v>7992</v>
      </c>
      <c r="LE41" s="206" t="s">
        <v>7992</v>
      </c>
      <c r="LF41" s="206" t="s">
        <v>7992</v>
      </c>
      <c r="LG41" s="206" t="s">
        <v>7992</v>
      </c>
      <c r="LH41" s="206" t="s">
        <v>7992</v>
      </c>
      <c r="LI41" s="206" t="s">
        <v>7992</v>
      </c>
      <c r="LJ41" s="206" t="s">
        <v>7992</v>
      </c>
      <c r="LK41" s="206" t="s">
        <v>7992</v>
      </c>
      <c r="LL41" s="206" t="s">
        <v>7992</v>
      </c>
      <c r="LM41" s="206" t="s">
        <v>7992</v>
      </c>
      <c r="LN41" s="206" t="s">
        <v>7992</v>
      </c>
      <c r="LO41" s="206" t="s">
        <v>7992</v>
      </c>
      <c r="LP41" s="206" t="s">
        <v>7992</v>
      </c>
      <c r="LQ41" s="206" t="s">
        <v>7992</v>
      </c>
      <c r="LR41" s="206" t="s">
        <v>7992</v>
      </c>
      <c r="LS41" s="206" t="s">
        <v>7992</v>
      </c>
      <c r="LT41" s="206" t="s">
        <v>7992</v>
      </c>
      <c r="LU41" s="206" t="s">
        <v>7992</v>
      </c>
      <c r="LV41" s="206" t="s">
        <v>7992</v>
      </c>
      <c r="LW41" s="206" t="s">
        <v>7992</v>
      </c>
      <c r="LX41" s="206" t="s">
        <v>7992</v>
      </c>
      <c r="LY41" s="206" t="s">
        <v>7992</v>
      </c>
      <c r="LZ41" s="206" t="s">
        <v>7992</v>
      </c>
      <c r="MA41" s="206" t="s">
        <v>7992</v>
      </c>
      <c r="MB41" s="206" t="s">
        <v>7992</v>
      </c>
      <c r="MC41" s="206" t="s">
        <v>7992</v>
      </c>
      <c r="MD41" s="206" t="s">
        <v>7992</v>
      </c>
      <c r="ME41" s="206" t="s">
        <v>7992</v>
      </c>
      <c r="MF41" s="206" t="s">
        <v>7992</v>
      </c>
      <c r="MG41" s="206" t="s">
        <v>7992</v>
      </c>
      <c r="MH41" s="206" t="s">
        <v>7992</v>
      </c>
      <c r="MI41" s="206" t="s">
        <v>7992</v>
      </c>
      <c r="MJ41" s="206" t="s">
        <v>7992</v>
      </c>
      <c r="MK41" s="206" t="s">
        <v>7992</v>
      </c>
      <c r="ML41" s="206" t="s">
        <v>7992</v>
      </c>
      <c r="MM41" s="206" t="s">
        <v>7992</v>
      </c>
      <c r="MN41" s="206" t="s">
        <v>7992</v>
      </c>
      <c r="MO41" s="206" t="s">
        <v>7992</v>
      </c>
      <c r="MP41" s="206" t="s">
        <v>7992</v>
      </c>
      <c r="MQ41" s="206" t="s">
        <v>7992</v>
      </c>
      <c r="MR41" s="206" t="s">
        <v>7992</v>
      </c>
      <c r="MS41" s="206" t="s">
        <v>7992</v>
      </c>
      <c r="MT41" s="206" t="s">
        <v>7992</v>
      </c>
      <c r="MU41" s="206" t="s">
        <v>7992</v>
      </c>
      <c r="MV41" s="206" t="s">
        <v>7992</v>
      </c>
      <c r="MW41" s="206" t="s">
        <v>7992</v>
      </c>
      <c r="MX41" s="206" t="s">
        <v>7992</v>
      </c>
      <c r="MY41" s="206" t="s">
        <v>7992</v>
      </c>
      <c r="MZ41" s="206" t="s">
        <v>7992</v>
      </c>
      <c r="NA41" s="206" t="s">
        <v>7992</v>
      </c>
      <c r="NB41" s="206" t="s">
        <v>7992</v>
      </c>
      <c r="NC41" s="206" t="s">
        <v>7992</v>
      </c>
      <c r="ND41" s="206" t="s">
        <v>7992</v>
      </c>
      <c r="NE41" s="206" t="s">
        <v>7992</v>
      </c>
      <c r="NF41" s="206" t="s">
        <v>7992</v>
      </c>
      <c r="NG41" s="206" t="s">
        <v>7992</v>
      </c>
      <c r="NH41" s="206" t="s">
        <v>7992</v>
      </c>
      <c r="NI41" s="206" t="s">
        <v>7992</v>
      </c>
      <c r="NJ41" s="206" t="s">
        <v>7992</v>
      </c>
      <c r="NK41" s="206" t="s">
        <v>7992</v>
      </c>
      <c r="NL41" s="206" t="s">
        <v>7992</v>
      </c>
      <c r="NM41" s="206" t="s">
        <v>7992</v>
      </c>
      <c r="NN41" s="206" t="s">
        <v>7992</v>
      </c>
      <c r="NO41" s="206" t="s">
        <v>7992</v>
      </c>
      <c r="NP41" s="206" t="s">
        <v>7992</v>
      </c>
      <c r="NQ41" s="206" t="s">
        <v>7992</v>
      </c>
      <c r="NR41" s="206" t="s">
        <v>7992</v>
      </c>
      <c r="NS41" s="206" t="s">
        <v>7992</v>
      </c>
      <c r="NT41" s="206" t="s">
        <v>7992</v>
      </c>
      <c r="NU41" s="206" t="s">
        <v>7992</v>
      </c>
      <c r="NV41" s="206" t="s">
        <v>7992</v>
      </c>
      <c r="NW41" s="206" t="s">
        <v>7992</v>
      </c>
      <c r="NX41" s="206" t="s">
        <v>7992</v>
      </c>
      <c r="NY41" s="206" t="s">
        <v>7992</v>
      </c>
      <c r="NZ41" s="206" t="s">
        <v>7992</v>
      </c>
      <c r="OA41" s="206" t="s">
        <v>7992</v>
      </c>
      <c r="OB41" s="206" t="s">
        <v>7992</v>
      </c>
      <c r="OC41" s="206" t="s">
        <v>7992</v>
      </c>
      <c r="OD41" s="206" t="s">
        <v>7992</v>
      </c>
      <c r="OE41" s="206" t="s">
        <v>7992</v>
      </c>
      <c r="OF41" s="206" t="s">
        <v>7992</v>
      </c>
      <c r="OG41" s="206" t="s">
        <v>7992</v>
      </c>
      <c r="OH41" s="206" t="s">
        <v>7992</v>
      </c>
      <c r="OI41" s="206" t="s">
        <v>7992</v>
      </c>
      <c r="OJ41" s="206" t="s">
        <v>7992</v>
      </c>
      <c r="OK41" s="206" t="s">
        <v>7992</v>
      </c>
      <c r="OL41" s="206" t="s">
        <v>7992</v>
      </c>
      <c r="OM41" s="206" t="s">
        <v>7992</v>
      </c>
      <c r="ON41" s="206" t="s">
        <v>7992</v>
      </c>
      <c r="OO41" s="206" t="s">
        <v>7992</v>
      </c>
      <c r="OP41" s="206" t="s">
        <v>7992</v>
      </c>
      <c r="OQ41" s="206" t="s">
        <v>7992</v>
      </c>
      <c r="OR41" s="206" t="s">
        <v>7992</v>
      </c>
      <c r="OS41" s="206" t="s">
        <v>7992</v>
      </c>
      <c r="OT41" s="206" t="s">
        <v>7992</v>
      </c>
      <c r="OU41" s="206" t="s">
        <v>7992</v>
      </c>
      <c r="OV41" s="206" t="s">
        <v>7992</v>
      </c>
      <c r="OW41" s="206" t="s">
        <v>7992</v>
      </c>
      <c r="OX41" s="206" t="s">
        <v>7992</v>
      </c>
      <c r="OY41" s="206" t="s">
        <v>7992</v>
      </c>
      <c r="OZ41" s="206" t="s">
        <v>7992</v>
      </c>
      <c r="PA41" s="206" t="s">
        <v>7992</v>
      </c>
      <c r="PB41" s="206" t="s">
        <v>7992</v>
      </c>
      <c r="PC41" s="206" t="s">
        <v>7992</v>
      </c>
      <c r="PD41" s="206" t="s">
        <v>7992</v>
      </c>
      <c r="PE41" s="206" t="s">
        <v>7992</v>
      </c>
      <c r="PF41" s="206" t="s">
        <v>7992</v>
      </c>
      <c r="PG41" s="206" t="s">
        <v>7992</v>
      </c>
      <c r="PH41" s="206" t="s">
        <v>7992</v>
      </c>
      <c r="PI41" s="206" t="s">
        <v>7992</v>
      </c>
      <c r="PJ41" s="206" t="s">
        <v>7992</v>
      </c>
      <c r="PK41" s="206" t="s">
        <v>7992</v>
      </c>
      <c r="PL41" s="206" t="s">
        <v>7992</v>
      </c>
      <c r="PM41" s="206" t="s">
        <v>7992</v>
      </c>
      <c r="PN41" s="206" t="s">
        <v>7992</v>
      </c>
      <c r="PO41" s="206" t="s">
        <v>7992</v>
      </c>
      <c r="PP41" s="206" t="s">
        <v>7992</v>
      </c>
      <c r="PQ41" s="206" t="s">
        <v>7992</v>
      </c>
      <c r="PR41" s="206" t="s">
        <v>7992</v>
      </c>
      <c r="PS41" s="206" t="s">
        <v>7992</v>
      </c>
      <c r="PT41" s="206" t="s">
        <v>7992</v>
      </c>
      <c r="PU41" s="206" t="s">
        <v>7992</v>
      </c>
      <c r="PV41" s="206" t="s">
        <v>7992</v>
      </c>
      <c r="PW41" s="206" t="s">
        <v>7992</v>
      </c>
      <c r="PX41" s="206" t="s">
        <v>7992</v>
      </c>
      <c r="PY41" s="206" t="s">
        <v>7992</v>
      </c>
      <c r="PZ41" s="206" t="s">
        <v>7992</v>
      </c>
      <c r="QA41" s="206" t="s">
        <v>7992</v>
      </c>
      <c r="QB41" s="206" t="s">
        <v>7992</v>
      </c>
      <c r="QC41" s="206" t="s">
        <v>7992</v>
      </c>
      <c r="QD41" s="206" t="s">
        <v>7992</v>
      </c>
      <c r="QE41" s="206" t="s">
        <v>7992</v>
      </c>
      <c r="QF41" s="206" t="s">
        <v>7992</v>
      </c>
      <c r="QG41" s="206" t="s">
        <v>7992</v>
      </c>
      <c r="QH41" s="206" t="s">
        <v>7992</v>
      </c>
      <c r="QI41" s="206" t="s">
        <v>7992</v>
      </c>
      <c r="QJ41" s="206" t="s">
        <v>7992</v>
      </c>
      <c r="QK41" s="206" t="s">
        <v>7992</v>
      </c>
      <c r="QL41" s="206" t="s">
        <v>7992</v>
      </c>
      <c r="QM41" s="206" t="s">
        <v>7992</v>
      </c>
      <c r="QN41" s="206" t="s">
        <v>7992</v>
      </c>
      <c r="QO41" s="206" t="s">
        <v>7992</v>
      </c>
      <c r="QP41" s="206" t="s">
        <v>7992</v>
      </c>
      <c r="QQ41" s="206" t="s">
        <v>7992</v>
      </c>
      <c r="QR41" s="206" t="s">
        <v>7992</v>
      </c>
      <c r="QS41" s="206" t="s">
        <v>7992</v>
      </c>
      <c r="QT41" s="206" t="s">
        <v>7992</v>
      </c>
      <c r="QU41" s="206" t="s">
        <v>7992</v>
      </c>
      <c r="QV41" s="206" t="s">
        <v>7992</v>
      </c>
      <c r="QW41" s="206" t="s">
        <v>7992</v>
      </c>
      <c r="QX41" s="206" t="s">
        <v>7992</v>
      </c>
      <c r="QY41" s="206" t="s">
        <v>7992</v>
      </c>
      <c r="QZ41" s="206" t="s">
        <v>7992</v>
      </c>
      <c r="RA41" s="206" t="s">
        <v>7992</v>
      </c>
      <c r="RB41" s="206" t="s">
        <v>7992</v>
      </c>
      <c r="RC41" s="206" t="s">
        <v>7992</v>
      </c>
      <c r="RD41" s="206" t="s">
        <v>7992</v>
      </c>
      <c r="RE41" s="206" t="s">
        <v>7992</v>
      </c>
      <c r="RF41" s="206" t="s">
        <v>7992</v>
      </c>
      <c r="RG41" s="206" t="s">
        <v>7992</v>
      </c>
      <c r="RH41" s="206" t="s">
        <v>7992</v>
      </c>
      <c r="RI41" s="206" t="s">
        <v>7992</v>
      </c>
      <c r="RJ41" s="206" t="s">
        <v>7992</v>
      </c>
      <c r="RK41" s="206" t="s">
        <v>7992</v>
      </c>
      <c r="RL41" s="206" t="s">
        <v>7992</v>
      </c>
      <c r="RM41" s="206" t="s">
        <v>7992</v>
      </c>
      <c r="RN41" s="206" t="s">
        <v>7992</v>
      </c>
      <c r="RO41" s="206" t="s">
        <v>7992</v>
      </c>
      <c r="RP41" s="206" t="s">
        <v>7992</v>
      </c>
      <c r="RQ41" s="206" t="s">
        <v>7992</v>
      </c>
      <c r="RR41" s="206" t="s">
        <v>7992</v>
      </c>
      <c r="RS41" s="206" t="s">
        <v>7992</v>
      </c>
      <c r="RT41" s="206" t="s">
        <v>7992</v>
      </c>
      <c r="RU41" s="206" t="s">
        <v>7992</v>
      </c>
      <c r="RV41" s="206" t="s">
        <v>7992</v>
      </c>
      <c r="RW41" s="206" t="s">
        <v>7992</v>
      </c>
      <c r="RX41" s="206" t="s">
        <v>7992</v>
      </c>
      <c r="RY41" s="206" t="s">
        <v>7992</v>
      </c>
      <c r="RZ41" s="206" t="s">
        <v>7992</v>
      </c>
      <c r="SA41" s="206" t="s">
        <v>7992</v>
      </c>
      <c r="SB41" s="206" t="s">
        <v>7992</v>
      </c>
      <c r="SC41" s="206" t="s">
        <v>7992</v>
      </c>
      <c r="SD41" s="206" t="s">
        <v>7992</v>
      </c>
      <c r="SE41" s="206" t="s">
        <v>7992</v>
      </c>
      <c r="SF41" s="206" t="s">
        <v>7992</v>
      </c>
      <c r="SG41" s="206" t="s">
        <v>7992</v>
      </c>
      <c r="SH41" s="206" t="s">
        <v>7992</v>
      </c>
      <c r="SI41" s="206" t="s">
        <v>7992</v>
      </c>
      <c r="SJ41" s="206" t="s">
        <v>7992</v>
      </c>
      <c r="SK41" s="206" t="s">
        <v>7992</v>
      </c>
      <c r="SL41" s="206" t="s">
        <v>7992</v>
      </c>
      <c r="SM41" s="206" t="s">
        <v>7992</v>
      </c>
      <c r="SN41" s="206" t="s">
        <v>7992</v>
      </c>
      <c r="SO41" s="206" t="s">
        <v>7992</v>
      </c>
      <c r="SP41" s="206" t="s">
        <v>7992</v>
      </c>
      <c r="SQ41" s="206" t="s">
        <v>7992</v>
      </c>
      <c r="SR41" s="206" t="s">
        <v>7992</v>
      </c>
      <c r="SS41" s="206" t="s">
        <v>7992</v>
      </c>
      <c r="ST41" s="206" t="s">
        <v>7992</v>
      </c>
      <c r="SU41" s="206" t="s">
        <v>7992</v>
      </c>
      <c r="SV41" s="206" t="s">
        <v>7992</v>
      </c>
      <c r="SW41" s="206" t="s">
        <v>7992</v>
      </c>
      <c r="SX41" s="206" t="s">
        <v>7992</v>
      </c>
      <c r="SY41" s="206" t="s">
        <v>7992</v>
      </c>
      <c r="SZ41" s="206" t="s">
        <v>7992</v>
      </c>
      <c r="TA41" s="206" t="s">
        <v>7992</v>
      </c>
      <c r="TB41" s="206" t="s">
        <v>7992</v>
      </c>
      <c r="TC41" s="206" t="s">
        <v>7992</v>
      </c>
      <c r="TD41" s="206" t="s">
        <v>7992</v>
      </c>
      <c r="TE41" s="206" t="s">
        <v>7992</v>
      </c>
      <c r="TF41" s="206" t="s">
        <v>7992</v>
      </c>
      <c r="TG41" s="206" t="s">
        <v>7992</v>
      </c>
      <c r="TH41" s="206" t="s">
        <v>7992</v>
      </c>
      <c r="TI41" s="206" t="s">
        <v>7992</v>
      </c>
      <c r="TJ41" s="206" t="s">
        <v>7992</v>
      </c>
      <c r="TK41" s="206" t="s">
        <v>7992</v>
      </c>
      <c r="TL41" s="206" t="s">
        <v>7992</v>
      </c>
      <c r="TM41" s="206" t="s">
        <v>7992</v>
      </c>
      <c r="TN41" s="206" t="s">
        <v>7992</v>
      </c>
      <c r="TO41" s="206" t="s">
        <v>7992</v>
      </c>
      <c r="TP41" s="206" t="s">
        <v>7992</v>
      </c>
      <c r="TQ41" s="206" t="s">
        <v>7992</v>
      </c>
      <c r="TR41" s="206" t="s">
        <v>7992</v>
      </c>
      <c r="TS41" s="206" t="s">
        <v>7992</v>
      </c>
      <c r="TT41" s="206" t="s">
        <v>7992</v>
      </c>
      <c r="TU41" s="206" t="s">
        <v>7992</v>
      </c>
      <c r="TV41" s="206" t="s">
        <v>7992</v>
      </c>
      <c r="TW41" s="206" t="s">
        <v>7992</v>
      </c>
      <c r="TX41" s="206" t="s">
        <v>7992</v>
      </c>
      <c r="TY41" s="206" t="s">
        <v>7992</v>
      </c>
      <c r="TZ41" s="206" t="s">
        <v>7992</v>
      </c>
      <c r="UA41" s="206" t="s">
        <v>7992</v>
      </c>
      <c r="UB41" s="206" t="s">
        <v>7992</v>
      </c>
      <c r="UC41" s="206" t="s">
        <v>7992</v>
      </c>
      <c r="UD41" s="206" t="s">
        <v>7992</v>
      </c>
      <c r="UE41" s="206" t="s">
        <v>7992</v>
      </c>
      <c r="UF41" s="206" t="s">
        <v>7992</v>
      </c>
      <c r="UG41" s="206" t="s">
        <v>7992</v>
      </c>
      <c r="UH41" s="206" t="s">
        <v>7992</v>
      </c>
      <c r="UI41" s="206" t="s">
        <v>7992</v>
      </c>
      <c r="UJ41" s="206" t="s">
        <v>7992</v>
      </c>
      <c r="UK41" s="206" t="s">
        <v>7992</v>
      </c>
      <c r="UL41" s="206" t="s">
        <v>7992</v>
      </c>
      <c r="UM41" s="206" t="s">
        <v>7992</v>
      </c>
      <c r="UN41" s="206" t="s">
        <v>7992</v>
      </c>
      <c r="UO41" s="206" t="s">
        <v>7992</v>
      </c>
      <c r="UP41" s="206" t="s">
        <v>7992</v>
      </c>
      <c r="UQ41" s="206" t="s">
        <v>7992</v>
      </c>
      <c r="UR41" s="206" t="s">
        <v>7992</v>
      </c>
      <c r="US41" s="206" t="s">
        <v>7992</v>
      </c>
      <c r="UT41" s="206" t="s">
        <v>7992</v>
      </c>
      <c r="UU41" s="206" t="s">
        <v>7992</v>
      </c>
      <c r="UV41" s="206" t="s">
        <v>7992</v>
      </c>
      <c r="UW41" s="206" t="s">
        <v>7992</v>
      </c>
      <c r="UX41" s="206" t="s">
        <v>7992</v>
      </c>
      <c r="UY41" s="206" t="s">
        <v>7992</v>
      </c>
      <c r="UZ41" s="206" t="s">
        <v>7992</v>
      </c>
      <c r="VA41" s="206" t="s">
        <v>7992</v>
      </c>
      <c r="VB41" s="206" t="s">
        <v>7992</v>
      </c>
      <c r="VC41" s="206" t="s">
        <v>7992</v>
      </c>
      <c r="VD41" s="206" t="s">
        <v>7992</v>
      </c>
      <c r="VE41" s="206" t="s">
        <v>7992</v>
      </c>
      <c r="VF41" s="206" t="s">
        <v>7992</v>
      </c>
      <c r="VG41" s="206" t="s">
        <v>7992</v>
      </c>
      <c r="VH41" s="206" t="s">
        <v>7992</v>
      </c>
      <c r="VI41" s="206" t="s">
        <v>7992</v>
      </c>
      <c r="VJ41" s="206" t="s">
        <v>7992</v>
      </c>
      <c r="VK41" s="206" t="s">
        <v>7992</v>
      </c>
      <c r="VL41" s="206" t="s">
        <v>7992</v>
      </c>
      <c r="VM41" s="206" t="s">
        <v>7992</v>
      </c>
      <c r="VN41" s="206" t="s">
        <v>7992</v>
      </c>
      <c r="VO41" s="206" t="s">
        <v>7992</v>
      </c>
      <c r="VP41" s="206" t="s">
        <v>7992</v>
      </c>
      <c r="VQ41" s="206" t="s">
        <v>7992</v>
      </c>
      <c r="VR41" s="206" t="s">
        <v>7992</v>
      </c>
      <c r="VS41" s="206" t="s">
        <v>7992</v>
      </c>
      <c r="VT41" s="206" t="s">
        <v>7992</v>
      </c>
      <c r="VU41" s="206" t="s">
        <v>7992</v>
      </c>
      <c r="VV41" s="206" t="s">
        <v>7992</v>
      </c>
      <c r="VW41" s="206" t="s">
        <v>7992</v>
      </c>
      <c r="VX41" s="206" t="s">
        <v>7992</v>
      </c>
      <c r="VY41" s="206" t="s">
        <v>7992</v>
      </c>
      <c r="VZ41" s="206" t="s">
        <v>7992</v>
      </c>
      <c r="WA41" s="206" t="s">
        <v>7992</v>
      </c>
      <c r="WB41" s="206" t="s">
        <v>7992</v>
      </c>
      <c r="WC41" s="206" t="s">
        <v>7992</v>
      </c>
      <c r="WD41" s="206" t="s">
        <v>7992</v>
      </c>
      <c r="WE41" s="206" t="s">
        <v>7992</v>
      </c>
      <c r="WF41" s="206" t="s">
        <v>7992</v>
      </c>
      <c r="WG41" s="206" t="s">
        <v>7992</v>
      </c>
      <c r="WH41" s="206" t="s">
        <v>7992</v>
      </c>
      <c r="WI41" s="206" t="s">
        <v>7992</v>
      </c>
      <c r="WJ41" s="206" t="s">
        <v>7992</v>
      </c>
      <c r="WK41" s="206" t="s">
        <v>7992</v>
      </c>
      <c r="WL41" s="206" t="s">
        <v>7992</v>
      </c>
      <c r="WM41" s="206" t="s">
        <v>7992</v>
      </c>
      <c r="WN41" s="206" t="s">
        <v>7992</v>
      </c>
      <c r="WO41" s="206" t="s">
        <v>7992</v>
      </c>
      <c r="WP41" s="206" t="s">
        <v>7992</v>
      </c>
      <c r="WQ41" s="206" t="s">
        <v>7992</v>
      </c>
      <c r="WR41" s="206" t="s">
        <v>7992</v>
      </c>
      <c r="WS41" s="206" t="s">
        <v>7992</v>
      </c>
      <c r="WT41" s="206" t="s">
        <v>7992</v>
      </c>
      <c r="WU41" s="206" t="s">
        <v>7992</v>
      </c>
      <c r="WV41" s="206" t="s">
        <v>7992</v>
      </c>
      <c r="WW41" s="206" t="s">
        <v>7992</v>
      </c>
      <c r="WX41" s="206" t="s">
        <v>7992</v>
      </c>
      <c r="WY41" s="206" t="s">
        <v>7992</v>
      </c>
      <c r="WZ41" s="206" t="s">
        <v>7992</v>
      </c>
      <c r="XA41" s="206" t="s">
        <v>7992</v>
      </c>
      <c r="XB41" s="206" t="s">
        <v>7992</v>
      </c>
      <c r="XC41" s="206" t="s">
        <v>7992</v>
      </c>
      <c r="XD41" s="206" t="s">
        <v>7992</v>
      </c>
      <c r="XE41" s="206" t="s">
        <v>7992</v>
      </c>
      <c r="XF41" s="206" t="s">
        <v>7992</v>
      </c>
      <c r="XG41" s="206" t="s">
        <v>7992</v>
      </c>
      <c r="XH41" s="206" t="s">
        <v>7992</v>
      </c>
      <c r="XI41" s="206" t="s">
        <v>7992</v>
      </c>
      <c r="XJ41" s="206" t="s">
        <v>7992</v>
      </c>
      <c r="XK41" s="206" t="s">
        <v>7992</v>
      </c>
      <c r="XL41" s="206" t="s">
        <v>7992</v>
      </c>
      <c r="XM41" s="206" t="s">
        <v>7992</v>
      </c>
      <c r="XN41" s="206" t="s">
        <v>7992</v>
      </c>
      <c r="XO41" s="206" t="s">
        <v>7992</v>
      </c>
      <c r="XP41" s="206" t="s">
        <v>7992</v>
      </c>
      <c r="XQ41" s="206" t="s">
        <v>7992</v>
      </c>
      <c r="XR41" s="206" t="s">
        <v>7992</v>
      </c>
      <c r="XS41" s="206" t="s">
        <v>7992</v>
      </c>
      <c r="XT41" s="206" t="s">
        <v>7992</v>
      </c>
      <c r="XU41" s="206" t="s">
        <v>7992</v>
      </c>
      <c r="XV41" s="206" t="s">
        <v>7992</v>
      </c>
      <c r="XW41" s="206" t="s">
        <v>7992</v>
      </c>
      <c r="XX41" s="206" t="s">
        <v>7992</v>
      </c>
      <c r="XY41" s="206" t="s">
        <v>7992</v>
      </c>
      <c r="XZ41" s="206" t="s">
        <v>7992</v>
      </c>
      <c r="YA41" s="206" t="s">
        <v>7992</v>
      </c>
      <c r="YB41" s="206" t="s">
        <v>7992</v>
      </c>
      <c r="YC41" s="206" t="s">
        <v>7992</v>
      </c>
      <c r="YD41" s="206" t="s">
        <v>7992</v>
      </c>
      <c r="YE41" s="206" t="s">
        <v>7992</v>
      </c>
      <c r="YF41" s="206" t="s">
        <v>7992</v>
      </c>
      <c r="YG41" s="206" t="s">
        <v>7992</v>
      </c>
      <c r="YH41" s="206" t="s">
        <v>7992</v>
      </c>
      <c r="YI41" s="206" t="s">
        <v>7992</v>
      </c>
      <c r="YJ41" s="206" t="s">
        <v>7992</v>
      </c>
      <c r="YK41" s="206" t="s">
        <v>7992</v>
      </c>
      <c r="YL41" s="206" t="s">
        <v>7992</v>
      </c>
      <c r="YM41" s="206" t="s">
        <v>7992</v>
      </c>
      <c r="YN41" s="206" t="s">
        <v>7992</v>
      </c>
      <c r="YO41" s="206" t="s">
        <v>7992</v>
      </c>
      <c r="YP41" s="206" t="s">
        <v>7992</v>
      </c>
      <c r="YQ41" s="206" t="s">
        <v>7992</v>
      </c>
      <c r="YR41" s="206" t="s">
        <v>7992</v>
      </c>
      <c r="YS41" s="206" t="s">
        <v>7992</v>
      </c>
      <c r="YT41" s="206" t="s">
        <v>7992</v>
      </c>
      <c r="YU41" s="206" t="s">
        <v>7992</v>
      </c>
      <c r="YV41" s="206" t="s">
        <v>7992</v>
      </c>
      <c r="YW41" s="206" t="s">
        <v>7992</v>
      </c>
      <c r="YX41" s="206" t="s">
        <v>7992</v>
      </c>
      <c r="YY41" s="206" t="s">
        <v>7992</v>
      </c>
      <c r="YZ41" s="206" t="s">
        <v>7992</v>
      </c>
      <c r="ZA41" s="206" t="s">
        <v>7992</v>
      </c>
      <c r="ZB41" s="206" t="s">
        <v>7992</v>
      </c>
      <c r="ZC41" s="206" t="s">
        <v>7992</v>
      </c>
      <c r="ZD41" s="206" t="s">
        <v>7992</v>
      </c>
      <c r="ZE41" s="206" t="s">
        <v>7992</v>
      </c>
      <c r="ZF41" s="206" t="s">
        <v>7992</v>
      </c>
      <c r="ZG41" s="206" t="s">
        <v>7992</v>
      </c>
      <c r="ZH41" s="206" t="s">
        <v>7992</v>
      </c>
      <c r="ZI41" s="206" t="s">
        <v>7992</v>
      </c>
      <c r="ZJ41" s="206" t="s">
        <v>7992</v>
      </c>
      <c r="ZK41" s="206" t="s">
        <v>7992</v>
      </c>
      <c r="ZL41" s="206" t="s">
        <v>7992</v>
      </c>
      <c r="ZM41" s="206" t="s">
        <v>7992</v>
      </c>
      <c r="ZN41" s="206" t="s">
        <v>7992</v>
      </c>
      <c r="ZO41" s="206" t="s">
        <v>7992</v>
      </c>
      <c r="ZP41" s="206" t="s">
        <v>7992</v>
      </c>
      <c r="ZQ41" s="206" t="s">
        <v>7992</v>
      </c>
      <c r="ZR41" s="206" t="s">
        <v>7992</v>
      </c>
      <c r="ZS41" s="206" t="s">
        <v>7992</v>
      </c>
      <c r="ZT41" s="206" t="s">
        <v>7992</v>
      </c>
      <c r="ZU41" s="206" t="s">
        <v>7992</v>
      </c>
      <c r="ZV41" s="206" t="s">
        <v>7992</v>
      </c>
      <c r="ZW41" s="206" t="s">
        <v>7992</v>
      </c>
      <c r="ZX41" s="206" t="s">
        <v>7992</v>
      </c>
      <c r="ZY41" s="206" t="s">
        <v>7992</v>
      </c>
      <c r="ZZ41" s="206" t="s">
        <v>7992</v>
      </c>
      <c r="AAA41" s="206" t="s">
        <v>7992</v>
      </c>
      <c r="AAB41" s="206" t="s">
        <v>7992</v>
      </c>
      <c r="AAC41" s="206" t="s">
        <v>7992</v>
      </c>
      <c r="AAD41" s="206" t="s">
        <v>7992</v>
      </c>
      <c r="AAE41" s="206" t="s">
        <v>7992</v>
      </c>
    </row>
    <row r="42" spans="1:707" s="206" customFormat="1" x14ac:dyDescent="0.25">
      <c r="A42" s="203" t="s">
        <v>3333</v>
      </c>
      <c r="B42" s="259" t="s">
        <v>7992</v>
      </c>
      <c r="C42" s="259" t="s">
        <v>7992</v>
      </c>
      <c r="D42" s="259" t="s">
        <v>7992</v>
      </c>
      <c r="E42" s="225" t="s">
        <v>7992</v>
      </c>
      <c r="F42" s="225" t="s">
        <v>7992</v>
      </c>
      <c r="G42" s="225" t="s">
        <v>7992</v>
      </c>
      <c r="H42" s="230" t="s">
        <v>7992</v>
      </c>
      <c r="I42" s="227" t="s">
        <v>7992</v>
      </c>
      <c r="J42" s="227" t="s">
        <v>7992</v>
      </c>
      <c r="K42" s="206" t="s">
        <v>7992</v>
      </c>
      <c r="L42" s="206" t="s">
        <v>7992</v>
      </c>
      <c r="M42" s="208" t="s">
        <v>7992</v>
      </c>
      <c r="N42" s="206" t="s">
        <v>7992</v>
      </c>
      <c r="O42" s="208" t="s">
        <v>7992</v>
      </c>
      <c r="P42" s="206" t="s">
        <v>7992</v>
      </c>
      <c r="Q42" s="206" t="s">
        <v>7992</v>
      </c>
      <c r="R42" s="206" t="s">
        <v>7992</v>
      </c>
      <c r="S42" s="206" t="s">
        <v>7992</v>
      </c>
      <c r="T42" s="206" t="s">
        <v>7992</v>
      </c>
      <c r="U42" s="206" t="s">
        <v>7992</v>
      </c>
      <c r="V42" s="206" t="s">
        <v>7992</v>
      </c>
      <c r="W42" s="206" t="s">
        <v>7992</v>
      </c>
      <c r="X42" s="206" t="s">
        <v>7992</v>
      </c>
      <c r="Y42" s="206" t="s">
        <v>7992</v>
      </c>
      <c r="Z42" s="167" t="s">
        <v>7992</v>
      </c>
      <c r="AA42" s="206" t="s">
        <v>7992</v>
      </c>
      <c r="AB42" s="206" t="s">
        <v>7992</v>
      </c>
      <c r="AC42" s="206" t="s">
        <v>7992</v>
      </c>
      <c r="AD42" s="206" t="s">
        <v>7992</v>
      </c>
      <c r="AE42" s="206" t="s">
        <v>7992</v>
      </c>
      <c r="AF42" s="206" t="s">
        <v>7992</v>
      </c>
      <c r="AG42" s="206" t="s">
        <v>7992</v>
      </c>
      <c r="AH42" s="206" t="s">
        <v>7992</v>
      </c>
      <c r="AI42" s="206" t="s">
        <v>7992</v>
      </c>
      <c r="AJ42" s="206" t="s">
        <v>7992</v>
      </c>
      <c r="AK42" s="206" t="s">
        <v>7992</v>
      </c>
      <c r="AL42" s="206" t="s">
        <v>7992</v>
      </c>
      <c r="AM42" s="206" t="s">
        <v>7992</v>
      </c>
      <c r="AN42" s="206" t="s">
        <v>7992</v>
      </c>
      <c r="AO42" s="206" t="s">
        <v>7992</v>
      </c>
      <c r="AP42" s="206" t="s">
        <v>7992</v>
      </c>
      <c r="AQ42" s="206" t="s">
        <v>7992</v>
      </c>
      <c r="AR42" s="206" t="s">
        <v>7992</v>
      </c>
      <c r="AS42" s="206" t="s">
        <v>7992</v>
      </c>
      <c r="AT42" s="206" t="s">
        <v>7992</v>
      </c>
      <c r="AU42" s="206" t="s">
        <v>7992</v>
      </c>
      <c r="AV42" s="206" t="s">
        <v>7992</v>
      </c>
      <c r="AW42" s="167" t="s">
        <v>7992</v>
      </c>
      <c r="AX42" s="206" t="s">
        <v>7992</v>
      </c>
      <c r="AY42" s="206" t="s">
        <v>7992</v>
      </c>
      <c r="AZ42" s="206" t="s">
        <v>7992</v>
      </c>
      <c r="BA42" s="206" t="s">
        <v>7992</v>
      </c>
      <c r="BB42" s="206" t="s">
        <v>7992</v>
      </c>
      <c r="BC42" s="206" t="s">
        <v>7992</v>
      </c>
      <c r="BD42" s="206" t="s">
        <v>7992</v>
      </c>
      <c r="BE42" s="206" t="s">
        <v>7992</v>
      </c>
      <c r="BF42" s="206" t="s">
        <v>7992</v>
      </c>
      <c r="BG42" s="206" t="s">
        <v>7992</v>
      </c>
      <c r="BH42" s="206" t="s">
        <v>7992</v>
      </c>
      <c r="BI42" s="206" t="s">
        <v>7992</v>
      </c>
      <c r="BJ42" s="206" t="s">
        <v>7992</v>
      </c>
      <c r="BK42" s="206" t="s">
        <v>7992</v>
      </c>
      <c r="BL42" s="206" t="s">
        <v>7992</v>
      </c>
      <c r="BM42" s="206" t="s">
        <v>7992</v>
      </c>
      <c r="BN42" s="206" t="s">
        <v>7992</v>
      </c>
      <c r="BO42" s="206" t="s">
        <v>7992</v>
      </c>
      <c r="BP42" s="206" t="s">
        <v>7992</v>
      </c>
      <c r="BQ42" s="206" t="s">
        <v>7992</v>
      </c>
      <c r="BR42" s="206" t="s">
        <v>7992</v>
      </c>
      <c r="BS42" s="206" t="s">
        <v>7992</v>
      </c>
      <c r="BT42" s="206" t="s">
        <v>7992</v>
      </c>
      <c r="BU42" s="206" t="s">
        <v>7992</v>
      </c>
      <c r="BV42" s="206" t="s">
        <v>7992</v>
      </c>
      <c r="BW42" s="206" t="s">
        <v>7992</v>
      </c>
      <c r="BX42" s="206" t="s">
        <v>7992</v>
      </c>
      <c r="BY42" s="206" t="s">
        <v>7992</v>
      </c>
      <c r="BZ42" s="206" t="s">
        <v>7992</v>
      </c>
      <c r="CA42" s="206" t="s">
        <v>7992</v>
      </c>
      <c r="CB42" s="206" t="s">
        <v>7992</v>
      </c>
      <c r="CC42" s="206" t="s">
        <v>7992</v>
      </c>
      <c r="CD42" s="206" t="s">
        <v>7992</v>
      </c>
      <c r="CE42" s="206" t="s">
        <v>7992</v>
      </c>
      <c r="CF42" s="206" t="s">
        <v>7992</v>
      </c>
      <c r="CG42" s="206" t="s">
        <v>7992</v>
      </c>
      <c r="CH42" s="206" t="s">
        <v>7992</v>
      </c>
      <c r="CI42" s="206" t="s">
        <v>7992</v>
      </c>
      <c r="CJ42" s="206" t="s">
        <v>7992</v>
      </c>
      <c r="CK42" s="206" t="s">
        <v>7992</v>
      </c>
      <c r="CL42" s="206" t="s">
        <v>7992</v>
      </c>
      <c r="CM42" s="206" t="s">
        <v>7992</v>
      </c>
      <c r="CN42" s="206" t="s">
        <v>7992</v>
      </c>
      <c r="CO42" s="206" t="s">
        <v>7992</v>
      </c>
      <c r="CP42" s="206" t="s">
        <v>7992</v>
      </c>
      <c r="CQ42" s="206" t="s">
        <v>7992</v>
      </c>
      <c r="CR42" s="206" t="s">
        <v>7992</v>
      </c>
      <c r="CS42" s="206" t="s">
        <v>7992</v>
      </c>
      <c r="CT42" s="206" t="s">
        <v>7992</v>
      </c>
      <c r="CU42" s="206" t="s">
        <v>7992</v>
      </c>
      <c r="CV42" s="206" t="s">
        <v>7992</v>
      </c>
      <c r="CW42" s="206" t="s">
        <v>7992</v>
      </c>
      <c r="CX42" s="206" t="s">
        <v>7992</v>
      </c>
      <c r="CY42" s="206" t="s">
        <v>7992</v>
      </c>
      <c r="CZ42" s="206" t="s">
        <v>7992</v>
      </c>
      <c r="DA42" s="206" t="s">
        <v>7992</v>
      </c>
      <c r="DB42" s="206" t="s">
        <v>7992</v>
      </c>
      <c r="DC42" s="206" t="s">
        <v>7992</v>
      </c>
      <c r="DD42" s="206" t="s">
        <v>7992</v>
      </c>
      <c r="DE42" s="206" t="s">
        <v>7992</v>
      </c>
      <c r="DF42" s="206" t="s">
        <v>7992</v>
      </c>
      <c r="DG42" s="206" t="s">
        <v>7992</v>
      </c>
      <c r="DH42" s="206" t="s">
        <v>7992</v>
      </c>
      <c r="DI42" s="206" t="s">
        <v>7992</v>
      </c>
      <c r="DJ42" s="206" t="s">
        <v>7992</v>
      </c>
      <c r="DK42" s="206" t="s">
        <v>7992</v>
      </c>
      <c r="DL42" s="206" t="s">
        <v>7992</v>
      </c>
      <c r="DM42" s="206" t="s">
        <v>7992</v>
      </c>
      <c r="DN42" s="206" t="s">
        <v>7992</v>
      </c>
      <c r="DO42" s="206" t="s">
        <v>7992</v>
      </c>
      <c r="DP42" s="206" t="s">
        <v>7992</v>
      </c>
      <c r="DQ42" s="206" t="s">
        <v>7992</v>
      </c>
      <c r="DR42" s="206" t="s">
        <v>7992</v>
      </c>
      <c r="DS42" s="206" t="s">
        <v>7992</v>
      </c>
      <c r="DT42" s="206" t="s">
        <v>7992</v>
      </c>
      <c r="DU42" s="206" t="s">
        <v>7992</v>
      </c>
      <c r="DV42" s="206" t="s">
        <v>7992</v>
      </c>
      <c r="DW42" s="206" t="s">
        <v>7992</v>
      </c>
      <c r="DX42" s="206" t="s">
        <v>7992</v>
      </c>
      <c r="DY42" s="206" t="s">
        <v>7992</v>
      </c>
      <c r="DZ42" s="206" t="s">
        <v>7992</v>
      </c>
      <c r="EA42" s="206" t="s">
        <v>7992</v>
      </c>
      <c r="EB42" s="206" t="s">
        <v>7992</v>
      </c>
      <c r="EC42" s="206" t="s">
        <v>7992</v>
      </c>
      <c r="ED42" s="206" t="s">
        <v>7992</v>
      </c>
      <c r="EE42" s="206" t="s">
        <v>7992</v>
      </c>
      <c r="EF42" s="206" t="s">
        <v>7992</v>
      </c>
      <c r="EG42" s="206" t="s">
        <v>7992</v>
      </c>
      <c r="EH42" s="206" t="s">
        <v>7992</v>
      </c>
      <c r="EI42" s="206" t="s">
        <v>7992</v>
      </c>
      <c r="EJ42" s="206" t="s">
        <v>7992</v>
      </c>
      <c r="EK42" s="206" t="s">
        <v>7992</v>
      </c>
      <c r="EL42" s="206" t="s">
        <v>7992</v>
      </c>
      <c r="EM42" s="206" t="s">
        <v>7992</v>
      </c>
      <c r="EN42" s="206" t="s">
        <v>7992</v>
      </c>
      <c r="EO42" s="206" t="s">
        <v>7992</v>
      </c>
      <c r="EP42" s="206" t="s">
        <v>7992</v>
      </c>
      <c r="EQ42" s="206" t="s">
        <v>7992</v>
      </c>
      <c r="ER42" s="206" t="s">
        <v>7992</v>
      </c>
      <c r="ES42" s="206" t="s">
        <v>7992</v>
      </c>
      <c r="ET42" s="206" t="s">
        <v>7992</v>
      </c>
      <c r="EU42" s="206" t="s">
        <v>7992</v>
      </c>
      <c r="EV42" s="206" t="s">
        <v>7992</v>
      </c>
      <c r="EW42" s="206" t="s">
        <v>7992</v>
      </c>
      <c r="EX42" s="206" t="s">
        <v>7992</v>
      </c>
      <c r="EY42" s="206" t="s">
        <v>7992</v>
      </c>
      <c r="EZ42" s="206" t="s">
        <v>7992</v>
      </c>
      <c r="FA42" s="206" t="s">
        <v>7992</v>
      </c>
      <c r="FB42" s="206" t="s">
        <v>7992</v>
      </c>
      <c r="FC42" s="206" t="s">
        <v>7992</v>
      </c>
      <c r="FD42" s="206" t="s">
        <v>7992</v>
      </c>
      <c r="FE42" s="206" t="s">
        <v>7992</v>
      </c>
      <c r="FF42" s="206" t="s">
        <v>7992</v>
      </c>
      <c r="FG42" s="206" t="s">
        <v>7992</v>
      </c>
      <c r="FH42" s="206" t="s">
        <v>7992</v>
      </c>
      <c r="FI42" s="206" t="s">
        <v>7992</v>
      </c>
      <c r="FJ42" s="206" t="s">
        <v>7992</v>
      </c>
      <c r="FK42" s="206" t="s">
        <v>7992</v>
      </c>
      <c r="FL42" s="206" t="s">
        <v>7992</v>
      </c>
      <c r="FM42" s="206" t="s">
        <v>7992</v>
      </c>
      <c r="FN42" s="206" t="s">
        <v>7992</v>
      </c>
      <c r="FO42" s="206" t="s">
        <v>7992</v>
      </c>
      <c r="FP42" s="206" t="s">
        <v>7992</v>
      </c>
      <c r="FQ42" s="206" t="s">
        <v>7992</v>
      </c>
      <c r="FR42" s="206" t="s">
        <v>7992</v>
      </c>
      <c r="FS42" s="206" t="s">
        <v>7992</v>
      </c>
      <c r="FT42" s="206" t="s">
        <v>7992</v>
      </c>
      <c r="FU42" s="206" t="s">
        <v>7992</v>
      </c>
      <c r="FV42" s="206" t="s">
        <v>7992</v>
      </c>
      <c r="FW42" s="206" t="s">
        <v>7992</v>
      </c>
      <c r="FX42" s="206" t="s">
        <v>7992</v>
      </c>
      <c r="FY42" s="206" t="s">
        <v>7992</v>
      </c>
      <c r="FZ42" s="206" t="s">
        <v>7992</v>
      </c>
      <c r="GA42" s="206" t="s">
        <v>7992</v>
      </c>
      <c r="GB42" s="206" t="s">
        <v>7992</v>
      </c>
      <c r="GC42" s="206" t="s">
        <v>7992</v>
      </c>
      <c r="GD42" s="206" t="s">
        <v>7992</v>
      </c>
      <c r="GE42" s="206" t="s">
        <v>7992</v>
      </c>
      <c r="GF42" s="206" t="s">
        <v>7992</v>
      </c>
      <c r="GG42" s="206" t="s">
        <v>7992</v>
      </c>
      <c r="GH42" s="206" t="s">
        <v>7992</v>
      </c>
      <c r="GI42" s="206" t="s">
        <v>7992</v>
      </c>
      <c r="GJ42" s="206" t="s">
        <v>7992</v>
      </c>
      <c r="GK42" s="206" t="s">
        <v>7992</v>
      </c>
      <c r="GL42" s="206" t="s">
        <v>7992</v>
      </c>
      <c r="GM42" s="206" t="s">
        <v>7992</v>
      </c>
      <c r="GN42" s="206" t="s">
        <v>7992</v>
      </c>
      <c r="GO42" s="206" t="s">
        <v>7992</v>
      </c>
      <c r="GP42" s="206" t="s">
        <v>7992</v>
      </c>
      <c r="GQ42" s="206" t="s">
        <v>7992</v>
      </c>
      <c r="GR42" s="206" t="s">
        <v>7992</v>
      </c>
      <c r="GS42" s="206" t="s">
        <v>7992</v>
      </c>
      <c r="GT42" s="206" t="s">
        <v>7992</v>
      </c>
      <c r="GU42" s="206" t="s">
        <v>7992</v>
      </c>
      <c r="GV42" s="206" t="s">
        <v>7992</v>
      </c>
      <c r="GW42" s="206" t="s">
        <v>7992</v>
      </c>
      <c r="GX42" s="206" t="s">
        <v>7992</v>
      </c>
      <c r="GY42" s="206" t="s">
        <v>7992</v>
      </c>
      <c r="GZ42" s="206" t="s">
        <v>7992</v>
      </c>
      <c r="HA42" s="206" t="s">
        <v>7992</v>
      </c>
      <c r="HB42" s="206" t="s">
        <v>7992</v>
      </c>
      <c r="HC42" s="206" t="s">
        <v>7992</v>
      </c>
      <c r="HD42" s="206" t="s">
        <v>7992</v>
      </c>
      <c r="HE42" s="206" t="s">
        <v>7992</v>
      </c>
      <c r="HF42" s="206" t="s">
        <v>7992</v>
      </c>
      <c r="HG42" s="206" t="s">
        <v>7992</v>
      </c>
      <c r="HH42" s="206" t="s">
        <v>7992</v>
      </c>
      <c r="HI42" s="206" t="s">
        <v>7992</v>
      </c>
      <c r="HJ42" s="206" t="s">
        <v>7992</v>
      </c>
      <c r="HK42" s="206" t="s">
        <v>7992</v>
      </c>
      <c r="HL42" s="206" t="s">
        <v>7992</v>
      </c>
      <c r="HM42" s="206" t="s">
        <v>7992</v>
      </c>
      <c r="HN42" s="206" t="s">
        <v>7992</v>
      </c>
      <c r="HO42" s="206" t="s">
        <v>7992</v>
      </c>
      <c r="HP42" s="206" t="s">
        <v>7992</v>
      </c>
      <c r="HQ42" s="206" t="s">
        <v>7992</v>
      </c>
      <c r="HR42" s="206" t="s">
        <v>7992</v>
      </c>
      <c r="HS42" s="206" t="s">
        <v>7992</v>
      </c>
      <c r="HT42" s="206" t="s">
        <v>7992</v>
      </c>
      <c r="HU42" s="206" t="s">
        <v>7992</v>
      </c>
      <c r="HV42" s="206" t="s">
        <v>7992</v>
      </c>
      <c r="HW42" s="206" t="s">
        <v>7992</v>
      </c>
      <c r="HX42" s="206" t="s">
        <v>7992</v>
      </c>
      <c r="HY42" s="206" t="s">
        <v>7992</v>
      </c>
      <c r="HZ42" s="206" t="s">
        <v>7992</v>
      </c>
      <c r="IA42" s="206" t="s">
        <v>7992</v>
      </c>
      <c r="IB42" s="206" t="s">
        <v>7992</v>
      </c>
      <c r="IC42" s="206" t="s">
        <v>7992</v>
      </c>
      <c r="ID42" s="206" t="s">
        <v>7992</v>
      </c>
      <c r="IE42" s="206" t="s">
        <v>7992</v>
      </c>
      <c r="IF42" s="206" t="s">
        <v>7992</v>
      </c>
      <c r="IG42" s="206" t="s">
        <v>7992</v>
      </c>
      <c r="IH42" s="206" t="s">
        <v>7992</v>
      </c>
      <c r="II42" s="206" t="s">
        <v>7992</v>
      </c>
      <c r="IJ42" s="206" t="s">
        <v>7992</v>
      </c>
      <c r="IK42" s="206" t="s">
        <v>7992</v>
      </c>
      <c r="IL42" s="206" t="s">
        <v>7992</v>
      </c>
      <c r="IM42" s="206" t="s">
        <v>7992</v>
      </c>
      <c r="IN42" s="206" t="s">
        <v>7992</v>
      </c>
      <c r="IO42" s="206" t="s">
        <v>7992</v>
      </c>
      <c r="IP42" s="206" t="s">
        <v>7992</v>
      </c>
      <c r="IQ42" s="206" t="s">
        <v>7992</v>
      </c>
      <c r="IR42" s="206" t="s">
        <v>7992</v>
      </c>
      <c r="IS42" s="206" t="s">
        <v>7992</v>
      </c>
      <c r="IT42" s="206" t="s">
        <v>7992</v>
      </c>
      <c r="IU42" s="206" t="s">
        <v>7992</v>
      </c>
      <c r="IV42" s="206" t="s">
        <v>7992</v>
      </c>
      <c r="IW42" s="206" t="s">
        <v>7992</v>
      </c>
      <c r="IX42" s="206" t="s">
        <v>7992</v>
      </c>
      <c r="IY42" s="206" t="s">
        <v>7992</v>
      </c>
      <c r="IZ42" s="206" t="s">
        <v>7992</v>
      </c>
      <c r="JA42" s="206" t="s">
        <v>7992</v>
      </c>
      <c r="JB42" s="206" t="s">
        <v>7992</v>
      </c>
      <c r="JC42" s="206" t="s">
        <v>7992</v>
      </c>
      <c r="JD42" s="206" t="s">
        <v>7992</v>
      </c>
      <c r="JE42" s="206" t="s">
        <v>7992</v>
      </c>
      <c r="JF42" s="206" t="s">
        <v>7992</v>
      </c>
      <c r="JG42" s="206" t="s">
        <v>7992</v>
      </c>
      <c r="JH42" s="206" t="s">
        <v>7992</v>
      </c>
      <c r="JI42" s="206" t="s">
        <v>7992</v>
      </c>
      <c r="JJ42" s="206" t="s">
        <v>7992</v>
      </c>
      <c r="JK42" s="206" t="s">
        <v>7992</v>
      </c>
      <c r="JL42" s="206" t="s">
        <v>7992</v>
      </c>
      <c r="JM42" s="206" t="s">
        <v>7992</v>
      </c>
      <c r="JN42" s="206" t="s">
        <v>7992</v>
      </c>
      <c r="JO42" s="206" t="s">
        <v>7992</v>
      </c>
      <c r="JP42" s="206" t="s">
        <v>7992</v>
      </c>
      <c r="JQ42" s="206" t="s">
        <v>7992</v>
      </c>
      <c r="JR42" s="206" t="s">
        <v>7992</v>
      </c>
      <c r="JS42" s="206" t="s">
        <v>7992</v>
      </c>
      <c r="JT42" s="206" t="s">
        <v>7992</v>
      </c>
      <c r="JU42" s="206" t="s">
        <v>7992</v>
      </c>
      <c r="JV42" s="206" t="s">
        <v>7992</v>
      </c>
      <c r="JW42" s="206" t="s">
        <v>7992</v>
      </c>
      <c r="JX42" s="206" t="s">
        <v>7992</v>
      </c>
      <c r="JY42" s="206" t="s">
        <v>7992</v>
      </c>
      <c r="JZ42" s="206" t="s">
        <v>7992</v>
      </c>
      <c r="KA42" s="206" t="s">
        <v>7992</v>
      </c>
      <c r="KB42" s="206" t="s">
        <v>7992</v>
      </c>
      <c r="KC42" s="206" t="s">
        <v>7992</v>
      </c>
      <c r="KD42" s="206" t="s">
        <v>7992</v>
      </c>
      <c r="KE42" s="206" t="s">
        <v>7992</v>
      </c>
      <c r="KF42" s="206" t="s">
        <v>7992</v>
      </c>
      <c r="KG42" s="206" t="s">
        <v>7992</v>
      </c>
      <c r="KH42" s="206" t="s">
        <v>7992</v>
      </c>
      <c r="KI42" s="206" t="s">
        <v>7992</v>
      </c>
      <c r="KJ42" s="206" t="s">
        <v>7992</v>
      </c>
      <c r="KK42" s="206" t="s">
        <v>7992</v>
      </c>
      <c r="KL42" s="206" t="s">
        <v>7992</v>
      </c>
      <c r="KM42" s="206" t="s">
        <v>7992</v>
      </c>
      <c r="KN42" s="206" t="s">
        <v>7992</v>
      </c>
      <c r="KO42" s="206" t="s">
        <v>7992</v>
      </c>
      <c r="KP42" s="206" t="s">
        <v>7992</v>
      </c>
      <c r="KQ42" s="206" t="s">
        <v>7992</v>
      </c>
      <c r="KR42" s="206" t="s">
        <v>7992</v>
      </c>
      <c r="KS42" s="206" t="s">
        <v>7992</v>
      </c>
      <c r="KT42" s="206" t="s">
        <v>7992</v>
      </c>
      <c r="KU42" s="206" t="s">
        <v>7992</v>
      </c>
      <c r="KV42" s="206" t="s">
        <v>7992</v>
      </c>
      <c r="KW42" s="206" t="s">
        <v>7992</v>
      </c>
      <c r="KX42" s="206" t="s">
        <v>7992</v>
      </c>
      <c r="KY42" s="206" t="s">
        <v>7992</v>
      </c>
      <c r="KZ42" s="206" t="s">
        <v>7992</v>
      </c>
      <c r="LA42" s="206" t="s">
        <v>7992</v>
      </c>
      <c r="LB42" s="206" t="s">
        <v>7992</v>
      </c>
      <c r="LC42" s="206" t="s">
        <v>7992</v>
      </c>
      <c r="LD42" s="206" t="s">
        <v>7992</v>
      </c>
      <c r="LE42" s="206" t="s">
        <v>7992</v>
      </c>
      <c r="LF42" s="206" t="s">
        <v>7992</v>
      </c>
      <c r="LG42" s="206" t="s">
        <v>7992</v>
      </c>
      <c r="LH42" s="206" t="s">
        <v>7992</v>
      </c>
      <c r="LI42" s="206" t="s">
        <v>7992</v>
      </c>
      <c r="LJ42" s="206" t="s">
        <v>7992</v>
      </c>
      <c r="LK42" s="206" t="s">
        <v>7992</v>
      </c>
      <c r="LL42" s="206" t="s">
        <v>7992</v>
      </c>
      <c r="LM42" s="206" t="s">
        <v>7992</v>
      </c>
      <c r="LN42" s="206" t="s">
        <v>7992</v>
      </c>
      <c r="LO42" s="206" t="s">
        <v>7992</v>
      </c>
      <c r="LP42" s="206" t="s">
        <v>7992</v>
      </c>
      <c r="LQ42" s="206" t="s">
        <v>7992</v>
      </c>
      <c r="LR42" s="206" t="s">
        <v>7992</v>
      </c>
      <c r="LS42" s="206" t="s">
        <v>7992</v>
      </c>
      <c r="LT42" s="206" t="s">
        <v>7992</v>
      </c>
      <c r="LU42" s="206" t="s">
        <v>7992</v>
      </c>
      <c r="LV42" s="206" t="s">
        <v>7992</v>
      </c>
      <c r="LW42" s="206" t="s">
        <v>7992</v>
      </c>
      <c r="LX42" s="206" t="s">
        <v>7992</v>
      </c>
      <c r="LY42" s="206" t="s">
        <v>7992</v>
      </c>
      <c r="LZ42" s="206" t="s">
        <v>7992</v>
      </c>
      <c r="MA42" s="206" t="s">
        <v>7992</v>
      </c>
      <c r="MB42" s="206" t="s">
        <v>7992</v>
      </c>
      <c r="MC42" s="206" t="s">
        <v>7992</v>
      </c>
      <c r="MD42" s="206" t="s">
        <v>7992</v>
      </c>
      <c r="ME42" s="206" t="s">
        <v>7992</v>
      </c>
      <c r="MF42" s="206" t="s">
        <v>7992</v>
      </c>
      <c r="MG42" s="206" t="s">
        <v>7992</v>
      </c>
      <c r="MH42" s="206" t="s">
        <v>7992</v>
      </c>
      <c r="MI42" s="206" t="s">
        <v>7992</v>
      </c>
      <c r="MJ42" s="206" t="s">
        <v>7992</v>
      </c>
      <c r="MK42" s="206" t="s">
        <v>7992</v>
      </c>
      <c r="ML42" s="206" t="s">
        <v>7992</v>
      </c>
      <c r="MM42" s="206" t="s">
        <v>7992</v>
      </c>
      <c r="MN42" s="206" t="s">
        <v>7992</v>
      </c>
      <c r="MO42" s="206" t="s">
        <v>7992</v>
      </c>
      <c r="MP42" s="206" t="s">
        <v>7992</v>
      </c>
      <c r="MQ42" s="206" t="s">
        <v>7992</v>
      </c>
      <c r="MR42" s="206" t="s">
        <v>7992</v>
      </c>
      <c r="MS42" s="206" t="s">
        <v>7992</v>
      </c>
      <c r="MT42" s="206" t="s">
        <v>7992</v>
      </c>
      <c r="MU42" s="206" t="s">
        <v>7992</v>
      </c>
      <c r="MV42" s="206" t="s">
        <v>7992</v>
      </c>
      <c r="MW42" s="206" t="s">
        <v>7992</v>
      </c>
      <c r="MX42" s="206" t="s">
        <v>7992</v>
      </c>
      <c r="MY42" s="206" t="s">
        <v>7992</v>
      </c>
      <c r="MZ42" s="206" t="s">
        <v>7992</v>
      </c>
      <c r="NA42" s="206" t="s">
        <v>7992</v>
      </c>
      <c r="NB42" s="206" t="s">
        <v>7992</v>
      </c>
      <c r="NC42" s="206" t="s">
        <v>7992</v>
      </c>
      <c r="ND42" s="206" t="s">
        <v>7992</v>
      </c>
      <c r="NE42" s="206" t="s">
        <v>7992</v>
      </c>
      <c r="NF42" s="206" t="s">
        <v>7992</v>
      </c>
      <c r="NG42" s="206" t="s">
        <v>7992</v>
      </c>
      <c r="NH42" s="206" t="s">
        <v>7992</v>
      </c>
      <c r="NI42" s="206" t="s">
        <v>7992</v>
      </c>
      <c r="NJ42" s="206" t="s">
        <v>7992</v>
      </c>
      <c r="NK42" s="206" t="s">
        <v>7992</v>
      </c>
      <c r="NL42" s="206" t="s">
        <v>7992</v>
      </c>
      <c r="NM42" s="206" t="s">
        <v>7992</v>
      </c>
      <c r="NN42" s="206" t="s">
        <v>7992</v>
      </c>
      <c r="NO42" s="206" t="s">
        <v>7992</v>
      </c>
      <c r="NP42" s="206" t="s">
        <v>7992</v>
      </c>
      <c r="NQ42" s="206" t="s">
        <v>7992</v>
      </c>
      <c r="NR42" s="206" t="s">
        <v>7992</v>
      </c>
      <c r="NS42" s="206" t="s">
        <v>7992</v>
      </c>
      <c r="NT42" s="206" t="s">
        <v>7992</v>
      </c>
      <c r="NU42" s="206" t="s">
        <v>7992</v>
      </c>
      <c r="NV42" s="206" t="s">
        <v>7992</v>
      </c>
      <c r="NW42" s="206" t="s">
        <v>7992</v>
      </c>
      <c r="NX42" s="206" t="s">
        <v>7992</v>
      </c>
      <c r="NY42" s="206" t="s">
        <v>7992</v>
      </c>
      <c r="NZ42" s="206" t="s">
        <v>7992</v>
      </c>
      <c r="OA42" s="206" t="s">
        <v>7992</v>
      </c>
      <c r="OB42" s="206" t="s">
        <v>7992</v>
      </c>
      <c r="OC42" s="206" t="s">
        <v>7992</v>
      </c>
      <c r="OD42" s="206" t="s">
        <v>7992</v>
      </c>
      <c r="OE42" s="206" t="s">
        <v>7992</v>
      </c>
      <c r="OF42" s="206" t="s">
        <v>7992</v>
      </c>
      <c r="OG42" s="206" t="s">
        <v>7992</v>
      </c>
      <c r="OH42" s="206" t="s">
        <v>7992</v>
      </c>
      <c r="OI42" s="206" t="s">
        <v>7992</v>
      </c>
      <c r="OJ42" s="206" t="s">
        <v>7992</v>
      </c>
      <c r="OK42" s="206" t="s">
        <v>7992</v>
      </c>
      <c r="OL42" s="206" t="s">
        <v>7992</v>
      </c>
      <c r="OM42" s="206" t="s">
        <v>7992</v>
      </c>
      <c r="ON42" s="206" t="s">
        <v>7992</v>
      </c>
      <c r="OO42" s="206" t="s">
        <v>7992</v>
      </c>
      <c r="OP42" s="206" t="s">
        <v>7992</v>
      </c>
      <c r="OQ42" s="206" t="s">
        <v>7992</v>
      </c>
      <c r="OR42" s="206" t="s">
        <v>7992</v>
      </c>
      <c r="OS42" s="206" t="s">
        <v>7992</v>
      </c>
      <c r="OT42" s="206" t="s">
        <v>7992</v>
      </c>
      <c r="OU42" s="206" t="s">
        <v>7992</v>
      </c>
      <c r="OV42" s="206" t="s">
        <v>7992</v>
      </c>
      <c r="OW42" s="206" t="s">
        <v>7992</v>
      </c>
      <c r="OX42" s="206" t="s">
        <v>7992</v>
      </c>
      <c r="OY42" s="206" t="s">
        <v>7992</v>
      </c>
      <c r="OZ42" s="206" t="s">
        <v>7992</v>
      </c>
      <c r="PA42" s="206" t="s">
        <v>7992</v>
      </c>
      <c r="PB42" s="206" t="s">
        <v>7992</v>
      </c>
      <c r="PC42" s="206" t="s">
        <v>7992</v>
      </c>
      <c r="PD42" s="206" t="s">
        <v>7992</v>
      </c>
      <c r="PE42" s="206" t="s">
        <v>7992</v>
      </c>
      <c r="PF42" s="206" t="s">
        <v>7992</v>
      </c>
      <c r="PG42" s="206" t="s">
        <v>7992</v>
      </c>
      <c r="PH42" s="206" t="s">
        <v>7992</v>
      </c>
      <c r="PI42" s="206" t="s">
        <v>7992</v>
      </c>
      <c r="PJ42" s="206" t="s">
        <v>7992</v>
      </c>
      <c r="PK42" s="206" t="s">
        <v>7992</v>
      </c>
      <c r="PL42" s="206" t="s">
        <v>7992</v>
      </c>
      <c r="PM42" s="206" t="s">
        <v>7992</v>
      </c>
      <c r="PN42" s="206" t="s">
        <v>7992</v>
      </c>
      <c r="PO42" s="206" t="s">
        <v>7992</v>
      </c>
      <c r="PP42" s="206" t="s">
        <v>7992</v>
      </c>
      <c r="PQ42" s="206" t="s">
        <v>7992</v>
      </c>
      <c r="PR42" s="206" t="s">
        <v>7992</v>
      </c>
      <c r="PS42" s="206" t="s">
        <v>7992</v>
      </c>
      <c r="PT42" s="206" t="s">
        <v>7992</v>
      </c>
      <c r="PU42" s="206" t="s">
        <v>7992</v>
      </c>
      <c r="PV42" s="206" t="s">
        <v>7992</v>
      </c>
      <c r="PW42" s="206" t="s">
        <v>7992</v>
      </c>
      <c r="PX42" s="206" t="s">
        <v>7992</v>
      </c>
      <c r="PY42" s="206" t="s">
        <v>7992</v>
      </c>
      <c r="PZ42" s="206" t="s">
        <v>7992</v>
      </c>
      <c r="QA42" s="206" t="s">
        <v>7992</v>
      </c>
      <c r="QB42" s="206" t="s">
        <v>7992</v>
      </c>
      <c r="QC42" s="206" t="s">
        <v>7992</v>
      </c>
      <c r="QD42" s="206" t="s">
        <v>7992</v>
      </c>
      <c r="QE42" s="206" t="s">
        <v>7992</v>
      </c>
      <c r="QF42" s="206" t="s">
        <v>7992</v>
      </c>
      <c r="QG42" s="206" t="s">
        <v>7992</v>
      </c>
      <c r="QH42" s="206" t="s">
        <v>7992</v>
      </c>
      <c r="QI42" s="206" t="s">
        <v>7992</v>
      </c>
      <c r="QJ42" s="206" t="s">
        <v>7992</v>
      </c>
      <c r="QK42" s="206" t="s">
        <v>7992</v>
      </c>
      <c r="QL42" s="206" t="s">
        <v>7992</v>
      </c>
      <c r="QM42" s="206" t="s">
        <v>7992</v>
      </c>
      <c r="QN42" s="206" t="s">
        <v>7992</v>
      </c>
      <c r="QO42" s="206" t="s">
        <v>7992</v>
      </c>
      <c r="QP42" s="206" t="s">
        <v>7992</v>
      </c>
      <c r="QQ42" s="206" t="s">
        <v>7992</v>
      </c>
      <c r="QR42" s="206" t="s">
        <v>7992</v>
      </c>
      <c r="QS42" s="206" t="s">
        <v>7992</v>
      </c>
      <c r="QT42" s="206" t="s">
        <v>7992</v>
      </c>
      <c r="QU42" s="206" t="s">
        <v>7992</v>
      </c>
      <c r="QV42" s="206" t="s">
        <v>7992</v>
      </c>
      <c r="QW42" s="206" t="s">
        <v>7992</v>
      </c>
      <c r="QX42" s="206" t="s">
        <v>7992</v>
      </c>
      <c r="QY42" s="206" t="s">
        <v>7992</v>
      </c>
      <c r="QZ42" s="206" t="s">
        <v>7992</v>
      </c>
      <c r="RA42" s="206" t="s">
        <v>7992</v>
      </c>
      <c r="RB42" s="206" t="s">
        <v>7992</v>
      </c>
      <c r="RC42" s="206" t="s">
        <v>7992</v>
      </c>
      <c r="RD42" s="206" t="s">
        <v>7992</v>
      </c>
      <c r="RE42" s="206" t="s">
        <v>7992</v>
      </c>
      <c r="RF42" s="206" t="s">
        <v>7992</v>
      </c>
      <c r="RG42" s="206" t="s">
        <v>7992</v>
      </c>
      <c r="RH42" s="206" t="s">
        <v>7992</v>
      </c>
      <c r="RI42" s="206" t="s">
        <v>7992</v>
      </c>
      <c r="RJ42" s="206" t="s">
        <v>7992</v>
      </c>
      <c r="RK42" s="206" t="s">
        <v>7992</v>
      </c>
      <c r="RL42" s="206" t="s">
        <v>7992</v>
      </c>
      <c r="RM42" s="206" t="s">
        <v>7992</v>
      </c>
      <c r="RN42" s="206" t="s">
        <v>7992</v>
      </c>
      <c r="RO42" s="206" t="s">
        <v>7992</v>
      </c>
      <c r="RP42" s="206" t="s">
        <v>7992</v>
      </c>
      <c r="RQ42" s="206" t="s">
        <v>7992</v>
      </c>
      <c r="RR42" s="206" t="s">
        <v>7992</v>
      </c>
      <c r="RS42" s="206" t="s">
        <v>7992</v>
      </c>
      <c r="RT42" s="206" t="s">
        <v>7992</v>
      </c>
      <c r="RU42" s="206" t="s">
        <v>7992</v>
      </c>
      <c r="RV42" s="206" t="s">
        <v>7992</v>
      </c>
      <c r="RW42" s="206" t="s">
        <v>7992</v>
      </c>
      <c r="RX42" s="206" t="s">
        <v>7992</v>
      </c>
      <c r="RY42" s="206" t="s">
        <v>7992</v>
      </c>
      <c r="RZ42" s="206" t="s">
        <v>7992</v>
      </c>
      <c r="SA42" s="206" t="s">
        <v>7992</v>
      </c>
      <c r="SB42" s="206" t="s">
        <v>7992</v>
      </c>
      <c r="SC42" s="206" t="s">
        <v>7992</v>
      </c>
      <c r="SD42" s="206" t="s">
        <v>7992</v>
      </c>
      <c r="SE42" s="206" t="s">
        <v>7992</v>
      </c>
      <c r="SF42" s="206" t="s">
        <v>7992</v>
      </c>
      <c r="SG42" s="206" t="s">
        <v>7992</v>
      </c>
      <c r="SH42" s="206" t="s">
        <v>7992</v>
      </c>
      <c r="SI42" s="206" t="s">
        <v>7992</v>
      </c>
      <c r="SJ42" s="206" t="s">
        <v>7992</v>
      </c>
      <c r="SK42" s="206" t="s">
        <v>7992</v>
      </c>
      <c r="SL42" s="206" t="s">
        <v>7992</v>
      </c>
      <c r="SM42" s="206" t="s">
        <v>7992</v>
      </c>
      <c r="SN42" s="206" t="s">
        <v>7992</v>
      </c>
      <c r="SO42" s="206" t="s">
        <v>7992</v>
      </c>
      <c r="SP42" s="206" t="s">
        <v>7992</v>
      </c>
      <c r="SQ42" s="206" t="s">
        <v>7992</v>
      </c>
      <c r="SR42" s="206" t="s">
        <v>7992</v>
      </c>
      <c r="SS42" s="206" t="s">
        <v>7992</v>
      </c>
      <c r="ST42" s="206" t="s">
        <v>7992</v>
      </c>
      <c r="SU42" s="206" t="s">
        <v>7992</v>
      </c>
      <c r="SV42" s="206" t="s">
        <v>7992</v>
      </c>
      <c r="SW42" s="206" t="s">
        <v>7992</v>
      </c>
      <c r="SX42" s="206" t="s">
        <v>7992</v>
      </c>
      <c r="SY42" s="206" t="s">
        <v>7992</v>
      </c>
      <c r="SZ42" s="206" t="s">
        <v>7992</v>
      </c>
      <c r="TA42" s="206" t="s">
        <v>7992</v>
      </c>
      <c r="TB42" s="206" t="s">
        <v>7992</v>
      </c>
      <c r="TC42" s="206" t="s">
        <v>7992</v>
      </c>
      <c r="TD42" s="206" t="s">
        <v>7992</v>
      </c>
      <c r="TE42" s="206" t="s">
        <v>7992</v>
      </c>
      <c r="TF42" s="206" t="s">
        <v>7992</v>
      </c>
      <c r="TG42" s="206" t="s">
        <v>7992</v>
      </c>
      <c r="TH42" s="206" t="s">
        <v>7992</v>
      </c>
      <c r="TI42" s="206" t="s">
        <v>7992</v>
      </c>
      <c r="TJ42" s="206" t="s">
        <v>7992</v>
      </c>
      <c r="TK42" s="206" t="s">
        <v>7992</v>
      </c>
      <c r="TL42" s="206" t="s">
        <v>7992</v>
      </c>
      <c r="TM42" s="206" t="s">
        <v>7992</v>
      </c>
      <c r="TN42" s="206" t="s">
        <v>7992</v>
      </c>
      <c r="TO42" s="206" t="s">
        <v>7992</v>
      </c>
      <c r="TP42" s="206" t="s">
        <v>7992</v>
      </c>
      <c r="TQ42" s="206" t="s">
        <v>7992</v>
      </c>
      <c r="TR42" s="206" t="s">
        <v>7992</v>
      </c>
      <c r="TS42" s="206" t="s">
        <v>7992</v>
      </c>
      <c r="TT42" s="206" t="s">
        <v>7992</v>
      </c>
      <c r="TU42" s="206" t="s">
        <v>7992</v>
      </c>
      <c r="TV42" s="206" t="s">
        <v>7992</v>
      </c>
      <c r="TW42" s="206" t="s">
        <v>7992</v>
      </c>
      <c r="TX42" s="206" t="s">
        <v>7992</v>
      </c>
      <c r="TY42" s="206" t="s">
        <v>7992</v>
      </c>
      <c r="TZ42" s="206" t="s">
        <v>7992</v>
      </c>
      <c r="UA42" s="206" t="s">
        <v>7992</v>
      </c>
      <c r="UB42" s="206" t="s">
        <v>7992</v>
      </c>
      <c r="UC42" s="206" t="s">
        <v>7992</v>
      </c>
      <c r="UD42" s="206" t="s">
        <v>7992</v>
      </c>
      <c r="UE42" s="206" t="s">
        <v>7992</v>
      </c>
      <c r="UF42" s="206" t="s">
        <v>7992</v>
      </c>
      <c r="UG42" s="206" t="s">
        <v>7992</v>
      </c>
      <c r="UH42" s="206" t="s">
        <v>7992</v>
      </c>
      <c r="UI42" s="206" t="s">
        <v>7992</v>
      </c>
      <c r="UJ42" s="206" t="s">
        <v>7992</v>
      </c>
      <c r="UK42" s="206" t="s">
        <v>7992</v>
      </c>
      <c r="UL42" s="206" t="s">
        <v>7992</v>
      </c>
      <c r="UM42" s="206" t="s">
        <v>7992</v>
      </c>
      <c r="UN42" s="206" t="s">
        <v>7992</v>
      </c>
      <c r="UO42" s="206" t="s">
        <v>7992</v>
      </c>
      <c r="UP42" s="206" t="s">
        <v>7992</v>
      </c>
      <c r="UQ42" s="206" t="s">
        <v>7992</v>
      </c>
      <c r="UR42" s="206" t="s">
        <v>7992</v>
      </c>
      <c r="US42" s="206" t="s">
        <v>7992</v>
      </c>
      <c r="UT42" s="206" t="s">
        <v>7992</v>
      </c>
      <c r="UU42" s="206" t="s">
        <v>7992</v>
      </c>
      <c r="UV42" s="206" t="s">
        <v>7992</v>
      </c>
      <c r="UW42" s="206" t="s">
        <v>7992</v>
      </c>
      <c r="UX42" s="206" t="s">
        <v>7992</v>
      </c>
      <c r="UY42" s="206" t="s">
        <v>7992</v>
      </c>
      <c r="UZ42" s="206" t="s">
        <v>7992</v>
      </c>
      <c r="VA42" s="206" t="s">
        <v>7992</v>
      </c>
      <c r="VB42" s="206" t="s">
        <v>7992</v>
      </c>
      <c r="VC42" s="206" t="s">
        <v>7992</v>
      </c>
      <c r="VD42" s="206" t="s">
        <v>7992</v>
      </c>
      <c r="VE42" s="206" t="s">
        <v>7992</v>
      </c>
      <c r="VF42" s="206" t="s">
        <v>7992</v>
      </c>
      <c r="VG42" s="206" t="s">
        <v>7992</v>
      </c>
      <c r="VH42" s="206" t="s">
        <v>7992</v>
      </c>
      <c r="VI42" s="206" t="s">
        <v>7992</v>
      </c>
      <c r="VJ42" s="206" t="s">
        <v>7992</v>
      </c>
      <c r="VK42" s="206" t="s">
        <v>7992</v>
      </c>
      <c r="VL42" s="206" t="s">
        <v>7992</v>
      </c>
      <c r="VM42" s="206" t="s">
        <v>7992</v>
      </c>
      <c r="VN42" s="206" t="s">
        <v>7992</v>
      </c>
      <c r="VO42" s="206" t="s">
        <v>7992</v>
      </c>
      <c r="VP42" s="206" t="s">
        <v>7992</v>
      </c>
      <c r="VQ42" s="206" t="s">
        <v>7992</v>
      </c>
      <c r="VR42" s="206" t="s">
        <v>7992</v>
      </c>
      <c r="VS42" s="206" t="s">
        <v>7992</v>
      </c>
      <c r="VT42" s="206" t="s">
        <v>7992</v>
      </c>
      <c r="VU42" s="206" t="s">
        <v>7992</v>
      </c>
      <c r="VV42" s="206" t="s">
        <v>7992</v>
      </c>
      <c r="VW42" s="206" t="s">
        <v>7992</v>
      </c>
      <c r="VX42" s="206" t="s">
        <v>7992</v>
      </c>
      <c r="VY42" s="206" t="s">
        <v>7992</v>
      </c>
      <c r="VZ42" s="206" t="s">
        <v>7992</v>
      </c>
      <c r="WA42" s="206" t="s">
        <v>7992</v>
      </c>
      <c r="WB42" s="206" t="s">
        <v>7992</v>
      </c>
      <c r="WC42" s="206" t="s">
        <v>7992</v>
      </c>
      <c r="WD42" s="206" t="s">
        <v>7992</v>
      </c>
      <c r="WE42" s="206" t="s">
        <v>7992</v>
      </c>
      <c r="WF42" s="206" t="s">
        <v>7992</v>
      </c>
      <c r="WG42" s="206" t="s">
        <v>7992</v>
      </c>
      <c r="WH42" s="206" t="s">
        <v>7992</v>
      </c>
      <c r="WI42" s="206" t="s">
        <v>7992</v>
      </c>
      <c r="WJ42" s="206" t="s">
        <v>7992</v>
      </c>
      <c r="WK42" s="206" t="s">
        <v>7992</v>
      </c>
      <c r="WL42" s="206" t="s">
        <v>7992</v>
      </c>
      <c r="WM42" s="206" t="s">
        <v>7992</v>
      </c>
      <c r="WN42" s="206" t="s">
        <v>7992</v>
      </c>
      <c r="WO42" s="206" t="s">
        <v>7992</v>
      </c>
      <c r="WP42" s="206" t="s">
        <v>7992</v>
      </c>
      <c r="WQ42" s="206" t="s">
        <v>7992</v>
      </c>
      <c r="WR42" s="206" t="s">
        <v>7992</v>
      </c>
      <c r="WS42" s="206" t="s">
        <v>7992</v>
      </c>
      <c r="WT42" s="206" t="s">
        <v>7992</v>
      </c>
      <c r="WU42" s="206" t="s">
        <v>7992</v>
      </c>
      <c r="WV42" s="206" t="s">
        <v>7992</v>
      </c>
      <c r="WW42" s="206" t="s">
        <v>7992</v>
      </c>
      <c r="WX42" s="206" t="s">
        <v>7992</v>
      </c>
      <c r="WY42" s="206" t="s">
        <v>7992</v>
      </c>
      <c r="WZ42" s="206" t="s">
        <v>7992</v>
      </c>
      <c r="XA42" s="206" t="s">
        <v>7992</v>
      </c>
      <c r="XB42" s="206" t="s">
        <v>7992</v>
      </c>
      <c r="XC42" s="206" t="s">
        <v>7992</v>
      </c>
      <c r="XD42" s="206" t="s">
        <v>7992</v>
      </c>
      <c r="XE42" s="206" t="s">
        <v>7992</v>
      </c>
      <c r="XF42" s="206" t="s">
        <v>7992</v>
      </c>
      <c r="XG42" s="206" t="s">
        <v>7992</v>
      </c>
      <c r="XH42" s="206" t="s">
        <v>7992</v>
      </c>
      <c r="XI42" s="206" t="s">
        <v>7992</v>
      </c>
      <c r="XJ42" s="206" t="s">
        <v>7992</v>
      </c>
      <c r="XK42" s="206" t="s">
        <v>7992</v>
      </c>
      <c r="XL42" s="206" t="s">
        <v>7992</v>
      </c>
      <c r="XM42" s="206" t="s">
        <v>7992</v>
      </c>
      <c r="XN42" s="206" t="s">
        <v>7992</v>
      </c>
      <c r="XO42" s="206" t="s">
        <v>7992</v>
      </c>
      <c r="XP42" s="206" t="s">
        <v>7992</v>
      </c>
      <c r="XQ42" s="206" t="s">
        <v>7992</v>
      </c>
      <c r="XR42" s="206" t="s">
        <v>7992</v>
      </c>
      <c r="XS42" s="206" t="s">
        <v>7992</v>
      </c>
      <c r="XT42" s="206" t="s">
        <v>7992</v>
      </c>
      <c r="XU42" s="206" t="s">
        <v>7992</v>
      </c>
      <c r="XV42" s="206" t="s">
        <v>7992</v>
      </c>
      <c r="XW42" s="206" t="s">
        <v>7992</v>
      </c>
      <c r="XX42" s="206" t="s">
        <v>7992</v>
      </c>
      <c r="XY42" s="206" t="s">
        <v>7992</v>
      </c>
      <c r="XZ42" s="206" t="s">
        <v>7992</v>
      </c>
      <c r="YA42" s="206" t="s">
        <v>7992</v>
      </c>
      <c r="YB42" s="206" t="s">
        <v>7992</v>
      </c>
      <c r="YC42" s="206" t="s">
        <v>7992</v>
      </c>
      <c r="YD42" s="206" t="s">
        <v>7992</v>
      </c>
      <c r="YE42" s="206" t="s">
        <v>7992</v>
      </c>
      <c r="YF42" s="206" t="s">
        <v>7992</v>
      </c>
      <c r="YG42" s="206" t="s">
        <v>7992</v>
      </c>
      <c r="YH42" s="206" t="s">
        <v>7992</v>
      </c>
      <c r="YI42" s="206" t="s">
        <v>7992</v>
      </c>
      <c r="YJ42" s="206" t="s">
        <v>7992</v>
      </c>
      <c r="YK42" s="206" t="s">
        <v>7992</v>
      </c>
      <c r="YL42" s="206" t="s">
        <v>7992</v>
      </c>
      <c r="YM42" s="206" t="s">
        <v>7992</v>
      </c>
      <c r="YN42" s="206" t="s">
        <v>7992</v>
      </c>
      <c r="YO42" s="206" t="s">
        <v>7992</v>
      </c>
      <c r="YP42" s="206" t="s">
        <v>7992</v>
      </c>
      <c r="YQ42" s="206" t="s">
        <v>7992</v>
      </c>
      <c r="YR42" s="206" t="s">
        <v>7992</v>
      </c>
      <c r="YS42" s="206" t="s">
        <v>7992</v>
      </c>
      <c r="YT42" s="206" t="s">
        <v>7992</v>
      </c>
      <c r="YU42" s="206" t="s">
        <v>7992</v>
      </c>
      <c r="YV42" s="206" t="s">
        <v>7992</v>
      </c>
      <c r="YW42" s="206" t="s">
        <v>7992</v>
      </c>
      <c r="YX42" s="206" t="s">
        <v>7992</v>
      </c>
      <c r="YY42" s="206" t="s">
        <v>7992</v>
      </c>
      <c r="YZ42" s="206" t="s">
        <v>7992</v>
      </c>
      <c r="ZA42" s="206" t="s">
        <v>7992</v>
      </c>
      <c r="ZB42" s="206" t="s">
        <v>7992</v>
      </c>
      <c r="ZC42" s="206" t="s">
        <v>7992</v>
      </c>
      <c r="ZD42" s="206" t="s">
        <v>7992</v>
      </c>
      <c r="ZE42" s="206" t="s">
        <v>7992</v>
      </c>
      <c r="ZF42" s="206" t="s">
        <v>7992</v>
      </c>
      <c r="ZG42" s="206" t="s">
        <v>7992</v>
      </c>
      <c r="ZH42" s="206" t="s">
        <v>7992</v>
      </c>
      <c r="ZI42" s="206" t="s">
        <v>7992</v>
      </c>
      <c r="ZJ42" s="206" t="s">
        <v>7992</v>
      </c>
      <c r="ZK42" s="206" t="s">
        <v>7992</v>
      </c>
      <c r="ZL42" s="206" t="s">
        <v>7992</v>
      </c>
      <c r="ZM42" s="206" t="s">
        <v>7992</v>
      </c>
      <c r="ZN42" s="206" t="s">
        <v>7992</v>
      </c>
      <c r="ZO42" s="206" t="s">
        <v>7992</v>
      </c>
      <c r="ZP42" s="206" t="s">
        <v>7992</v>
      </c>
      <c r="ZQ42" s="206" t="s">
        <v>7992</v>
      </c>
      <c r="ZR42" s="206" t="s">
        <v>7992</v>
      </c>
      <c r="ZS42" s="206" t="s">
        <v>7992</v>
      </c>
      <c r="ZT42" s="206" t="s">
        <v>7992</v>
      </c>
      <c r="ZU42" s="206" t="s">
        <v>7992</v>
      </c>
      <c r="ZV42" s="206" t="s">
        <v>7992</v>
      </c>
      <c r="ZW42" s="206" t="s">
        <v>7992</v>
      </c>
      <c r="ZX42" s="206" t="s">
        <v>7992</v>
      </c>
      <c r="ZY42" s="206" t="s">
        <v>7992</v>
      </c>
      <c r="ZZ42" s="206" t="s">
        <v>7992</v>
      </c>
      <c r="AAA42" s="206" t="s">
        <v>7992</v>
      </c>
      <c r="AAB42" s="206" t="s">
        <v>7992</v>
      </c>
      <c r="AAC42" s="206" t="s">
        <v>7992</v>
      </c>
      <c r="AAD42" s="206" t="s">
        <v>7992</v>
      </c>
      <c r="AAE42" s="206" t="s">
        <v>7992</v>
      </c>
    </row>
    <row r="43" spans="1:707" s="206" customFormat="1" x14ac:dyDescent="0.25">
      <c r="A43" s="212" t="s">
        <v>3365</v>
      </c>
      <c r="B43" s="231" t="s">
        <v>7992</v>
      </c>
      <c r="C43" s="231" t="s">
        <v>7992</v>
      </c>
      <c r="D43" s="225" t="s">
        <v>7992</v>
      </c>
      <c r="E43" s="225" t="s">
        <v>7992</v>
      </c>
      <c r="F43" s="225" t="s">
        <v>7992</v>
      </c>
      <c r="G43" s="232" t="s">
        <v>7992</v>
      </c>
      <c r="H43" s="155" t="s">
        <v>7992</v>
      </c>
      <c r="I43" s="155" t="s">
        <v>7992</v>
      </c>
      <c r="J43" s="155" t="s">
        <v>7992</v>
      </c>
      <c r="K43" s="214" t="s">
        <v>7992</v>
      </c>
      <c r="L43" s="214" t="s">
        <v>7992</v>
      </c>
      <c r="M43" s="214" t="s">
        <v>7992</v>
      </c>
      <c r="N43" s="214" t="s">
        <v>7992</v>
      </c>
      <c r="O43" s="214" t="s">
        <v>7992</v>
      </c>
      <c r="P43" s="214" t="s">
        <v>7992</v>
      </c>
      <c r="Q43" s="214" t="s">
        <v>7992</v>
      </c>
      <c r="R43" s="214" t="s">
        <v>7992</v>
      </c>
      <c r="S43" s="214" t="s">
        <v>7992</v>
      </c>
      <c r="T43" s="214" t="s">
        <v>7992</v>
      </c>
      <c r="U43" s="214" t="s">
        <v>7992</v>
      </c>
      <c r="V43" s="214" t="s">
        <v>7992</v>
      </c>
      <c r="W43" s="214" t="s">
        <v>7992</v>
      </c>
      <c r="X43" s="214" t="s">
        <v>7992</v>
      </c>
      <c r="Y43" s="214" t="s">
        <v>7992</v>
      </c>
      <c r="Z43" s="214" t="s">
        <v>7992</v>
      </c>
      <c r="AA43" s="214" t="s">
        <v>7992</v>
      </c>
      <c r="AB43" s="214" t="s">
        <v>7992</v>
      </c>
      <c r="AC43" s="214" t="s">
        <v>7992</v>
      </c>
      <c r="AD43" s="214" t="s">
        <v>7992</v>
      </c>
      <c r="AE43" s="214" t="s">
        <v>7992</v>
      </c>
      <c r="AF43" s="214" t="s">
        <v>7992</v>
      </c>
      <c r="AG43" s="214" t="s">
        <v>7992</v>
      </c>
      <c r="AH43" s="214" t="s">
        <v>7992</v>
      </c>
      <c r="AI43" s="214" t="s">
        <v>7992</v>
      </c>
      <c r="AJ43" s="214" t="s">
        <v>7992</v>
      </c>
      <c r="AK43" s="214" t="s">
        <v>7992</v>
      </c>
      <c r="AL43" s="214" t="s">
        <v>7992</v>
      </c>
      <c r="AM43" s="214" t="s">
        <v>7992</v>
      </c>
      <c r="AN43" s="214" t="s">
        <v>7992</v>
      </c>
      <c r="AO43" s="214" t="s">
        <v>7992</v>
      </c>
      <c r="AP43" s="214" t="s">
        <v>7992</v>
      </c>
      <c r="AQ43" s="214" t="s">
        <v>7992</v>
      </c>
      <c r="AR43" s="214" t="s">
        <v>7992</v>
      </c>
      <c r="AS43" s="214" t="s">
        <v>7992</v>
      </c>
      <c r="AT43" s="214" t="s">
        <v>7992</v>
      </c>
      <c r="AU43" s="214" t="s">
        <v>7992</v>
      </c>
      <c r="AV43" s="214" t="s">
        <v>7992</v>
      </c>
      <c r="AW43" s="213" t="s">
        <v>7992</v>
      </c>
      <c r="AX43" s="215" t="s">
        <v>7992</v>
      </c>
      <c r="AY43" s="215" t="s">
        <v>7992</v>
      </c>
      <c r="AZ43" s="215" t="s">
        <v>7992</v>
      </c>
      <c r="BA43" s="215" t="s">
        <v>7992</v>
      </c>
      <c r="BB43" s="215" t="s">
        <v>7992</v>
      </c>
      <c r="BC43" s="215" t="s">
        <v>7992</v>
      </c>
      <c r="BD43" s="215" t="s">
        <v>7992</v>
      </c>
      <c r="BE43" s="215" t="s">
        <v>7992</v>
      </c>
      <c r="BF43" s="215" t="s">
        <v>7992</v>
      </c>
      <c r="BG43" s="215" t="s">
        <v>7992</v>
      </c>
      <c r="BH43" s="215" t="s">
        <v>7992</v>
      </c>
      <c r="BI43" s="215" t="s">
        <v>7992</v>
      </c>
      <c r="BJ43" s="215" t="s">
        <v>7992</v>
      </c>
      <c r="BK43" s="215" t="s">
        <v>7992</v>
      </c>
      <c r="BL43" s="215" t="s">
        <v>7992</v>
      </c>
      <c r="BM43" s="215" t="s">
        <v>7992</v>
      </c>
      <c r="BN43" s="215" t="s">
        <v>7992</v>
      </c>
      <c r="BO43" s="215" t="s">
        <v>7992</v>
      </c>
      <c r="BP43" s="215" t="s">
        <v>7992</v>
      </c>
      <c r="BQ43" s="215" t="s">
        <v>7992</v>
      </c>
      <c r="BR43" s="215" t="s">
        <v>7992</v>
      </c>
      <c r="BS43" s="215" t="s">
        <v>7992</v>
      </c>
      <c r="BT43" s="215" t="s">
        <v>7992</v>
      </c>
      <c r="BU43" s="215" t="s">
        <v>7992</v>
      </c>
      <c r="BV43" s="215" t="s">
        <v>7992</v>
      </c>
      <c r="BW43" s="215" t="s">
        <v>7992</v>
      </c>
      <c r="BX43" s="215" t="s">
        <v>7992</v>
      </c>
      <c r="BY43" s="215" t="s">
        <v>7992</v>
      </c>
      <c r="BZ43" s="215" t="s">
        <v>7992</v>
      </c>
      <c r="CA43" s="215" t="s">
        <v>7992</v>
      </c>
      <c r="CB43" s="215" t="s">
        <v>7992</v>
      </c>
      <c r="CC43" s="215" t="s">
        <v>7992</v>
      </c>
      <c r="CD43" s="215" t="s">
        <v>7992</v>
      </c>
      <c r="CE43" s="215" t="s">
        <v>7992</v>
      </c>
      <c r="CF43" s="215" t="s">
        <v>7992</v>
      </c>
      <c r="CG43" s="215" t="s">
        <v>7992</v>
      </c>
      <c r="CH43" s="215" t="s">
        <v>7992</v>
      </c>
      <c r="CI43" s="215" t="s">
        <v>7992</v>
      </c>
      <c r="CJ43" s="215" t="s">
        <v>7992</v>
      </c>
      <c r="CK43" s="215" t="s">
        <v>7992</v>
      </c>
      <c r="CL43" s="215" t="s">
        <v>7992</v>
      </c>
      <c r="CM43" s="215" t="s">
        <v>7992</v>
      </c>
      <c r="CN43" s="215" t="s">
        <v>7992</v>
      </c>
      <c r="CO43" s="215" t="s">
        <v>7992</v>
      </c>
      <c r="CP43" s="215" t="s">
        <v>7992</v>
      </c>
      <c r="CQ43" s="215" t="s">
        <v>7992</v>
      </c>
      <c r="CR43" s="215" t="s">
        <v>7992</v>
      </c>
      <c r="CS43" s="215" t="s">
        <v>7992</v>
      </c>
      <c r="CT43" s="215" t="s">
        <v>7992</v>
      </c>
      <c r="CU43" s="215" t="s">
        <v>7992</v>
      </c>
      <c r="CV43" s="215" t="s">
        <v>7992</v>
      </c>
      <c r="CW43" s="215" t="s">
        <v>7992</v>
      </c>
      <c r="CX43" s="215" t="s">
        <v>7992</v>
      </c>
      <c r="CY43" s="215" t="s">
        <v>7992</v>
      </c>
      <c r="CZ43" s="215" t="s">
        <v>7992</v>
      </c>
      <c r="DA43" s="215" t="s">
        <v>7992</v>
      </c>
      <c r="DB43" s="215" t="s">
        <v>7992</v>
      </c>
      <c r="DC43" s="215" t="s">
        <v>7992</v>
      </c>
      <c r="DD43" s="215" t="s">
        <v>7992</v>
      </c>
      <c r="DE43" s="215" t="s">
        <v>7992</v>
      </c>
      <c r="DF43" s="215" t="s">
        <v>7992</v>
      </c>
      <c r="DG43" s="215" t="s">
        <v>7992</v>
      </c>
      <c r="DH43" s="215" t="s">
        <v>7992</v>
      </c>
      <c r="DI43" s="215" t="s">
        <v>7992</v>
      </c>
      <c r="DJ43" s="215" t="s">
        <v>7992</v>
      </c>
      <c r="DK43" s="215" t="s">
        <v>7992</v>
      </c>
      <c r="DL43" s="215" t="s">
        <v>7992</v>
      </c>
      <c r="DM43" s="215" t="s">
        <v>7992</v>
      </c>
      <c r="DN43" s="215" t="s">
        <v>7992</v>
      </c>
      <c r="DO43" s="215" t="s">
        <v>7992</v>
      </c>
      <c r="DP43" s="215" t="s">
        <v>7992</v>
      </c>
      <c r="DQ43" s="215" t="s">
        <v>7992</v>
      </c>
      <c r="DR43" s="215" t="s">
        <v>7992</v>
      </c>
      <c r="DS43" s="215" t="s">
        <v>7992</v>
      </c>
      <c r="DT43" s="215" t="s">
        <v>7992</v>
      </c>
      <c r="DU43" s="215" t="s">
        <v>7992</v>
      </c>
      <c r="DV43" s="215" t="s">
        <v>7992</v>
      </c>
      <c r="DW43" s="215" t="s">
        <v>7992</v>
      </c>
      <c r="DX43" s="215" t="s">
        <v>7992</v>
      </c>
      <c r="DY43" s="215" t="s">
        <v>7992</v>
      </c>
      <c r="DZ43" s="215" t="s">
        <v>7992</v>
      </c>
      <c r="EA43" s="215" t="s">
        <v>7992</v>
      </c>
      <c r="EB43" s="215" t="s">
        <v>7992</v>
      </c>
      <c r="EC43" s="215" t="s">
        <v>7992</v>
      </c>
      <c r="ED43" s="215" t="s">
        <v>7992</v>
      </c>
      <c r="EE43" s="215" t="s">
        <v>7992</v>
      </c>
      <c r="EF43" s="215" t="s">
        <v>7992</v>
      </c>
      <c r="EG43" s="215" t="s">
        <v>7992</v>
      </c>
      <c r="EH43" s="215" t="s">
        <v>7992</v>
      </c>
      <c r="EI43" s="215" t="s">
        <v>7992</v>
      </c>
      <c r="EJ43" s="215" t="s">
        <v>7992</v>
      </c>
      <c r="EK43" s="215" t="s">
        <v>7992</v>
      </c>
      <c r="EL43" s="215" t="s">
        <v>7992</v>
      </c>
      <c r="EM43" s="215" t="s">
        <v>7992</v>
      </c>
      <c r="EN43" s="215" t="s">
        <v>7992</v>
      </c>
      <c r="EO43" s="215" t="s">
        <v>7992</v>
      </c>
      <c r="EP43" s="215" t="s">
        <v>7992</v>
      </c>
      <c r="EQ43" s="215" t="s">
        <v>7992</v>
      </c>
      <c r="ER43" s="215" t="s">
        <v>7992</v>
      </c>
      <c r="ES43" s="215" t="s">
        <v>7992</v>
      </c>
      <c r="ET43" s="215" t="s">
        <v>7992</v>
      </c>
      <c r="EU43" s="215" t="s">
        <v>7992</v>
      </c>
      <c r="EV43" s="215" t="s">
        <v>7992</v>
      </c>
      <c r="EW43" s="215" t="s">
        <v>7992</v>
      </c>
      <c r="EX43" s="215" t="s">
        <v>7992</v>
      </c>
      <c r="EY43" s="215" t="s">
        <v>7992</v>
      </c>
      <c r="EZ43" s="215" t="s">
        <v>7992</v>
      </c>
      <c r="FA43" s="215" t="s">
        <v>7992</v>
      </c>
      <c r="FB43" s="215" t="s">
        <v>7992</v>
      </c>
      <c r="FC43" s="215" t="s">
        <v>7992</v>
      </c>
      <c r="FD43" s="215" t="s">
        <v>7992</v>
      </c>
      <c r="FE43" s="215" t="s">
        <v>7992</v>
      </c>
      <c r="FF43" s="215" t="s">
        <v>7992</v>
      </c>
      <c r="FG43" s="215" t="s">
        <v>7992</v>
      </c>
      <c r="FH43" s="215" t="s">
        <v>7992</v>
      </c>
      <c r="FI43" s="215" t="s">
        <v>7992</v>
      </c>
      <c r="FJ43" s="215" t="s">
        <v>7992</v>
      </c>
      <c r="FK43" s="215" t="s">
        <v>7992</v>
      </c>
      <c r="FL43" s="215" t="s">
        <v>7992</v>
      </c>
      <c r="FM43" s="215" t="s">
        <v>7992</v>
      </c>
      <c r="FN43" s="215" t="s">
        <v>7992</v>
      </c>
      <c r="FO43" s="215" t="s">
        <v>7992</v>
      </c>
      <c r="FP43" s="215" t="s">
        <v>7992</v>
      </c>
      <c r="FQ43" s="215" t="s">
        <v>7992</v>
      </c>
      <c r="FR43" s="215" t="s">
        <v>7992</v>
      </c>
      <c r="FS43" s="215" t="s">
        <v>7992</v>
      </c>
      <c r="FT43" s="215" t="s">
        <v>7992</v>
      </c>
      <c r="FU43" s="215" t="s">
        <v>7992</v>
      </c>
      <c r="FV43" s="215" t="s">
        <v>7992</v>
      </c>
      <c r="FW43" s="215" t="s">
        <v>7992</v>
      </c>
      <c r="FX43" s="215" t="s">
        <v>7992</v>
      </c>
      <c r="FY43" s="215" t="s">
        <v>7992</v>
      </c>
      <c r="FZ43" s="215" t="s">
        <v>7992</v>
      </c>
      <c r="GA43" s="215" t="s">
        <v>7992</v>
      </c>
      <c r="GB43" s="215" t="s">
        <v>7992</v>
      </c>
      <c r="GC43" s="215" t="s">
        <v>7992</v>
      </c>
      <c r="GD43" s="215" t="s">
        <v>7992</v>
      </c>
      <c r="GE43" s="215" t="s">
        <v>7992</v>
      </c>
      <c r="GF43" s="215" t="s">
        <v>7992</v>
      </c>
      <c r="GG43" s="215" t="s">
        <v>7992</v>
      </c>
      <c r="GH43" s="215" t="s">
        <v>7992</v>
      </c>
      <c r="GI43" s="215" t="s">
        <v>7992</v>
      </c>
      <c r="GJ43" s="215" t="s">
        <v>7992</v>
      </c>
      <c r="GK43" s="215" t="s">
        <v>7992</v>
      </c>
      <c r="GL43" s="215" t="s">
        <v>7992</v>
      </c>
      <c r="GM43" s="215" t="s">
        <v>7992</v>
      </c>
      <c r="GN43" s="215" t="s">
        <v>7992</v>
      </c>
      <c r="GO43" s="215" t="s">
        <v>7992</v>
      </c>
      <c r="GP43" s="215" t="s">
        <v>7992</v>
      </c>
      <c r="GQ43" s="215" t="s">
        <v>7992</v>
      </c>
      <c r="GR43" s="215" t="s">
        <v>7992</v>
      </c>
      <c r="GS43" s="215" t="s">
        <v>7992</v>
      </c>
      <c r="GT43" s="215" t="s">
        <v>7992</v>
      </c>
      <c r="GU43" s="215" t="s">
        <v>7992</v>
      </c>
      <c r="GV43" s="215" t="s">
        <v>7992</v>
      </c>
      <c r="GW43" s="215" t="s">
        <v>7992</v>
      </c>
      <c r="GX43" s="215" t="s">
        <v>7992</v>
      </c>
      <c r="GY43" s="215" t="s">
        <v>7992</v>
      </c>
      <c r="GZ43" s="215" t="s">
        <v>7992</v>
      </c>
      <c r="HA43" s="215" t="s">
        <v>7992</v>
      </c>
      <c r="HB43" s="215" t="s">
        <v>7992</v>
      </c>
      <c r="HC43" s="215" t="s">
        <v>7992</v>
      </c>
      <c r="HD43" s="215" t="s">
        <v>7992</v>
      </c>
      <c r="HE43" s="215" t="s">
        <v>7992</v>
      </c>
      <c r="HF43" s="215" t="s">
        <v>7992</v>
      </c>
      <c r="HG43" s="215" t="s">
        <v>7992</v>
      </c>
      <c r="HH43" s="215" t="s">
        <v>7992</v>
      </c>
      <c r="HI43" s="215" t="s">
        <v>7992</v>
      </c>
      <c r="HJ43" s="215" t="s">
        <v>7992</v>
      </c>
      <c r="HK43" s="215" t="s">
        <v>7992</v>
      </c>
      <c r="HL43" s="215" t="s">
        <v>7992</v>
      </c>
      <c r="HM43" s="215" t="s">
        <v>7992</v>
      </c>
      <c r="HN43" s="215" t="s">
        <v>7992</v>
      </c>
      <c r="HO43" s="215" t="s">
        <v>7992</v>
      </c>
      <c r="HP43" s="215" t="s">
        <v>7992</v>
      </c>
      <c r="HQ43" s="215" t="s">
        <v>7992</v>
      </c>
      <c r="HR43" s="215" t="s">
        <v>7992</v>
      </c>
      <c r="HS43" s="215" t="s">
        <v>7992</v>
      </c>
      <c r="HT43" s="215" t="s">
        <v>7992</v>
      </c>
      <c r="HU43" s="215" t="s">
        <v>7992</v>
      </c>
      <c r="HV43" s="215" t="s">
        <v>7992</v>
      </c>
      <c r="HW43" s="215" t="s">
        <v>7992</v>
      </c>
      <c r="HX43" s="215" t="s">
        <v>7992</v>
      </c>
      <c r="HY43" s="215" t="s">
        <v>7992</v>
      </c>
      <c r="HZ43" s="215" t="s">
        <v>7992</v>
      </c>
      <c r="IA43" s="215" t="s">
        <v>7992</v>
      </c>
      <c r="IB43" s="215" t="s">
        <v>7992</v>
      </c>
      <c r="IC43" s="215" t="s">
        <v>7992</v>
      </c>
      <c r="ID43" s="215" t="s">
        <v>7992</v>
      </c>
      <c r="IE43" s="215" t="s">
        <v>7992</v>
      </c>
      <c r="IF43" s="215" t="s">
        <v>7992</v>
      </c>
      <c r="IG43" s="215" t="s">
        <v>7992</v>
      </c>
      <c r="IH43" s="215" t="s">
        <v>7992</v>
      </c>
      <c r="II43" s="215" t="s">
        <v>7992</v>
      </c>
      <c r="IJ43" s="215" t="s">
        <v>7992</v>
      </c>
      <c r="IK43" s="215" t="s">
        <v>7992</v>
      </c>
      <c r="IL43" s="215" t="s">
        <v>7992</v>
      </c>
      <c r="IM43" s="215" t="s">
        <v>7992</v>
      </c>
      <c r="IN43" s="215" t="s">
        <v>7992</v>
      </c>
      <c r="IO43" s="215" t="s">
        <v>7992</v>
      </c>
      <c r="IP43" s="215" t="s">
        <v>7992</v>
      </c>
      <c r="IQ43" s="215" t="s">
        <v>7992</v>
      </c>
      <c r="IR43" s="215" t="s">
        <v>7992</v>
      </c>
      <c r="IS43" s="215" t="s">
        <v>7992</v>
      </c>
      <c r="IT43" s="215" t="s">
        <v>7992</v>
      </c>
      <c r="IU43" s="215" t="s">
        <v>7992</v>
      </c>
      <c r="IV43" s="215" t="s">
        <v>7992</v>
      </c>
      <c r="IW43" s="215" t="s">
        <v>7992</v>
      </c>
      <c r="IX43" s="215" t="s">
        <v>7992</v>
      </c>
      <c r="IY43" s="215" t="s">
        <v>7992</v>
      </c>
      <c r="IZ43" s="215" t="s">
        <v>7992</v>
      </c>
      <c r="JA43" s="215" t="s">
        <v>7992</v>
      </c>
      <c r="JB43" s="215" t="s">
        <v>7992</v>
      </c>
      <c r="JC43" s="215" t="s">
        <v>7992</v>
      </c>
      <c r="JD43" s="215" t="s">
        <v>7992</v>
      </c>
      <c r="JE43" s="215" t="s">
        <v>7992</v>
      </c>
      <c r="JF43" s="215" t="s">
        <v>7992</v>
      </c>
      <c r="JG43" s="215" t="s">
        <v>7992</v>
      </c>
      <c r="JH43" s="215" t="s">
        <v>7992</v>
      </c>
      <c r="JI43" s="215" t="s">
        <v>7992</v>
      </c>
      <c r="JJ43" s="215" t="s">
        <v>7992</v>
      </c>
      <c r="JK43" s="215" t="s">
        <v>7992</v>
      </c>
      <c r="JL43" s="215" t="s">
        <v>7992</v>
      </c>
      <c r="JM43" s="215" t="s">
        <v>7992</v>
      </c>
      <c r="JN43" s="215" t="s">
        <v>7992</v>
      </c>
      <c r="JO43" s="215" t="s">
        <v>7992</v>
      </c>
      <c r="JP43" s="215" t="s">
        <v>7992</v>
      </c>
      <c r="JQ43" s="215" t="s">
        <v>7992</v>
      </c>
      <c r="JR43" s="215" t="s">
        <v>7992</v>
      </c>
      <c r="JS43" s="215" t="s">
        <v>7992</v>
      </c>
      <c r="JT43" s="215" t="s">
        <v>7992</v>
      </c>
      <c r="JU43" s="215" t="s">
        <v>7992</v>
      </c>
      <c r="JV43" s="215" t="s">
        <v>7992</v>
      </c>
      <c r="JW43" s="215" t="s">
        <v>7992</v>
      </c>
      <c r="JX43" s="215" t="s">
        <v>7992</v>
      </c>
      <c r="JY43" s="215" t="s">
        <v>7992</v>
      </c>
      <c r="JZ43" s="215" t="s">
        <v>7992</v>
      </c>
      <c r="KA43" s="215" t="s">
        <v>7992</v>
      </c>
      <c r="KB43" s="215" t="s">
        <v>7992</v>
      </c>
      <c r="KC43" s="215" t="s">
        <v>7992</v>
      </c>
      <c r="KD43" s="215" t="s">
        <v>7992</v>
      </c>
      <c r="KE43" s="215" t="s">
        <v>7992</v>
      </c>
      <c r="KF43" s="215" t="s">
        <v>7992</v>
      </c>
      <c r="KG43" s="215" t="s">
        <v>7992</v>
      </c>
      <c r="KH43" s="215" t="s">
        <v>7992</v>
      </c>
      <c r="KI43" s="215" t="s">
        <v>7992</v>
      </c>
      <c r="KJ43" s="215" t="s">
        <v>7992</v>
      </c>
      <c r="KK43" s="215" t="s">
        <v>7992</v>
      </c>
      <c r="KL43" s="215" t="s">
        <v>7992</v>
      </c>
      <c r="KM43" s="215" t="s">
        <v>7992</v>
      </c>
      <c r="KN43" s="215" t="s">
        <v>7992</v>
      </c>
      <c r="KO43" s="215" t="s">
        <v>7992</v>
      </c>
      <c r="KP43" s="215" t="s">
        <v>7992</v>
      </c>
      <c r="KQ43" s="215" t="s">
        <v>7992</v>
      </c>
      <c r="KR43" s="215" t="s">
        <v>7992</v>
      </c>
      <c r="KS43" s="215" t="s">
        <v>7992</v>
      </c>
      <c r="KT43" s="215" t="s">
        <v>7992</v>
      </c>
      <c r="KU43" s="215" t="s">
        <v>7992</v>
      </c>
      <c r="KV43" s="215" t="s">
        <v>7992</v>
      </c>
      <c r="KW43" s="215" t="s">
        <v>7992</v>
      </c>
      <c r="KX43" s="215" t="s">
        <v>7992</v>
      </c>
      <c r="KY43" s="215" t="s">
        <v>7992</v>
      </c>
      <c r="KZ43" s="215" t="s">
        <v>7992</v>
      </c>
      <c r="LA43" s="215" t="s">
        <v>7992</v>
      </c>
      <c r="LB43" s="215" t="s">
        <v>7992</v>
      </c>
      <c r="LC43" s="215" t="s">
        <v>7992</v>
      </c>
      <c r="LD43" s="215" t="s">
        <v>7992</v>
      </c>
      <c r="LE43" s="215" t="s">
        <v>7992</v>
      </c>
      <c r="LF43" s="215" t="s">
        <v>7992</v>
      </c>
      <c r="LG43" s="215" t="s">
        <v>7992</v>
      </c>
      <c r="LH43" s="215" t="s">
        <v>7992</v>
      </c>
      <c r="LI43" s="215" t="s">
        <v>7992</v>
      </c>
      <c r="LJ43" s="215" t="s">
        <v>7992</v>
      </c>
      <c r="LK43" s="215" t="s">
        <v>7992</v>
      </c>
      <c r="LL43" s="215" t="s">
        <v>7992</v>
      </c>
      <c r="LM43" s="215" t="s">
        <v>7992</v>
      </c>
      <c r="LN43" s="215" t="s">
        <v>7992</v>
      </c>
      <c r="LO43" s="215" t="s">
        <v>7992</v>
      </c>
      <c r="LP43" s="215" t="s">
        <v>7992</v>
      </c>
      <c r="LQ43" s="215" t="s">
        <v>7992</v>
      </c>
      <c r="LR43" s="215" t="s">
        <v>7992</v>
      </c>
      <c r="LS43" s="215" t="s">
        <v>7992</v>
      </c>
      <c r="LT43" s="215" t="s">
        <v>7992</v>
      </c>
      <c r="LU43" s="215" t="s">
        <v>7992</v>
      </c>
      <c r="LV43" s="215" t="s">
        <v>7992</v>
      </c>
      <c r="LW43" s="215" t="s">
        <v>7992</v>
      </c>
      <c r="LX43" s="215" t="s">
        <v>7992</v>
      </c>
      <c r="LY43" s="215" t="s">
        <v>7992</v>
      </c>
      <c r="LZ43" s="215" t="s">
        <v>7992</v>
      </c>
      <c r="MA43" s="215" t="s">
        <v>7992</v>
      </c>
      <c r="MB43" s="215" t="s">
        <v>7992</v>
      </c>
      <c r="MC43" s="215" t="s">
        <v>7992</v>
      </c>
      <c r="MD43" s="215" t="s">
        <v>7992</v>
      </c>
      <c r="ME43" s="215" t="s">
        <v>7992</v>
      </c>
      <c r="MF43" s="215" t="s">
        <v>7992</v>
      </c>
      <c r="MG43" s="215" t="s">
        <v>7992</v>
      </c>
      <c r="MH43" s="215" t="s">
        <v>7992</v>
      </c>
      <c r="MI43" s="215" t="s">
        <v>7992</v>
      </c>
      <c r="MJ43" s="215" t="s">
        <v>7992</v>
      </c>
      <c r="MK43" s="215" t="s">
        <v>7992</v>
      </c>
      <c r="ML43" s="215" t="s">
        <v>7992</v>
      </c>
      <c r="MM43" s="215" t="s">
        <v>7992</v>
      </c>
      <c r="MN43" s="215" t="s">
        <v>7992</v>
      </c>
      <c r="MO43" s="215" t="s">
        <v>7992</v>
      </c>
      <c r="MP43" s="215" t="s">
        <v>7992</v>
      </c>
      <c r="MQ43" s="215" t="s">
        <v>7992</v>
      </c>
      <c r="MR43" s="215" t="s">
        <v>7992</v>
      </c>
      <c r="MS43" s="215" t="s">
        <v>7992</v>
      </c>
      <c r="MT43" s="215" t="s">
        <v>7992</v>
      </c>
      <c r="MU43" s="215" t="s">
        <v>7992</v>
      </c>
      <c r="MV43" s="215" t="s">
        <v>7992</v>
      </c>
      <c r="MW43" s="215" t="s">
        <v>7992</v>
      </c>
      <c r="MX43" s="215" t="s">
        <v>7992</v>
      </c>
      <c r="MY43" s="215" t="s">
        <v>7992</v>
      </c>
      <c r="MZ43" s="215" t="s">
        <v>7992</v>
      </c>
      <c r="NA43" s="215" t="s">
        <v>7992</v>
      </c>
      <c r="NB43" s="215" t="s">
        <v>7992</v>
      </c>
      <c r="NC43" s="215" t="s">
        <v>7992</v>
      </c>
      <c r="ND43" s="215" t="s">
        <v>7992</v>
      </c>
      <c r="NE43" s="215" t="s">
        <v>7992</v>
      </c>
      <c r="NF43" s="215" t="s">
        <v>7992</v>
      </c>
      <c r="NG43" s="215" t="s">
        <v>7992</v>
      </c>
      <c r="NH43" s="215" t="s">
        <v>7992</v>
      </c>
      <c r="NI43" s="215" t="s">
        <v>7992</v>
      </c>
      <c r="NJ43" s="215" t="s">
        <v>7992</v>
      </c>
      <c r="NK43" s="215" t="s">
        <v>7992</v>
      </c>
      <c r="NL43" s="215" t="s">
        <v>7992</v>
      </c>
      <c r="NM43" s="215" t="s">
        <v>7992</v>
      </c>
      <c r="NN43" s="215" t="s">
        <v>7992</v>
      </c>
      <c r="NO43" s="215" t="s">
        <v>7992</v>
      </c>
      <c r="NP43" s="215" t="s">
        <v>7992</v>
      </c>
      <c r="NQ43" s="215" t="s">
        <v>7992</v>
      </c>
      <c r="NR43" s="215" t="s">
        <v>7992</v>
      </c>
      <c r="NS43" s="215" t="s">
        <v>7992</v>
      </c>
      <c r="NT43" s="215" t="s">
        <v>7992</v>
      </c>
      <c r="NU43" s="215" t="s">
        <v>7992</v>
      </c>
      <c r="NV43" s="215" t="s">
        <v>7992</v>
      </c>
      <c r="NW43" s="215" t="s">
        <v>7992</v>
      </c>
      <c r="NX43" s="215" t="s">
        <v>7992</v>
      </c>
      <c r="NY43" s="215" t="s">
        <v>7992</v>
      </c>
      <c r="NZ43" s="215" t="s">
        <v>7992</v>
      </c>
      <c r="OA43" s="215" t="s">
        <v>7992</v>
      </c>
      <c r="OB43" s="215" t="s">
        <v>7992</v>
      </c>
      <c r="OC43" s="215" t="s">
        <v>7992</v>
      </c>
      <c r="OD43" s="215" t="s">
        <v>7992</v>
      </c>
      <c r="OE43" s="215" t="s">
        <v>7992</v>
      </c>
      <c r="OF43" s="215" t="s">
        <v>7992</v>
      </c>
      <c r="OG43" s="215" t="s">
        <v>7992</v>
      </c>
      <c r="OH43" s="215" t="s">
        <v>7992</v>
      </c>
      <c r="OI43" s="215" t="s">
        <v>7992</v>
      </c>
      <c r="OJ43" s="215" t="s">
        <v>7992</v>
      </c>
      <c r="OK43" s="215" t="s">
        <v>7992</v>
      </c>
      <c r="OL43" s="215" t="s">
        <v>7992</v>
      </c>
      <c r="OM43" s="215" t="s">
        <v>7992</v>
      </c>
      <c r="ON43" s="215" t="s">
        <v>7992</v>
      </c>
      <c r="OO43" s="215" t="s">
        <v>7992</v>
      </c>
      <c r="OP43" s="215" t="s">
        <v>7992</v>
      </c>
      <c r="OQ43" s="215" t="s">
        <v>7992</v>
      </c>
      <c r="OR43" s="215" t="s">
        <v>7992</v>
      </c>
      <c r="OS43" s="215" t="s">
        <v>7992</v>
      </c>
      <c r="OT43" s="215" t="s">
        <v>7992</v>
      </c>
      <c r="OU43" s="215" t="s">
        <v>7992</v>
      </c>
      <c r="OV43" s="215" t="s">
        <v>7992</v>
      </c>
      <c r="OW43" s="215" t="s">
        <v>7992</v>
      </c>
      <c r="OX43" s="215" t="s">
        <v>7992</v>
      </c>
      <c r="OY43" s="215" t="s">
        <v>7992</v>
      </c>
      <c r="OZ43" s="215" t="s">
        <v>7992</v>
      </c>
      <c r="PA43" s="215" t="s">
        <v>7992</v>
      </c>
      <c r="PB43" s="215" t="s">
        <v>7992</v>
      </c>
      <c r="PC43" s="215" t="s">
        <v>7992</v>
      </c>
      <c r="PD43" s="215" t="s">
        <v>7992</v>
      </c>
      <c r="PE43" s="215" t="s">
        <v>7992</v>
      </c>
      <c r="PF43" s="215" t="s">
        <v>7992</v>
      </c>
      <c r="PG43" s="215" t="s">
        <v>7992</v>
      </c>
      <c r="PH43" s="215" t="s">
        <v>7992</v>
      </c>
      <c r="PI43" s="215" t="s">
        <v>7992</v>
      </c>
      <c r="PJ43" s="215" t="s">
        <v>7992</v>
      </c>
      <c r="PK43" s="215" t="s">
        <v>7992</v>
      </c>
      <c r="PL43" s="215" t="s">
        <v>7992</v>
      </c>
      <c r="PM43" s="215" t="s">
        <v>7992</v>
      </c>
      <c r="PN43" s="215" t="s">
        <v>7992</v>
      </c>
      <c r="PO43" s="215" t="s">
        <v>7992</v>
      </c>
      <c r="PP43" s="215" t="s">
        <v>7992</v>
      </c>
      <c r="PQ43" s="215" t="s">
        <v>7992</v>
      </c>
      <c r="PR43" s="215" t="s">
        <v>7992</v>
      </c>
      <c r="PS43" s="215" t="s">
        <v>7992</v>
      </c>
      <c r="PT43" s="215" t="s">
        <v>7992</v>
      </c>
      <c r="PU43" s="215" t="s">
        <v>7992</v>
      </c>
      <c r="PV43" s="215" t="s">
        <v>7992</v>
      </c>
      <c r="PW43" s="215" t="s">
        <v>7992</v>
      </c>
      <c r="PX43" s="215" t="s">
        <v>7992</v>
      </c>
      <c r="PY43" s="215" t="s">
        <v>7992</v>
      </c>
      <c r="PZ43" s="215" t="s">
        <v>7992</v>
      </c>
      <c r="QA43" s="215" t="s">
        <v>7992</v>
      </c>
      <c r="QB43" s="215" t="s">
        <v>7992</v>
      </c>
      <c r="QC43" s="215" t="s">
        <v>7992</v>
      </c>
      <c r="QD43" s="215" t="s">
        <v>7992</v>
      </c>
      <c r="QE43" s="215" t="s">
        <v>7992</v>
      </c>
      <c r="QF43" s="215" t="s">
        <v>7992</v>
      </c>
      <c r="QG43" s="215" t="s">
        <v>7992</v>
      </c>
      <c r="QH43" s="215" t="s">
        <v>7992</v>
      </c>
      <c r="QI43" s="215" t="s">
        <v>7992</v>
      </c>
      <c r="QJ43" s="215" t="s">
        <v>7992</v>
      </c>
      <c r="QK43" s="215" t="s">
        <v>7992</v>
      </c>
      <c r="QL43" s="215" t="s">
        <v>7992</v>
      </c>
      <c r="QM43" s="215" t="s">
        <v>7992</v>
      </c>
      <c r="QN43" s="215" t="s">
        <v>7992</v>
      </c>
      <c r="QO43" s="215" t="s">
        <v>7992</v>
      </c>
      <c r="QP43" s="215" t="s">
        <v>7992</v>
      </c>
      <c r="QQ43" s="215" t="s">
        <v>7992</v>
      </c>
      <c r="QR43" s="215" t="s">
        <v>7992</v>
      </c>
      <c r="QS43" s="215" t="s">
        <v>7992</v>
      </c>
      <c r="QT43" s="215" t="s">
        <v>7992</v>
      </c>
      <c r="QU43" s="215" t="s">
        <v>7992</v>
      </c>
      <c r="QV43" s="215" t="s">
        <v>7992</v>
      </c>
      <c r="QW43" s="215" t="s">
        <v>7992</v>
      </c>
      <c r="QX43" s="215" t="s">
        <v>7992</v>
      </c>
      <c r="QY43" s="215" t="s">
        <v>7992</v>
      </c>
      <c r="QZ43" s="215" t="s">
        <v>7992</v>
      </c>
      <c r="RA43" s="215" t="s">
        <v>7992</v>
      </c>
      <c r="RB43" s="215" t="s">
        <v>7992</v>
      </c>
      <c r="RC43" s="215" t="s">
        <v>7992</v>
      </c>
      <c r="RD43" s="215" t="s">
        <v>7992</v>
      </c>
      <c r="RE43" s="215" t="s">
        <v>7992</v>
      </c>
      <c r="RF43" s="215" t="s">
        <v>7992</v>
      </c>
      <c r="RG43" s="215" t="s">
        <v>7992</v>
      </c>
      <c r="RH43" s="215" t="s">
        <v>7992</v>
      </c>
      <c r="RI43" s="215" t="s">
        <v>7992</v>
      </c>
      <c r="RJ43" s="215" t="s">
        <v>7992</v>
      </c>
      <c r="RK43" s="215" t="s">
        <v>7992</v>
      </c>
      <c r="RL43" s="215" t="s">
        <v>7992</v>
      </c>
      <c r="RM43" s="215" t="s">
        <v>7992</v>
      </c>
      <c r="RN43" s="215" t="s">
        <v>7992</v>
      </c>
      <c r="RO43" s="215" t="s">
        <v>7992</v>
      </c>
      <c r="RP43" s="215" t="s">
        <v>7992</v>
      </c>
      <c r="RQ43" s="215" t="s">
        <v>7992</v>
      </c>
      <c r="RR43" s="215" t="s">
        <v>7992</v>
      </c>
      <c r="RS43" s="215" t="s">
        <v>7992</v>
      </c>
      <c r="RT43" s="215" t="s">
        <v>7992</v>
      </c>
      <c r="RU43" s="215" t="s">
        <v>7992</v>
      </c>
      <c r="RV43" s="215" t="s">
        <v>7992</v>
      </c>
      <c r="RW43" s="215" t="s">
        <v>7992</v>
      </c>
      <c r="RX43" s="215" t="s">
        <v>7992</v>
      </c>
      <c r="RY43" s="215" t="s">
        <v>7992</v>
      </c>
      <c r="RZ43" s="215" t="s">
        <v>7992</v>
      </c>
      <c r="SA43" s="215" t="s">
        <v>7992</v>
      </c>
      <c r="SB43" s="215" t="s">
        <v>7992</v>
      </c>
      <c r="SC43" s="215" t="s">
        <v>7992</v>
      </c>
      <c r="SD43" s="215" t="s">
        <v>7992</v>
      </c>
      <c r="SE43" s="215" t="s">
        <v>7992</v>
      </c>
      <c r="SF43" s="215" t="s">
        <v>7992</v>
      </c>
      <c r="SG43" s="215" t="s">
        <v>7992</v>
      </c>
      <c r="SH43" s="215" t="s">
        <v>7992</v>
      </c>
      <c r="SI43" s="215" t="s">
        <v>7992</v>
      </c>
      <c r="SJ43" s="215" t="s">
        <v>7992</v>
      </c>
      <c r="SK43" s="215" t="s">
        <v>7992</v>
      </c>
      <c r="SL43" s="215" t="s">
        <v>7992</v>
      </c>
      <c r="SM43" s="215" t="s">
        <v>7992</v>
      </c>
      <c r="SN43" s="215" t="s">
        <v>7992</v>
      </c>
      <c r="SO43" s="215" t="s">
        <v>7992</v>
      </c>
      <c r="SP43" s="215" t="s">
        <v>7992</v>
      </c>
      <c r="SQ43" s="215" t="s">
        <v>7992</v>
      </c>
      <c r="SR43" s="215" t="s">
        <v>7992</v>
      </c>
      <c r="SS43" s="215" t="s">
        <v>7992</v>
      </c>
      <c r="ST43" s="215" t="s">
        <v>7992</v>
      </c>
      <c r="SU43" s="215" t="s">
        <v>7992</v>
      </c>
      <c r="SV43" s="215" t="s">
        <v>7992</v>
      </c>
      <c r="SW43" s="215" t="s">
        <v>7992</v>
      </c>
      <c r="SX43" s="215" t="s">
        <v>7992</v>
      </c>
      <c r="SY43" s="215" t="s">
        <v>7992</v>
      </c>
      <c r="SZ43" s="215" t="s">
        <v>7992</v>
      </c>
      <c r="TA43" s="215" t="s">
        <v>7992</v>
      </c>
      <c r="TB43" s="215" t="s">
        <v>7992</v>
      </c>
      <c r="TC43" s="215" t="s">
        <v>7992</v>
      </c>
      <c r="TD43" s="215" t="s">
        <v>7992</v>
      </c>
      <c r="TE43" s="215" t="s">
        <v>7992</v>
      </c>
      <c r="TF43" s="215" t="s">
        <v>7992</v>
      </c>
      <c r="TG43" s="215" t="s">
        <v>7992</v>
      </c>
      <c r="TH43" s="215" t="s">
        <v>7992</v>
      </c>
      <c r="TI43" s="215" t="s">
        <v>7992</v>
      </c>
      <c r="TJ43" s="215" t="s">
        <v>7992</v>
      </c>
      <c r="TK43" s="215" t="s">
        <v>7992</v>
      </c>
      <c r="TL43" s="215" t="s">
        <v>7992</v>
      </c>
      <c r="TM43" s="215" t="s">
        <v>7992</v>
      </c>
      <c r="TN43" s="215" t="s">
        <v>7992</v>
      </c>
      <c r="TO43" s="215" t="s">
        <v>7992</v>
      </c>
      <c r="TP43" s="215" t="s">
        <v>7992</v>
      </c>
      <c r="TQ43" s="215" t="s">
        <v>7992</v>
      </c>
      <c r="TR43" s="215" t="s">
        <v>7992</v>
      </c>
      <c r="TS43" s="215" t="s">
        <v>7992</v>
      </c>
      <c r="TT43" s="215" t="s">
        <v>7992</v>
      </c>
      <c r="TU43" s="215" t="s">
        <v>7992</v>
      </c>
      <c r="TV43" s="215" t="s">
        <v>7992</v>
      </c>
      <c r="TW43" s="215" t="s">
        <v>7992</v>
      </c>
      <c r="TX43" s="215" t="s">
        <v>7992</v>
      </c>
      <c r="TY43" s="215" t="s">
        <v>7992</v>
      </c>
      <c r="TZ43" s="215" t="s">
        <v>7992</v>
      </c>
      <c r="UA43" s="215" t="s">
        <v>7992</v>
      </c>
      <c r="UB43" s="215" t="s">
        <v>7992</v>
      </c>
      <c r="UC43" s="215" t="s">
        <v>7992</v>
      </c>
      <c r="UD43" s="215" t="s">
        <v>7992</v>
      </c>
      <c r="UE43" s="215" t="s">
        <v>7992</v>
      </c>
      <c r="UF43" s="215" t="s">
        <v>7992</v>
      </c>
      <c r="UG43" s="215" t="s">
        <v>7992</v>
      </c>
      <c r="UH43" s="215" t="s">
        <v>7992</v>
      </c>
      <c r="UI43" s="215" t="s">
        <v>7992</v>
      </c>
      <c r="UJ43" s="215" t="s">
        <v>7992</v>
      </c>
      <c r="UK43" s="215" t="s">
        <v>7992</v>
      </c>
      <c r="UL43" s="215" t="s">
        <v>7992</v>
      </c>
      <c r="UM43" s="215" t="s">
        <v>7992</v>
      </c>
      <c r="UN43" s="215" t="s">
        <v>7992</v>
      </c>
      <c r="UO43" s="215" t="s">
        <v>7992</v>
      </c>
      <c r="UP43" s="215" t="s">
        <v>7992</v>
      </c>
      <c r="UQ43" s="215" t="s">
        <v>7992</v>
      </c>
      <c r="UR43" s="215" t="s">
        <v>7992</v>
      </c>
      <c r="US43" s="215" t="s">
        <v>7992</v>
      </c>
      <c r="UT43" s="215" t="s">
        <v>7992</v>
      </c>
      <c r="UU43" s="215" t="s">
        <v>7992</v>
      </c>
      <c r="UV43" s="215" t="s">
        <v>7992</v>
      </c>
      <c r="UW43" s="215" t="s">
        <v>7992</v>
      </c>
      <c r="UX43" s="215" t="s">
        <v>7992</v>
      </c>
      <c r="UY43" s="215" t="s">
        <v>7992</v>
      </c>
      <c r="UZ43" s="215" t="s">
        <v>7992</v>
      </c>
      <c r="VA43" s="215" t="s">
        <v>7992</v>
      </c>
      <c r="VB43" s="215" t="s">
        <v>7992</v>
      </c>
      <c r="VC43" s="215" t="s">
        <v>7992</v>
      </c>
      <c r="VD43" s="215" t="s">
        <v>7992</v>
      </c>
      <c r="VE43" s="215" t="s">
        <v>7992</v>
      </c>
      <c r="VF43" s="215" t="s">
        <v>7992</v>
      </c>
      <c r="VG43" s="215" t="s">
        <v>7992</v>
      </c>
      <c r="VH43" s="215" t="s">
        <v>7992</v>
      </c>
      <c r="VI43" s="215" t="s">
        <v>7992</v>
      </c>
      <c r="VJ43" s="215" t="s">
        <v>7992</v>
      </c>
      <c r="VK43" s="215" t="s">
        <v>7992</v>
      </c>
      <c r="VL43" s="215" t="s">
        <v>7992</v>
      </c>
      <c r="VM43" s="215" t="s">
        <v>7992</v>
      </c>
      <c r="VN43" s="215" t="s">
        <v>7992</v>
      </c>
      <c r="VO43" s="215" t="s">
        <v>7992</v>
      </c>
      <c r="VP43" s="215" t="s">
        <v>7992</v>
      </c>
      <c r="VQ43" s="215" t="s">
        <v>7992</v>
      </c>
      <c r="VR43" s="215" t="s">
        <v>7992</v>
      </c>
      <c r="VS43" s="215" t="s">
        <v>7992</v>
      </c>
      <c r="VT43" s="215" t="s">
        <v>7992</v>
      </c>
      <c r="VU43" s="215" t="s">
        <v>7992</v>
      </c>
      <c r="VV43" s="215" t="s">
        <v>7992</v>
      </c>
      <c r="VW43" s="215" t="s">
        <v>7992</v>
      </c>
      <c r="VX43" s="215" t="s">
        <v>7992</v>
      </c>
      <c r="VY43" s="215" t="s">
        <v>7992</v>
      </c>
      <c r="VZ43" s="215" t="s">
        <v>7992</v>
      </c>
      <c r="WA43" s="215" t="s">
        <v>7992</v>
      </c>
      <c r="WB43" s="215" t="s">
        <v>7992</v>
      </c>
      <c r="WC43" s="215" t="s">
        <v>7992</v>
      </c>
      <c r="WD43" s="215" t="s">
        <v>7992</v>
      </c>
      <c r="WE43" s="215" t="s">
        <v>7992</v>
      </c>
      <c r="WF43" s="215" t="s">
        <v>7992</v>
      </c>
      <c r="WG43" s="215" t="s">
        <v>7992</v>
      </c>
      <c r="WH43" s="215" t="s">
        <v>7992</v>
      </c>
      <c r="WI43" s="215" t="s">
        <v>7992</v>
      </c>
      <c r="WJ43" s="215" t="s">
        <v>7992</v>
      </c>
      <c r="WK43" s="215" t="s">
        <v>7992</v>
      </c>
      <c r="WL43" s="215" t="s">
        <v>7992</v>
      </c>
      <c r="WM43" s="215" t="s">
        <v>7992</v>
      </c>
      <c r="WN43" s="215" t="s">
        <v>7992</v>
      </c>
      <c r="WO43" s="215" t="s">
        <v>7992</v>
      </c>
      <c r="WP43" s="215" t="s">
        <v>7992</v>
      </c>
      <c r="WQ43" s="215" t="s">
        <v>7992</v>
      </c>
      <c r="WR43" s="215" t="s">
        <v>7992</v>
      </c>
      <c r="WS43" s="215" t="s">
        <v>7992</v>
      </c>
      <c r="WT43" s="215" t="s">
        <v>7992</v>
      </c>
      <c r="WU43" s="215" t="s">
        <v>7992</v>
      </c>
      <c r="WV43" s="215" t="s">
        <v>7992</v>
      </c>
      <c r="WW43" s="215" t="s">
        <v>7992</v>
      </c>
      <c r="WX43" s="215" t="s">
        <v>7992</v>
      </c>
      <c r="WY43" s="215" t="s">
        <v>7992</v>
      </c>
      <c r="WZ43" s="215" t="s">
        <v>7992</v>
      </c>
      <c r="XA43" s="215" t="s">
        <v>7992</v>
      </c>
      <c r="XB43" s="215" t="s">
        <v>7992</v>
      </c>
      <c r="XC43" s="215" t="s">
        <v>7992</v>
      </c>
      <c r="XD43" s="215" t="s">
        <v>7992</v>
      </c>
      <c r="XE43" s="215" t="s">
        <v>7992</v>
      </c>
      <c r="XF43" s="215" t="s">
        <v>7992</v>
      </c>
      <c r="XG43" s="215" t="s">
        <v>7992</v>
      </c>
      <c r="XH43" s="215" t="s">
        <v>7992</v>
      </c>
      <c r="XI43" s="215" t="s">
        <v>7992</v>
      </c>
      <c r="XJ43" s="215" t="s">
        <v>7992</v>
      </c>
      <c r="XK43" s="215" t="s">
        <v>7992</v>
      </c>
      <c r="XL43" s="215" t="s">
        <v>7992</v>
      </c>
      <c r="XM43" s="215" t="s">
        <v>7992</v>
      </c>
      <c r="XN43" s="215" t="s">
        <v>7992</v>
      </c>
      <c r="XO43" s="215" t="s">
        <v>7992</v>
      </c>
      <c r="XP43" s="215" t="s">
        <v>7992</v>
      </c>
      <c r="XQ43" s="215" t="s">
        <v>7992</v>
      </c>
      <c r="XR43" s="215" t="s">
        <v>7992</v>
      </c>
      <c r="XS43" s="215" t="s">
        <v>7992</v>
      </c>
      <c r="XT43" s="215" t="s">
        <v>7992</v>
      </c>
      <c r="XU43" s="215" t="s">
        <v>7992</v>
      </c>
      <c r="XV43" s="215" t="s">
        <v>7992</v>
      </c>
      <c r="XW43" s="215" t="s">
        <v>7992</v>
      </c>
      <c r="XX43" s="215" t="s">
        <v>7992</v>
      </c>
      <c r="XY43" s="215" t="s">
        <v>7992</v>
      </c>
      <c r="XZ43" s="215" t="s">
        <v>7992</v>
      </c>
      <c r="YA43" s="215" t="s">
        <v>7992</v>
      </c>
      <c r="YB43" s="215" t="s">
        <v>7992</v>
      </c>
      <c r="YC43" s="215" t="s">
        <v>7992</v>
      </c>
      <c r="YD43" s="215" t="s">
        <v>7992</v>
      </c>
      <c r="YE43" s="215" t="s">
        <v>7992</v>
      </c>
      <c r="YF43" s="215" t="s">
        <v>7992</v>
      </c>
      <c r="YG43" s="215" t="s">
        <v>7992</v>
      </c>
      <c r="YH43" s="215" t="s">
        <v>7992</v>
      </c>
      <c r="YI43" s="215" t="s">
        <v>7992</v>
      </c>
      <c r="YJ43" s="215" t="s">
        <v>7992</v>
      </c>
      <c r="YK43" s="215" t="s">
        <v>7992</v>
      </c>
      <c r="YL43" s="215" t="s">
        <v>7992</v>
      </c>
      <c r="YM43" s="215" t="s">
        <v>7992</v>
      </c>
      <c r="YN43" s="215" t="s">
        <v>7992</v>
      </c>
      <c r="YO43" s="215" t="s">
        <v>7992</v>
      </c>
      <c r="YP43" s="215" t="s">
        <v>7992</v>
      </c>
      <c r="YQ43" s="215" t="s">
        <v>7992</v>
      </c>
      <c r="YR43" s="215" t="s">
        <v>7992</v>
      </c>
      <c r="YS43" s="215" t="s">
        <v>7992</v>
      </c>
      <c r="YT43" s="215" t="s">
        <v>7992</v>
      </c>
      <c r="YU43" s="215" t="s">
        <v>7992</v>
      </c>
      <c r="YV43" s="215" t="s">
        <v>7992</v>
      </c>
      <c r="YW43" s="215" t="s">
        <v>7992</v>
      </c>
      <c r="YX43" s="215" t="s">
        <v>7992</v>
      </c>
      <c r="YY43" s="215" t="s">
        <v>7992</v>
      </c>
      <c r="YZ43" s="215" t="s">
        <v>7992</v>
      </c>
      <c r="ZA43" s="215" t="s">
        <v>7992</v>
      </c>
      <c r="ZB43" s="215" t="s">
        <v>7992</v>
      </c>
      <c r="ZC43" s="215" t="s">
        <v>7992</v>
      </c>
      <c r="ZD43" s="215" t="s">
        <v>7992</v>
      </c>
      <c r="ZE43" s="215" t="s">
        <v>7992</v>
      </c>
      <c r="ZF43" s="215" t="s">
        <v>7992</v>
      </c>
      <c r="ZG43" s="215" t="s">
        <v>7992</v>
      </c>
      <c r="ZH43" s="215" t="s">
        <v>7992</v>
      </c>
      <c r="ZI43" s="215" t="s">
        <v>7992</v>
      </c>
      <c r="ZJ43" s="215" t="s">
        <v>7992</v>
      </c>
      <c r="ZK43" s="215" t="s">
        <v>7992</v>
      </c>
      <c r="ZL43" s="215" t="s">
        <v>7992</v>
      </c>
      <c r="ZM43" s="215" t="s">
        <v>7992</v>
      </c>
      <c r="ZN43" s="215" t="s">
        <v>7992</v>
      </c>
      <c r="ZO43" s="215" t="s">
        <v>7992</v>
      </c>
      <c r="ZP43" s="215" t="s">
        <v>7992</v>
      </c>
      <c r="ZQ43" s="215" t="s">
        <v>7992</v>
      </c>
      <c r="ZR43" s="215" t="s">
        <v>7992</v>
      </c>
      <c r="ZS43" s="215" t="s">
        <v>7992</v>
      </c>
      <c r="ZT43" s="215" t="s">
        <v>7992</v>
      </c>
      <c r="ZU43" s="215" t="s">
        <v>7992</v>
      </c>
      <c r="ZV43" s="215" t="s">
        <v>7992</v>
      </c>
      <c r="ZW43" s="215" t="s">
        <v>7992</v>
      </c>
      <c r="ZX43" s="215" t="s">
        <v>7992</v>
      </c>
      <c r="ZY43" s="215" t="s">
        <v>7992</v>
      </c>
      <c r="ZZ43" s="215" t="s">
        <v>7992</v>
      </c>
      <c r="AAA43" s="206" t="s">
        <v>7992</v>
      </c>
      <c r="AAB43" s="206" t="s">
        <v>7992</v>
      </c>
      <c r="AAC43" s="206" t="s">
        <v>7992</v>
      </c>
      <c r="AAD43" s="206" t="s">
        <v>7992</v>
      </c>
      <c r="AAE43" s="206" t="s">
        <v>7992</v>
      </c>
    </row>
    <row r="44" spans="1:707" s="216" customFormat="1" x14ac:dyDescent="0.25">
      <c r="C44" s="217"/>
    </row>
    <row r="45" spans="1:707" x14ac:dyDescent="0.25">
      <c r="C45" s="167"/>
      <c r="E45" s="200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9"/>
      <c r="AM45" s="209"/>
      <c r="AN45" s="209"/>
      <c r="AO45" s="209"/>
      <c r="AP45" s="209"/>
      <c r="AQ45" s="209"/>
      <c r="AR45" s="209"/>
      <c r="AS45" s="209"/>
      <c r="AT45" s="209"/>
      <c r="AU45" s="209"/>
      <c r="AV45" s="209"/>
    </row>
    <row r="46" spans="1:707" x14ac:dyDescent="0.25">
      <c r="C46" s="167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10"/>
      <c r="AM46" s="210"/>
      <c r="AN46" s="210"/>
      <c r="AO46" s="210"/>
      <c r="AP46" s="210"/>
      <c r="AQ46" s="210"/>
      <c r="AR46" s="210"/>
      <c r="AS46" s="210"/>
      <c r="AT46" s="210"/>
      <c r="AU46" s="210"/>
      <c r="AV46" s="210"/>
    </row>
    <row r="47" spans="1:707" x14ac:dyDescent="0.25">
      <c r="B47" s="204"/>
      <c r="C47" s="167"/>
      <c r="G47" s="204"/>
      <c r="H47" s="204"/>
      <c r="I47" s="204"/>
      <c r="J47" s="204"/>
      <c r="K47" s="204"/>
      <c r="L47" s="204"/>
      <c r="M47" s="204"/>
      <c r="N47" s="209"/>
      <c r="O47" s="209"/>
      <c r="P47" s="209"/>
      <c r="Q47" s="209"/>
      <c r="R47" s="209"/>
      <c r="S47" s="209"/>
      <c r="T47" s="209"/>
      <c r="U47" s="209"/>
      <c r="V47" s="209"/>
      <c r="W47" s="209"/>
      <c r="X47" s="209"/>
      <c r="Y47" s="209"/>
      <c r="Z47" s="209"/>
      <c r="AA47" s="209"/>
      <c r="AB47" s="209"/>
      <c r="AC47" s="209"/>
      <c r="AD47" s="209"/>
      <c r="AE47" s="209"/>
      <c r="AF47" s="209"/>
      <c r="AG47" s="209"/>
      <c r="AH47" s="209"/>
      <c r="AI47" s="209"/>
      <c r="AJ47" s="209"/>
      <c r="AK47" s="209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</row>
    <row r="48" spans="1:707" x14ac:dyDescent="0.25">
      <c r="C48" s="167"/>
      <c r="H48" s="206"/>
      <c r="I48" s="206"/>
      <c r="J48" s="206"/>
      <c r="K48" s="206"/>
      <c r="L48" s="206"/>
      <c r="M48" s="206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0"/>
      <c r="AG48" s="210"/>
      <c r="AH48" s="210"/>
      <c r="AI48" s="210"/>
      <c r="AJ48" s="210"/>
      <c r="AK48" s="210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</row>
    <row r="49" spans="2:48" x14ac:dyDescent="0.25">
      <c r="B49" s="206"/>
      <c r="C49" s="167"/>
      <c r="E49" s="204"/>
      <c r="H49" s="206"/>
      <c r="I49" s="206"/>
      <c r="J49" s="206"/>
      <c r="K49" s="206"/>
      <c r="L49" s="206"/>
      <c r="M49" s="208"/>
      <c r="N49" s="206"/>
      <c r="O49" s="208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  <c r="AM49" s="206"/>
      <c r="AN49" s="206"/>
      <c r="AO49" s="206"/>
      <c r="AP49" s="206"/>
      <c r="AQ49" s="206"/>
      <c r="AR49" s="206"/>
      <c r="AS49" s="206"/>
      <c r="AT49" s="206"/>
      <c r="AU49" s="206"/>
      <c r="AV49" s="206"/>
    </row>
    <row r="50" spans="2:48" x14ac:dyDescent="0.25">
      <c r="B50" s="206"/>
      <c r="C50" s="167"/>
      <c r="H50" s="206"/>
      <c r="I50" s="206"/>
      <c r="J50" s="206"/>
      <c r="K50" s="206"/>
      <c r="L50" s="206"/>
      <c r="M50" s="208"/>
      <c r="N50" s="206"/>
      <c r="O50" s="208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  <c r="AM50" s="206"/>
      <c r="AN50" s="206"/>
      <c r="AO50" s="206"/>
      <c r="AP50" s="206"/>
      <c r="AQ50" s="206"/>
      <c r="AR50" s="206"/>
      <c r="AS50" s="206"/>
      <c r="AT50" s="206"/>
      <c r="AU50" s="206"/>
      <c r="AV50" s="206"/>
    </row>
    <row r="51" spans="2:48" x14ac:dyDescent="0.25">
      <c r="B51" s="206"/>
      <c r="C51" s="204"/>
      <c r="H51" s="206"/>
      <c r="I51" s="206"/>
      <c r="J51" s="206"/>
      <c r="K51" s="206"/>
      <c r="L51" s="206"/>
      <c r="M51" s="208"/>
      <c r="N51" s="206"/>
      <c r="O51" s="208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  <c r="AM51" s="206"/>
      <c r="AN51" s="206"/>
      <c r="AO51" s="206"/>
      <c r="AP51" s="206"/>
      <c r="AQ51" s="206"/>
      <c r="AR51" s="206"/>
      <c r="AS51" s="206"/>
      <c r="AT51" s="206"/>
      <c r="AU51" s="206"/>
      <c r="AV51" s="206"/>
    </row>
    <row r="52" spans="2:48" x14ac:dyDescent="0.25">
      <c r="B52" s="206"/>
      <c r="C52" s="167"/>
      <c r="H52" s="206"/>
      <c r="I52" s="206"/>
      <c r="J52" s="206"/>
      <c r="K52" s="206"/>
      <c r="L52" s="206"/>
      <c r="M52" s="208"/>
      <c r="N52" s="206"/>
      <c r="O52" s="208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</row>
    <row r="53" spans="2:48" x14ac:dyDescent="0.25">
      <c r="B53" s="206"/>
      <c r="C53" s="206"/>
      <c r="H53" s="206"/>
      <c r="I53" s="206"/>
      <c r="J53" s="206"/>
      <c r="K53" s="206"/>
      <c r="L53" s="206"/>
      <c r="M53" s="208"/>
      <c r="N53" s="206"/>
      <c r="O53" s="208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</row>
    <row r="54" spans="2:48" x14ac:dyDescent="0.25">
      <c r="B54" s="206"/>
      <c r="C54" s="211"/>
      <c r="G54" s="206"/>
      <c r="H54" s="206"/>
    </row>
    <row r="55" spans="2:48" x14ac:dyDescent="0.25">
      <c r="B55" s="206"/>
      <c r="C55" s="206"/>
      <c r="G55" s="206"/>
      <c r="H55" s="206"/>
    </row>
    <row r="56" spans="2:48" x14ac:dyDescent="0.25">
      <c r="B56" s="206"/>
      <c r="C56" s="206"/>
      <c r="G56" s="206"/>
      <c r="H56" s="206"/>
    </row>
    <row r="57" spans="2:48" x14ac:dyDescent="0.25">
      <c r="B57" s="206"/>
      <c r="C57" s="189"/>
      <c r="G57" s="206"/>
      <c r="H57" s="206"/>
    </row>
    <row r="58" spans="2:48" x14ac:dyDescent="0.25">
      <c r="B58" s="214"/>
      <c r="C58" s="214"/>
    </row>
    <row r="59" spans="2:48" x14ac:dyDescent="0.25">
      <c r="C59" s="167"/>
    </row>
    <row r="65" spans="5:5" x14ac:dyDescent="0.25">
      <c r="E65" s="213"/>
    </row>
  </sheetData>
  <sheetProtection password="AA96" sheet="1" objects="1" scenarios="1"/>
  <conditionalFormatting sqref="B4">
    <cfRule type="expression" dxfId="39" priority="975">
      <formula>$B$4&lt;&gt;""</formula>
    </cfRule>
    <cfRule type="expression" dxfId="38" priority="976">
      <formula>$B$4=""</formula>
    </cfRule>
  </conditionalFormatting>
  <conditionalFormatting sqref="E3">
    <cfRule type="expression" dxfId="37" priority="971">
      <formula>E3&lt;&gt;""</formula>
    </cfRule>
    <cfRule type="expression" dxfId="36" priority="972">
      <formula>E3=""</formula>
    </cfRule>
  </conditionalFormatting>
  <conditionalFormatting sqref="E6">
    <cfRule type="expression" dxfId="35" priority="969">
      <formula>E6&lt;&gt;""</formula>
    </cfRule>
    <cfRule type="expression" dxfId="34" priority="970">
      <formula>E6=""</formula>
    </cfRule>
  </conditionalFormatting>
  <conditionalFormatting sqref="E7">
    <cfRule type="expression" dxfId="33" priority="967">
      <formula>E7&lt;&gt;""</formula>
    </cfRule>
    <cfRule type="expression" dxfId="32" priority="968">
      <formula>E7=""</formula>
    </cfRule>
  </conditionalFormatting>
  <conditionalFormatting sqref="E9">
    <cfRule type="expression" dxfId="31" priority="965">
      <formula>E9&lt;&gt;""</formula>
    </cfRule>
    <cfRule type="expression" dxfId="30" priority="966">
      <formula>E9=""</formula>
    </cfRule>
  </conditionalFormatting>
  <conditionalFormatting sqref="E16">
    <cfRule type="expression" dxfId="29" priority="963">
      <formula>E16&lt;&gt;""</formula>
    </cfRule>
    <cfRule type="expression" dxfId="28" priority="964">
      <formula>E16=""</formula>
    </cfRule>
  </conditionalFormatting>
  <conditionalFormatting sqref="E17">
    <cfRule type="expression" dxfId="27" priority="877">
      <formula>E17&lt;&gt;""</formula>
    </cfRule>
    <cfRule type="expression" dxfId="26" priority="878">
      <formula>E17=""</formula>
    </cfRule>
  </conditionalFormatting>
  <conditionalFormatting sqref="E18:E19">
    <cfRule type="expression" dxfId="25" priority="749">
      <formula>E18&lt;&gt;""</formula>
    </cfRule>
    <cfRule type="expression" dxfId="24" priority="750">
      <formula>E18=""</formula>
    </cfRule>
  </conditionalFormatting>
  <conditionalFormatting sqref="AL52:AV52">
    <cfRule type="expression" dxfId="23" priority="87">
      <formula>AL52&lt;&gt;""</formula>
    </cfRule>
    <cfRule type="expression" dxfId="22" priority="88">
      <formula>AL52=""</formula>
    </cfRule>
  </conditionalFormatting>
  <conditionalFormatting sqref="O23">
    <cfRule type="expression" dxfId="21" priority="67">
      <formula>O23&lt;&gt;""</formula>
    </cfRule>
    <cfRule type="expression" dxfId="20" priority="68">
      <formula>O23=""</formula>
    </cfRule>
  </conditionalFormatting>
  <conditionalFormatting sqref="P23">
    <cfRule type="expression" dxfId="19" priority="65">
      <formula>P23&lt;&gt;""</formula>
    </cfRule>
    <cfRule type="expression" dxfId="18" priority="66">
      <formula>P23=""</formula>
    </cfRule>
  </conditionalFormatting>
  <conditionalFormatting sqref="R23">
    <cfRule type="expression" dxfId="17" priority="63">
      <formula>R23&lt;&gt;""</formula>
    </cfRule>
    <cfRule type="expression" dxfId="16" priority="64">
      <formula>R23=""</formula>
    </cfRule>
  </conditionalFormatting>
  <conditionalFormatting sqref="N23">
    <cfRule type="expression" dxfId="15" priority="61">
      <formula>N23&lt;&gt;""</formula>
    </cfRule>
    <cfRule type="expression" dxfId="14" priority="62">
      <formula>N23=""</formula>
    </cfRule>
  </conditionalFormatting>
  <conditionalFormatting sqref="Q23">
    <cfRule type="expression" dxfId="13" priority="59">
      <formula>Q23&lt;&gt;""</formula>
    </cfRule>
    <cfRule type="expression" dxfId="12" priority="60">
      <formula>Q23=""</formula>
    </cfRule>
  </conditionalFormatting>
  <conditionalFormatting sqref="H14:H15">
    <cfRule type="expression" dxfId="11" priority="11">
      <formula>H14&lt;&gt;""</formula>
    </cfRule>
    <cfRule type="expression" dxfId="10" priority="12">
      <formula>H14=""</formula>
    </cfRule>
  </conditionalFormatting>
  <conditionalFormatting sqref="H2">
    <cfRule type="expression" dxfId="9" priority="9">
      <formula>H2&lt;&gt;""</formula>
    </cfRule>
    <cfRule type="expression" dxfId="8" priority="10">
      <formula>H2=""</formula>
    </cfRule>
  </conditionalFormatting>
  <conditionalFormatting sqref="H6">
    <cfRule type="expression" dxfId="7" priority="7">
      <formula>H6&lt;&gt;""</formula>
    </cfRule>
    <cfRule type="expression" dxfId="6" priority="8">
      <formula>H6=""</formula>
    </cfRule>
  </conditionalFormatting>
  <conditionalFormatting sqref="H13">
    <cfRule type="expression" dxfId="5" priority="5">
      <formula>H13&lt;&gt;""</formula>
    </cfRule>
    <cfRule type="expression" dxfId="4" priority="6">
      <formula>H13=""</formula>
    </cfRule>
  </conditionalFormatting>
  <conditionalFormatting sqref="E14">
    <cfRule type="expression" dxfId="3" priority="3">
      <formula>E14&lt;&gt;""</formula>
    </cfRule>
    <cfRule type="expression" dxfId="2" priority="4">
      <formula>E14=""</formula>
    </cfRule>
  </conditionalFormatting>
  <conditionalFormatting sqref="E15">
    <cfRule type="expression" dxfId="1" priority="1">
      <formula>E15&lt;&gt;""</formula>
    </cfRule>
    <cfRule type="expression" dxfId="0" priority="2">
      <formula>E15=""</formula>
    </cfRule>
  </conditionalFormatting>
  <dataValidations disablePrompts="1" count="3">
    <dataValidation type="list" allowBlank="1" showInputMessage="1" showErrorMessage="1" sqref="H6">
      <formula1>$H$7:$H$8</formula1>
    </dataValidation>
    <dataValidation type="list" allowBlank="1" showInputMessage="1" showErrorMessage="1" sqref="H2">
      <formula1>"1,3"</formula1>
    </dataValidation>
    <dataValidation type="list" allowBlank="1" showInputMessage="1" showErrorMessage="1" sqref="H14">
      <formula1>"N/A (Non-capped),Cost Cap,Initial PA,PA Approval"</formula1>
    </dataValidation>
  </dataValidations>
  <pageMargins left="0.7" right="0.7" top="0.75" bottom="0.75" header="0.3" footer="0.3"/>
  <pageSetup orientation="portrait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buwriter">
                <anchor moveWithCells="1">
                  <from>
                    <xdr:col>4</xdr:col>
                    <xdr:colOff>942975</xdr:colOff>
                    <xdr:row>0</xdr:row>
                    <xdr:rowOff>76200</xdr:rowOff>
                  </from>
                  <to>
                    <xdr:col>5</xdr:col>
                    <xdr:colOff>485775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">
                <anchor mov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1162050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ddsponsor">
                <anchor moveWithCells="1">
                  <from>
                    <xdr:col>0</xdr:col>
                    <xdr:colOff>1266825</xdr:colOff>
                    <xdr:row>0</xdr:row>
                    <xdr:rowOff>66675</xdr:rowOff>
                  </from>
                  <to>
                    <xdr:col>1</xdr:col>
                    <xdr:colOff>600075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Mail_workbook_Outlook_1">
                <anchor moveWithCells="1">
                  <from>
                    <xdr:col>9</xdr:col>
                    <xdr:colOff>104775</xdr:colOff>
                    <xdr:row>0</xdr:row>
                    <xdr:rowOff>66675</xdr:rowOff>
                  </from>
                  <to>
                    <xdr:col>10</xdr:col>
                    <xdr:colOff>647700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projectsave">
                <anchor moveWithCells="1">
                  <from>
                    <xdr:col>1</xdr:col>
                    <xdr:colOff>685800</xdr:colOff>
                    <xdr:row>0</xdr:row>
                    <xdr:rowOff>85725</xdr:rowOff>
                  </from>
                  <to>
                    <xdr:col>1</xdr:col>
                    <xdr:colOff>1781175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rojectload">
                <anchor moveWithCells="1">
                  <from>
                    <xdr:col>1</xdr:col>
                    <xdr:colOff>1895475</xdr:colOff>
                    <xdr:row>0</xdr:row>
                    <xdr:rowOff>85725</xdr:rowOff>
                  </from>
                  <to>
                    <xdr:col>2</xdr:col>
                    <xdr:colOff>323850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loadmeasure">
                <anchor moveWithCells="1">
                  <from>
                    <xdr:col>2</xdr:col>
                    <xdr:colOff>409575</xdr:colOff>
                    <xdr:row>0</xdr:row>
                    <xdr:rowOff>76200</xdr:rowOff>
                  </from>
                  <to>
                    <xdr:col>3</xdr:col>
                    <xdr:colOff>371475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Mail_workbook_Outlook_Inspection">
                <anchor moveWithCells="1">
                  <from>
                    <xdr:col>9</xdr:col>
                    <xdr:colOff>114300</xdr:colOff>
                    <xdr:row>0</xdr:row>
                    <xdr:rowOff>333375</xdr:rowOff>
                  </from>
                  <to>
                    <xdr:col>10</xdr:col>
                    <xdr:colOff>657225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Mail_workbook_Outlook_Post_Inspection">
                <anchor moveWithCells="1">
                  <from>
                    <xdr:col>9</xdr:col>
                    <xdr:colOff>104775</xdr:colOff>
                    <xdr:row>1</xdr:row>
                    <xdr:rowOff>133350</xdr:rowOff>
                  </from>
                  <to>
                    <xdr:col>10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unreport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171450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OFFSET(Sponsor!$A$2,,,Sponsor!$A$1,)</xm:f>
          </x14:formula1>
          <xm:sqref>B4</xm:sqref>
        </x14:dataValidation>
        <x14:dataValidation type="list" allowBlank="1" showInputMessage="1" showErrorMessage="1">
          <x14:formula1>
            <xm:f>Setting!$A$2:$A$5</xm:f>
          </x14:formula1>
          <xm:sqref>E6</xm:sqref>
        </x14:dataValidation>
        <x14:dataValidation type="list" allowBlank="1" showInputMessage="1" showErrorMessage="1">
          <x14:formula1>
            <xm:f>Setting!$B$2:$B$3</xm:f>
          </x14:formula1>
          <xm:sqref>E16</xm:sqref>
        </x14:dataValidation>
        <x14:dataValidation type="list" allowBlank="1" showInputMessage="1" showErrorMessage="1">
          <x14:formula1>
            <xm:f>Setting!$C$2:$C$10</xm:f>
          </x14:formula1>
          <xm:sqref>AL52:AV52</xm:sqref>
        </x14:dataValidation>
        <x14:dataValidation type="list" allowBlank="1" showInputMessage="1" showErrorMessage="1">
          <x14:formula1>
            <xm:f>Setting!$H$2:$H$10</xm:f>
          </x14:formula1>
          <xm:sqref>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0"/>
  <sheetViews>
    <sheetView topLeftCell="B1" zoomScale="80" zoomScaleNormal="80" workbookViewId="0">
      <pane ySplit="1" topLeftCell="A431" activePane="bottomLeft" state="frozen"/>
      <selection activeCell="B1" sqref="B1"/>
      <selection pane="bottomLeft" activeCell="I437" sqref="I437"/>
    </sheetView>
  </sheetViews>
  <sheetFormatPr defaultRowHeight="15" x14ac:dyDescent="0.25"/>
  <cols>
    <col min="1" max="1" width="17.5703125" customWidth="1"/>
    <col min="2" max="2" width="10.7109375" bestFit="1" customWidth="1"/>
    <col min="3" max="3" width="42.28515625" bestFit="1" customWidth="1"/>
    <col min="4" max="4" width="32.85546875" bestFit="1" customWidth="1"/>
    <col min="5" max="5" width="18.7109375" bestFit="1" customWidth="1"/>
    <col min="6" max="6" width="5.5703125" bestFit="1" customWidth="1"/>
    <col min="7" max="7" width="10.7109375" bestFit="1" customWidth="1"/>
    <col min="8" max="8" width="12.42578125" bestFit="1" customWidth="1"/>
    <col min="9" max="9" width="14.28515625" bestFit="1" customWidth="1"/>
    <col min="10" max="10" width="45.85546875" bestFit="1" customWidth="1"/>
    <col min="14" max="14" width="11.5703125" bestFit="1" customWidth="1"/>
    <col min="15" max="15" width="13.42578125" bestFit="1" customWidth="1"/>
    <col min="17" max="17" width="50.28515625" bestFit="1" customWidth="1"/>
  </cols>
  <sheetData>
    <row r="1" spans="1:17" s="4" customFormat="1" x14ac:dyDescent="0.25">
      <c r="A1" s="3">
        <f>COUNTA($B1:$B$5000)-1</f>
        <v>439</v>
      </c>
      <c r="B1" s="3" t="s">
        <v>2171</v>
      </c>
      <c r="C1" s="3" t="s">
        <v>2172</v>
      </c>
      <c r="D1" s="3" t="s">
        <v>2174</v>
      </c>
      <c r="E1" s="3" t="s">
        <v>2176</v>
      </c>
      <c r="F1" s="3" t="s">
        <v>2177</v>
      </c>
      <c r="G1" s="3" t="s">
        <v>2178</v>
      </c>
      <c r="H1" s="3" t="s">
        <v>0</v>
      </c>
      <c r="I1" s="3" t="s">
        <v>1</v>
      </c>
      <c r="J1" s="3" t="s">
        <v>2</v>
      </c>
      <c r="K1" s="4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9</v>
      </c>
    </row>
    <row r="2" spans="1:17" x14ac:dyDescent="0.25">
      <c r="A2" s="1" t="str">
        <f t="shared" ref="A2:A65" si="0">IF(B2="","",B2&amp;"-"&amp;D2)</f>
        <v>414-2555 Central Parkway LLC</v>
      </c>
      <c r="B2" s="1">
        <v>414</v>
      </c>
      <c r="C2" s="1" t="s">
        <v>2180</v>
      </c>
      <c r="D2" s="1" t="s">
        <v>2181</v>
      </c>
      <c r="E2" s="1"/>
      <c r="F2" s="1"/>
      <c r="G2" s="1" t="s">
        <v>2182</v>
      </c>
      <c r="H2" s="1" t="s">
        <v>10</v>
      </c>
      <c r="I2" s="1" t="s">
        <v>11</v>
      </c>
      <c r="J2" s="1" t="s">
        <v>12</v>
      </c>
      <c r="L2" t="s">
        <v>13</v>
      </c>
      <c r="M2" t="s">
        <v>14</v>
      </c>
      <c r="N2">
        <v>77092</v>
      </c>
      <c r="O2" t="s">
        <v>15</v>
      </c>
      <c r="Q2" t="s">
        <v>16</v>
      </c>
    </row>
    <row r="3" spans="1:17" x14ac:dyDescent="0.25">
      <c r="A3" s="1" t="str">
        <f t="shared" si="0"/>
        <v>568-2555 Central Parkway LLC</v>
      </c>
      <c r="B3" s="1">
        <v>568</v>
      </c>
      <c r="C3" s="1" t="s">
        <v>2183</v>
      </c>
      <c r="D3" s="1" t="s">
        <v>2181</v>
      </c>
      <c r="E3" s="1"/>
      <c r="F3" s="1"/>
      <c r="G3" s="1" t="s">
        <v>2182</v>
      </c>
      <c r="H3" s="1" t="s">
        <v>10</v>
      </c>
      <c r="I3" s="1" t="s">
        <v>11</v>
      </c>
      <c r="J3" s="1" t="s">
        <v>17</v>
      </c>
      <c r="L3" t="s">
        <v>13</v>
      </c>
      <c r="M3" t="s">
        <v>14</v>
      </c>
      <c r="N3">
        <v>77092</v>
      </c>
      <c r="O3" t="s">
        <v>15</v>
      </c>
      <c r="Q3" t="s">
        <v>16</v>
      </c>
    </row>
    <row r="4" spans="1:17" x14ac:dyDescent="0.25">
      <c r="A4" s="1" t="str">
        <f t="shared" si="0"/>
        <v>470-3010 Briarpark Tenant, LP</v>
      </c>
      <c r="B4" s="1">
        <v>470</v>
      </c>
      <c r="C4" s="1" t="s">
        <v>2184</v>
      </c>
      <c r="D4" s="1" t="s">
        <v>2185</v>
      </c>
      <c r="E4" s="1"/>
      <c r="F4" s="1"/>
      <c r="G4" s="1" t="s">
        <v>2186</v>
      </c>
      <c r="H4" s="1" t="s">
        <v>18</v>
      </c>
      <c r="I4" s="1" t="s">
        <v>19</v>
      </c>
      <c r="J4" s="1" t="s">
        <v>20</v>
      </c>
      <c r="K4" t="s">
        <v>21</v>
      </c>
      <c r="L4" t="s">
        <v>13</v>
      </c>
      <c r="M4" t="s">
        <v>14</v>
      </c>
      <c r="N4">
        <v>77042</v>
      </c>
      <c r="O4" t="s">
        <v>22</v>
      </c>
      <c r="Q4" t="s">
        <v>23</v>
      </c>
    </row>
    <row r="5" spans="1:17" x14ac:dyDescent="0.25">
      <c r="A5" s="1" t="str">
        <f t="shared" si="0"/>
        <v>427-3M</v>
      </c>
      <c r="B5" s="1">
        <v>427</v>
      </c>
      <c r="C5" s="1" t="s">
        <v>2187</v>
      </c>
      <c r="D5" s="1" t="s">
        <v>2188</v>
      </c>
      <c r="E5" s="1"/>
      <c r="F5" s="1"/>
      <c r="G5" s="1" t="s">
        <v>2189</v>
      </c>
      <c r="H5" s="1" t="s">
        <v>24</v>
      </c>
      <c r="I5" s="1" t="s">
        <v>25</v>
      </c>
      <c r="J5" s="1" t="s">
        <v>26</v>
      </c>
      <c r="L5" t="s">
        <v>13</v>
      </c>
      <c r="M5" t="s">
        <v>14</v>
      </c>
      <c r="N5">
        <v>77055</v>
      </c>
      <c r="O5" t="s">
        <v>27</v>
      </c>
      <c r="Q5" t="s">
        <v>28</v>
      </c>
    </row>
    <row r="6" spans="1:17" x14ac:dyDescent="0.25">
      <c r="A6" s="1" t="str">
        <f t="shared" si="0"/>
        <v>412-411 Energy Inc.</v>
      </c>
      <c r="B6" s="1">
        <v>412</v>
      </c>
      <c r="C6" s="1" t="s">
        <v>2190</v>
      </c>
      <c r="D6" s="1" t="s">
        <v>2191</v>
      </c>
      <c r="E6" s="1"/>
      <c r="F6" s="1"/>
      <c r="G6" s="1" t="s">
        <v>2192</v>
      </c>
      <c r="H6" s="1" t="s">
        <v>29</v>
      </c>
      <c r="I6" s="1" t="s">
        <v>30</v>
      </c>
      <c r="J6" s="1" t="s">
        <v>31</v>
      </c>
      <c r="L6" t="s">
        <v>32</v>
      </c>
      <c r="M6" t="s">
        <v>14</v>
      </c>
      <c r="N6">
        <v>76310</v>
      </c>
      <c r="O6" t="s">
        <v>33</v>
      </c>
      <c r="P6">
        <v>8882884227</v>
      </c>
      <c r="Q6" t="s">
        <v>34</v>
      </c>
    </row>
    <row r="7" spans="1:17" x14ac:dyDescent="0.25">
      <c r="A7" s="1" t="str">
        <f t="shared" si="0"/>
        <v>444-500 McKinney Avenue</v>
      </c>
      <c r="B7" s="1">
        <v>444</v>
      </c>
      <c r="C7" s="1" t="s">
        <v>2193</v>
      </c>
      <c r="D7" s="1" t="s">
        <v>2194</v>
      </c>
      <c r="E7" s="1"/>
      <c r="F7" s="1"/>
      <c r="G7" s="1" t="s">
        <v>2195</v>
      </c>
      <c r="H7" s="1" t="s">
        <v>35</v>
      </c>
      <c r="I7" s="1" t="s">
        <v>36</v>
      </c>
      <c r="J7" s="1" t="s">
        <v>37</v>
      </c>
      <c r="L7" t="s">
        <v>13</v>
      </c>
      <c r="M7" t="s">
        <v>14</v>
      </c>
      <c r="N7" t="s">
        <v>38</v>
      </c>
      <c r="O7" t="s">
        <v>39</v>
      </c>
      <c r="Q7" t="s">
        <v>40</v>
      </c>
    </row>
    <row r="8" spans="1:17" x14ac:dyDescent="0.25">
      <c r="A8" s="1" t="str">
        <f t="shared" si="0"/>
        <v>619-806 Main Hotel Group</v>
      </c>
      <c r="B8" s="1">
        <v>619</v>
      </c>
      <c r="C8" s="1" t="s">
        <v>2196</v>
      </c>
      <c r="D8" s="1" t="s">
        <v>2197</v>
      </c>
      <c r="E8" s="1" t="s">
        <v>2198</v>
      </c>
      <c r="F8" s="1"/>
      <c r="G8" s="1" t="s">
        <v>2199</v>
      </c>
      <c r="H8" s="1" t="s">
        <v>41</v>
      </c>
      <c r="I8" s="1" t="s">
        <v>42</v>
      </c>
      <c r="J8" s="1" t="s">
        <v>43</v>
      </c>
      <c r="K8" t="s">
        <v>44</v>
      </c>
      <c r="L8" t="s">
        <v>13</v>
      </c>
      <c r="M8" t="s">
        <v>14</v>
      </c>
      <c r="N8">
        <v>77002</v>
      </c>
      <c r="O8" t="s">
        <v>45</v>
      </c>
      <c r="P8" t="s">
        <v>46</v>
      </c>
      <c r="Q8" t="s">
        <v>47</v>
      </c>
    </row>
    <row r="9" spans="1:17" x14ac:dyDescent="0.25">
      <c r="A9" s="1" t="str">
        <f t="shared" si="0"/>
        <v>506-A to Z Building Inspection Services</v>
      </c>
      <c r="B9" s="1">
        <v>506</v>
      </c>
      <c r="C9" s="1" t="s">
        <v>2200</v>
      </c>
      <c r="D9" s="1" t="s">
        <v>2201</v>
      </c>
      <c r="E9" s="1"/>
      <c r="F9" s="1" t="s">
        <v>2200</v>
      </c>
      <c r="G9" s="1" t="s">
        <v>2202</v>
      </c>
      <c r="H9" s="1" t="s">
        <v>48</v>
      </c>
      <c r="I9" s="1" t="s">
        <v>49</v>
      </c>
      <c r="J9" s="1" t="s">
        <v>50</v>
      </c>
      <c r="L9" t="s">
        <v>13</v>
      </c>
      <c r="M9" t="s">
        <v>14</v>
      </c>
      <c r="N9">
        <v>77069</v>
      </c>
      <c r="O9" t="s">
        <v>51</v>
      </c>
      <c r="Q9" t="s">
        <v>52</v>
      </c>
    </row>
    <row r="10" spans="1:17" x14ac:dyDescent="0.25">
      <c r="A10" s="1" t="str">
        <f t="shared" si="0"/>
        <v>316-A&amp;L VALVE AND FITTING LP</v>
      </c>
      <c r="B10" s="1">
        <v>316</v>
      </c>
      <c r="C10" s="1" t="s">
        <v>2203</v>
      </c>
      <c r="D10" s="1" t="s">
        <v>2204</v>
      </c>
      <c r="E10" s="1"/>
      <c r="F10" s="1"/>
      <c r="G10" s="1" t="s">
        <v>2205</v>
      </c>
      <c r="H10" s="1" t="s">
        <v>53</v>
      </c>
      <c r="I10" s="1" t="s">
        <v>54</v>
      </c>
      <c r="J10" s="1" t="s">
        <v>55</v>
      </c>
      <c r="L10" t="s">
        <v>56</v>
      </c>
      <c r="M10" t="s">
        <v>14</v>
      </c>
      <c r="N10">
        <v>77075</v>
      </c>
      <c r="O10" t="s">
        <v>57</v>
      </c>
      <c r="Q10" t="s">
        <v>58</v>
      </c>
    </row>
    <row r="11" spans="1:17" x14ac:dyDescent="0.25">
      <c r="A11" s="1" t="str">
        <f t="shared" si="0"/>
        <v>580-a1 energy</v>
      </c>
      <c r="B11" s="1">
        <v>580</v>
      </c>
      <c r="C11" s="1" t="s">
        <v>2206</v>
      </c>
      <c r="D11" s="1" t="s">
        <v>2207</v>
      </c>
      <c r="E11" s="1"/>
      <c r="F11" s="1" t="s">
        <v>2208</v>
      </c>
      <c r="G11" s="1" t="s">
        <v>2209</v>
      </c>
      <c r="H11" s="1" t="s">
        <v>59</v>
      </c>
      <c r="I11" s="1" t="s">
        <v>60</v>
      </c>
      <c r="J11" s="1" t="s">
        <v>61</v>
      </c>
      <c r="L11" t="s">
        <v>62</v>
      </c>
      <c r="M11" t="s">
        <v>14</v>
      </c>
      <c r="N11">
        <v>77573</v>
      </c>
      <c r="O11" t="s">
        <v>63</v>
      </c>
      <c r="Q11" t="s">
        <v>64</v>
      </c>
    </row>
    <row r="12" spans="1:17" x14ac:dyDescent="0.25">
      <c r="A12" s="1" t="str">
        <f t="shared" si="0"/>
        <v>581-a1 energy</v>
      </c>
      <c r="B12" s="1">
        <v>581</v>
      </c>
      <c r="C12" s="1" t="s">
        <v>2208</v>
      </c>
      <c r="D12" s="1" t="s">
        <v>2207</v>
      </c>
      <c r="E12" s="1"/>
      <c r="F12" s="1"/>
      <c r="G12" s="1" t="s">
        <v>2209</v>
      </c>
      <c r="H12" s="1" t="s">
        <v>59</v>
      </c>
      <c r="I12" s="1" t="s">
        <v>60</v>
      </c>
      <c r="J12" s="1" t="s">
        <v>61</v>
      </c>
      <c r="L12" t="s">
        <v>62</v>
      </c>
      <c r="M12" t="s">
        <v>14</v>
      </c>
      <c r="N12">
        <v>77573</v>
      </c>
      <c r="O12" t="s">
        <v>63</v>
      </c>
      <c r="Q12" t="s">
        <v>64</v>
      </c>
    </row>
    <row r="13" spans="1:17" x14ac:dyDescent="0.25">
      <c r="A13" s="1" t="str">
        <f t="shared" si="0"/>
        <v>497-Aaahlens inc</v>
      </c>
      <c r="B13" s="1">
        <v>497</v>
      </c>
      <c r="C13" s="1" t="s">
        <v>2210</v>
      </c>
      <c r="D13" s="1" t="s">
        <v>2211</v>
      </c>
      <c r="E13" s="1"/>
      <c r="F13" s="1"/>
      <c r="G13" s="1" t="s">
        <v>2212</v>
      </c>
      <c r="H13" s="1" t="s">
        <v>65</v>
      </c>
      <c r="I13" s="1" t="s">
        <v>66</v>
      </c>
      <c r="J13" s="1" t="s">
        <v>67</v>
      </c>
      <c r="L13" t="s">
        <v>68</v>
      </c>
      <c r="M13" t="s">
        <v>14</v>
      </c>
      <c r="N13">
        <v>75038</v>
      </c>
      <c r="O13" t="s">
        <v>69</v>
      </c>
      <c r="Q13" t="s">
        <v>70</v>
      </c>
    </row>
    <row r="14" spans="1:17" x14ac:dyDescent="0.25">
      <c r="A14" s="1" t="str">
        <f t="shared" si="0"/>
        <v>409-Abaco Lighting</v>
      </c>
      <c r="B14" s="1">
        <v>409</v>
      </c>
      <c r="C14" s="1" t="s">
        <v>2213</v>
      </c>
      <c r="D14" s="1" t="s">
        <v>2214</v>
      </c>
      <c r="E14" s="1"/>
      <c r="F14" s="1"/>
      <c r="G14" s="1" t="s">
        <v>2215</v>
      </c>
      <c r="H14" s="1" t="s">
        <v>71</v>
      </c>
      <c r="I14" s="1" t="s">
        <v>72</v>
      </c>
      <c r="J14" s="1" t="s">
        <v>73</v>
      </c>
      <c r="L14" t="s">
        <v>74</v>
      </c>
      <c r="M14" t="s">
        <v>75</v>
      </c>
      <c r="N14">
        <v>33064</v>
      </c>
      <c r="O14" t="s">
        <v>76</v>
      </c>
      <c r="Q14" t="s">
        <v>77</v>
      </c>
    </row>
    <row r="15" spans="1:17" x14ac:dyDescent="0.25">
      <c r="A15" s="1" t="str">
        <f t="shared" si="0"/>
        <v>516-Acclaim Energy Advisors</v>
      </c>
      <c r="B15" s="1">
        <v>516</v>
      </c>
      <c r="C15" s="1" t="s">
        <v>2216</v>
      </c>
      <c r="D15" s="1" t="s">
        <v>2217</v>
      </c>
      <c r="E15" s="1"/>
      <c r="F15" s="1"/>
      <c r="G15" s="1" t="s">
        <v>2218</v>
      </c>
      <c r="H15" s="1" t="s">
        <v>78</v>
      </c>
      <c r="I15" s="1" t="s">
        <v>79</v>
      </c>
      <c r="J15" s="1" t="s">
        <v>80</v>
      </c>
      <c r="L15" t="s">
        <v>13</v>
      </c>
      <c r="M15" t="s">
        <v>14</v>
      </c>
      <c r="N15">
        <v>77056</v>
      </c>
      <c r="O15" t="s">
        <v>81</v>
      </c>
      <c r="Q15" t="s">
        <v>82</v>
      </c>
    </row>
    <row r="16" spans="1:17" x14ac:dyDescent="0.25">
      <c r="A16" s="1" t="str">
        <f t="shared" si="0"/>
        <v>529-Accor North America</v>
      </c>
      <c r="B16" s="1">
        <v>529</v>
      </c>
      <c r="C16" s="1" t="s">
        <v>2219</v>
      </c>
      <c r="D16" s="1" t="s">
        <v>2220</v>
      </c>
      <c r="E16" s="1"/>
      <c r="F16" s="1"/>
      <c r="G16" s="1" t="s">
        <v>2221</v>
      </c>
      <c r="H16" s="1" t="s">
        <v>83</v>
      </c>
      <c r="I16" s="1" t="s">
        <v>84</v>
      </c>
      <c r="J16" s="1" t="s">
        <v>85</v>
      </c>
      <c r="L16" t="s">
        <v>86</v>
      </c>
      <c r="M16" t="s">
        <v>14</v>
      </c>
      <c r="N16">
        <v>75007</v>
      </c>
      <c r="O16" t="s">
        <v>87</v>
      </c>
      <c r="Q16" t="s">
        <v>88</v>
      </c>
    </row>
    <row r="17" spans="1:17" x14ac:dyDescent="0.25">
      <c r="A17" s="1" t="str">
        <f t="shared" si="0"/>
        <v xml:space="preserve">399-Ace Mart Restaurant Supply Company </v>
      </c>
      <c r="B17" s="1">
        <v>399</v>
      </c>
      <c r="C17" s="1" t="s">
        <v>2222</v>
      </c>
      <c r="D17" s="1" t="s">
        <v>2223</v>
      </c>
      <c r="E17" s="1"/>
      <c r="F17" s="1"/>
      <c r="G17" s="1" t="s">
        <v>2224</v>
      </c>
      <c r="H17" s="1" t="s">
        <v>89</v>
      </c>
      <c r="I17" s="1" t="s">
        <v>90</v>
      </c>
      <c r="J17" s="1" t="s">
        <v>91</v>
      </c>
      <c r="L17" t="s">
        <v>92</v>
      </c>
      <c r="M17" t="s">
        <v>14</v>
      </c>
      <c r="N17">
        <v>78218</v>
      </c>
      <c r="O17" t="s">
        <v>93</v>
      </c>
      <c r="P17" t="s">
        <v>94</v>
      </c>
      <c r="Q17" t="s">
        <v>95</v>
      </c>
    </row>
    <row r="18" spans="1:17" x14ac:dyDescent="0.25">
      <c r="A18" s="1" t="str">
        <f t="shared" si="0"/>
        <v>390-ACES Carbon Monoxide Detection Systems</v>
      </c>
      <c r="B18" s="1">
        <v>390</v>
      </c>
      <c r="C18" s="1" t="s">
        <v>2225</v>
      </c>
      <c r="D18" s="1" t="s">
        <v>2226</v>
      </c>
      <c r="E18" s="1" t="s">
        <v>2227</v>
      </c>
      <c r="F18" s="1" t="s">
        <v>2225</v>
      </c>
      <c r="G18" s="1" t="s">
        <v>2228</v>
      </c>
      <c r="H18" s="1" t="s">
        <v>96</v>
      </c>
      <c r="I18" s="1" t="s">
        <v>49</v>
      </c>
      <c r="J18" s="1" t="s">
        <v>97</v>
      </c>
      <c r="K18" t="s">
        <v>98</v>
      </c>
      <c r="L18" t="s">
        <v>99</v>
      </c>
      <c r="M18" t="s">
        <v>100</v>
      </c>
      <c r="N18">
        <v>92007</v>
      </c>
      <c r="O18" t="s">
        <v>101</v>
      </c>
      <c r="P18" t="s">
        <v>102</v>
      </c>
      <c r="Q18" t="s">
        <v>103</v>
      </c>
    </row>
    <row r="19" spans="1:17" x14ac:dyDescent="0.25">
      <c r="A19" s="1" t="str">
        <f t="shared" si="0"/>
        <v>231-ACR Engineering, Inc.</v>
      </c>
      <c r="B19" s="1">
        <v>231</v>
      </c>
      <c r="C19" s="1" t="s">
        <v>2229</v>
      </c>
      <c r="D19" s="1" t="s">
        <v>2230</v>
      </c>
      <c r="E19" s="1"/>
      <c r="F19" s="1"/>
      <c r="G19" s="1" t="s">
        <v>2231</v>
      </c>
      <c r="H19" s="1" t="s">
        <v>104</v>
      </c>
      <c r="I19" s="1" t="s">
        <v>105</v>
      </c>
      <c r="J19" s="1" t="s">
        <v>106</v>
      </c>
      <c r="L19" t="s">
        <v>107</v>
      </c>
      <c r="M19" t="s">
        <v>14</v>
      </c>
      <c r="N19">
        <v>78704</v>
      </c>
      <c r="O19" t="s">
        <v>108</v>
      </c>
      <c r="P19" t="s">
        <v>109</v>
      </c>
      <c r="Q19" t="s">
        <v>110</v>
      </c>
    </row>
    <row r="20" spans="1:17" x14ac:dyDescent="0.25">
      <c r="A20" s="1" t="str">
        <f t="shared" si="0"/>
        <v xml:space="preserve">229-Advanced Lighting, Inc. </v>
      </c>
      <c r="B20" s="1">
        <v>229</v>
      </c>
      <c r="C20" s="1" t="s">
        <v>2232</v>
      </c>
      <c r="D20" s="1" t="s">
        <v>2233</v>
      </c>
      <c r="E20" s="1"/>
      <c r="F20" s="1"/>
      <c r="G20" s="1" t="s">
        <v>2234</v>
      </c>
      <c r="H20" s="1" t="s">
        <v>111</v>
      </c>
      <c r="I20" s="1" t="s">
        <v>112</v>
      </c>
      <c r="J20" s="1" t="s">
        <v>113</v>
      </c>
      <c r="L20" t="s">
        <v>114</v>
      </c>
      <c r="M20" t="s">
        <v>115</v>
      </c>
      <c r="N20">
        <v>84119</v>
      </c>
      <c r="O20" t="s">
        <v>116</v>
      </c>
      <c r="P20" t="s">
        <v>117</v>
      </c>
    </row>
    <row r="21" spans="1:17" x14ac:dyDescent="0.25">
      <c r="A21" s="1" t="str">
        <f t="shared" si="0"/>
        <v>220-Advanced Technologies, Inc.</v>
      </c>
      <c r="B21" s="1">
        <v>220</v>
      </c>
      <c r="C21" s="1" t="s">
        <v>2235</v>
      </c>
      <c r="D21" s="1" t="s">
        <v>2236</v>
      </c>
      <c r="E21" s="1" t="s">
        <v>2237</v>
      </c>
      <c r="F21" s="1" t="s">
        <v>2238</v>
      </c>
      <c r="G21" s="1" t="s">
        <v>2239</v>
      </c>
      <c r="H21" s="1" t="s">
        <v>118</v>
      </c>
      <c r="I21" s="1" t="s">
        <v>119</v>
      </c>
      <c r="J21" s="1" t="s">
        <v>120</v>
      </c>
      <c r="K21" t="s">
        <v>121</v>
      </c>
      <c r="L21" t="s">
        <v>13</v>
      </c>
      <c r="M21" t="s">
        <v>14</v>
      </c>
      <c r="N21">
        <v>77040</v>
      </c>
      <c r="O21" t="s">
        <v>122</v>
      </c>
      <c r="P21" t="s">
        <v>123</v>
      </c>
      <c r="Q21" t="s">
        <v>124</v>
      </c>
    </row>
    <row r="22" spans="1:17" x14ac:dyDescent="0.25">
      <c r="A22" s="1" t="str">
        <f t="shared" si="0"/>
        <v>227-Aelux</v>
      </c>
      <c r="B22" s="1">
        <v>227</v>
      </c>
      <c r="C22" s="1" t="s">
        <v>2240</v>
      </c>
      <c r="D22" s="1" t="s">
        <v>2241</v>
      </c>
      <c r="E22" s="1"/>
      <c r="F22" s="1"/>
      <c r="G22" s="1" t="s">
        <v>2242</v>
      </c>
      <c r="H22" s="1" t="s">
        <v>125</v>
      </c>
      <c r="I22" s="1" t="s">
        <v>126</v>
      </c>
      <c r="J22" s="1" t="s">
        <v>127</v>
      </c>
      <c r="L22" t="s">
        <v>128</v>
      </c>
      <c r="M22" t="s">
        <v>129</v>
      </c>
      <c r="N22">
        <v>19046</v>
      </c>
      <c r="O22" t="s">
        <v>130</v>
      </c>
      <c r="P22" t="s">
        <v>131</v>
      </c>
      <c r="Q22" t="s">
        <v>132</v>
      </c>
    </row>
    <row r="23" spans="1:17" x14ac:dyDescent="0.25">
      <c r="A23" s="1" t="str">
        <f t="shared" si="0"/>
        <v>406-AEP Texas</v>
      </c>
      <c r="B23" s="1">
        <v>406</v>
      </c>
      <c r="C23" s="1" t="s">
        <v>2243</v>
      </c>
      <c r="D23" s="1" t="s">
        <v>2244</v>
      </c>
      <c r="E23" s="1"/>
      <c r="F23" s="1"/>
      <c r="G23" s="1" t="s">
        <v>2245</v>
      </c>
      <c r="H23" s="1" t="s">
        <v>133</v>
      </c>
      <c r="I23" s="1" t="s">
        <v>134</v>
      </c>
      <c r="J23" s="1" t="s">
        <v>135</v>
      </c>
      <c r="L23" t="s">
        <v>136</v>
      </c>
      <c r="M23" t="s">
        <v>14</v>
      </c>
      <c r="N23">
        <v>79602</v>
      </c>
      <c r="O23" t="s">
        <v>137</v>
      </c>
      <c r="Q23" t="s">
        <v>138</v>
      </c>
    </row>
    <row r="24" spans="1:17" x14ac:dyDescent="0.25">
      <c r="A24" s="1" t="str">
        <f t="shared" si="0"/>
        <v>306-Air Liquide Large Industries U.S. LP</v>
      </c>
      <c r="B24" s="1">
        <v>306</v>
      </c>
      <c r="C24" s="1" t="s">
        <v>2246</v>
      </c>
      <c r="D24" s="1" t="s">
        <v>2247</v>
      </c>
      <c r="E24" s="1"/>
      <c r="F24" s="1"/>
      <c r="G24" s="1" t="s">
        <v>2182</v>
      </c>
      <c r="H24" s="1" t="s">
        <v>139</v>
      </c>
      <c r="I24" s="1" t="s">
        <v>140</v>
      </c>
      <c r="J24" s="1" t="s">
        <v>141</v>
      </c>
      <c r="L24" t="s">
        <v>13</v>
      </c>
      <c r="M24" t="s">
        <v>14</v>
      </c>
      <c r="N24">
        <v>77056</v>
      </c>
      <c r="O24" t="s">
        <v>142</v>
      </c>
      <c r="P24" t="s">
        <v>143</v>
      </c>
      <c r="Q24" t="s">
        <v>144</v>
      </c>
    </row>
    <row r="25" spans="1:17" x14ac:dyDescent="0.25">
      <c r="A25" s="1" t="str">
        <f t="shared" si="0"/>
        <v>465-Air Performance Service, Inc.</v>
      </c>
      <c r="B25" s="1">
        <v>465</v>
      </c>
      <c r="C25" s="1" t="s">
        <v>2248</v>
      </c>
      <c r="D25" s="1" t="s">
        <v>2249</v>
      </c>
      <c r="E25" s="1"/>
      <c r="F25" s="1"/>
      <c r="G25" s="1" t="s">
        <v>2250</v>
      </c>
      <c r="H25" s="1" t="s">
        <v>145</v>
      </c>
      <c r="I25" s="1" t="s">
        <v>146</v>
      </c>
      <c r="J25" s="1" t="s">
        <v>147</v>
      </c>
      <c r="L25" t="s">
        <v>13</v>
      </c>
      <c r="M25" t="s">
        <v>14</v>
      </c>
      <c r="N25">
        <v>77064</v>
      </c>
      <c r="O25" t="s">
        <v>148</v>
      </c>
      <c r="Q25" t="s">
        <v>149</v>
      </c>
    </row>
    <row r="26" spans="1:17" x14ac:dyDescent="0.25">
      <c r="A26" s="1" t="str">
        <f t="shared" si="0"/>
        <v>389-Air Texas Mechanical, Inc.</v>
      </c>
      <c r="B26" s="1">
        <v>389</v>
      </c>
      <c r="C26" s="1" t="s">
        <v>2251</v>
      </c>
      <c r="D26" s="1" t="s">
        <v>2252</v>
      </c>
      <c r="E26" s="1"/>
      <c r="F26" s="1"/>
      <c r="G26" s="1" t="s">
        <v>2253</v>
      </c>
      <c r="H26" s="1" t="s">
        <v>150</v>
      </c>
      <c r="I26" s="1" t="s">
        <v>151</v>
      </c>
      <c r="J26" s="1" t="s">
        <v>152</v>
      </c>
      <c r="L26" t="s">
        <v>13</v>
      </c>
      <c r="M26" t="s">
        <v>14</v>
      </c>
      <c r="N26">
        <v>77043</v>
      </c>
      <c r="O26" t="s">
        <v>153</v>
      </c>
      <c r="P26" t="s">
        <v>154</v>
      </c>
      <c r="Q26" t="s">
        <v>155</v>
      </c>
    </row>
    <row r="27" spans="1:17" x14ac:dyDescent="0.25">
      <c r="A27" s="1" t="str">
        <f t="shared" si="0"/>
        <v>627-Air Wind &amp; Solar</v>
      </c>
      <c r="B27" s="1">
        <v>627</v>
      </c>
      <c r="C27" s="1" t="s">
        <v>2254</v>
      </c>
      <c r="D27" s="1" t="s">
        <v>2255</v>
      </c>
      <c r="E27" s="1"/>
      <c r="F27" s="1"/>
      <c r="G27" s="1" t="s">
        <v>2256</v>
      </c>
      <c r="H27" s="1" t="s">
        <v>156</v>
      </c>
      <c r="I27" s="1" t="s">
        <v>157</v>
      </c>
      <c r="J27" s="1" t="s">
        <v>158</v>
      </c>
      <c r="L27" t="s">
        <v>159</v>
      </c>
      <c r="M27" t="s">
        <v>14</v>
      </c>
      <c r="N27">
        <v>76401</v>
      </c>
      <c r="O27" t="s">
        <v>160</v>
      </c>
      <c r="Q27" t="s">
        <v>161</v>
      </c>
    </row>
    <row r="28" spans="1:17" x14ac:dyDescent="0.25">
      <c r="A28" s="1" t="str">
        <f t="shared" si="0"/>
        <v>354-Alliance Energy Solutions</v>
      </c>
      <c r="B28" s="1">
        <v>354</v>
      </c>
      <c r="C28" s="1" t="s">
        <v>2257</v>
      </c>
      <c r="D28" s="1" t="s">
        <v>2258</v>
      </c>
      <c r="E28" s="1" t="s">
        <v>2259</v>
      </c>
      <c r="F28" s="1" t="s">
        <v>2257</v>
      </c>
      <c r="G28" s="1" t="s">
        <v>2215</v>
      </c>
      <c r="H28" s="1" t="s">
        <v>162</v>
      </c>
      <c r="I28" s="1" t="s">
        <v>163</v>
      </c>
      <c r="J28" s="1" t="s">
        <v>164</v>
      </c>
      <c r="K28" t="s">
        <v>165</v>
      </c>
      <c r="L28" t="s">
        <v>92</v>
      </c>
      <c r="M28" t="s">
        <v>14</v>
      </c>
      <c r="N28">
        <v>78218</v>
      </c>
      <c r="O28" t="s">
        <v>166</v>
      </c>
      <c r="P28" t="s">
        <v>167</v>
      </c>
      <c r="Q28" t="s">
        <v>168</v>
      </c>
    </row>
    <row r="29" spans="1:17" x14ac:dyDescent="0.25">
      <c r="A29" s="1" t="str">
        <f t="shared" si="0"/>
        <v>404-Alliance Energy Solutions</v>
      </c>
      <c r="B29" s="1">
        <v>404</v>
      </c>
      <c r="C29" s="1" t="s">
        <v>2260</v>
      </c>
      <c r="D29" s="1" t="s">
        <v>2258</v>
      </c>
      <c r="E29" s="1"/>
      <c r="F29" s="1"/>
      <c r="G29" s="1" t="s">
        <v>2261</v>
      </c>
      <c r="H29" s="1" t="s">
        <v>169</v>
      </c>
      <c r="I29" s="1" t="s">
        <v>170</v>
      </c>
      <c r="J29" s="1" t="s">
        <v>171</v>
      </c>
      <c r="L29" t="s">
        <v>172</v>
      </c>
      <c r="M29" t="s">
        <v>14</v>
      </c>
      <c r="N29">
        <v>77346</v>
      </c>
      <c r="O29" t="s">
        <v>173</v>
      </c>
      <c r="Q29" t="s">
        <v>174</v>
      </c>
    </row>
    <row r="30" spans="1:17" x14ac:dyDescent="0.25">
      <c r="A30" s="1" t="str">
        <f t="shared" si="0"/>
        <v>536-Alternative Power Solutions</v>
      </c>
      <c r="B30" s="1">
        <v>536</v>
      </c>
      <c r="C30" s="1" t="s">
        <v>2262</v>
      </c>
      <c r="D30" s="1" t="s">
        <v>2263</v>
      </c>
      <c r="E30" s="1" t="s">
        <v>2264</v>
      </c>
      <c r="F30" s="1"/>
      <c r="G30" s="1" t="s">
        <v>2265</v>
      </c>
      <c r="H30" s="1" t="s">
        <v>175</v>
      </c>
      <c r="I30" s="1" t="s">
        <v>176</v>
      </c>
      <c r="J30" s="1" t="s">
        <v>177</v>
      </c>
      <c r="K30" t="s">
        <v>178</v>
      </c>
      <c r="L30" t="s">
        <v>13</v>
      </c>
      <c r="M30" t="s">
        <v>14</v>
      </c>
      <c r="N30">
        <v>77041</v>
      </c>
      <c r="O30" t="s">
        <v>179</v>
      </c>
      <c r="P30">
        <v>7135956382</v>
      </c>
      <c r="Q30" t="s">
        <v>180</v>
      </c>
    </row>
    <row r="31" spans="1:17" x14ac:dyDescent="0.25">
      <c r="A31" s="1" t="str">
        <f t="shared" si="0"/>
        <v>247-American Energy Solutions, Inc.</v>
      </c>
      <c r="B31" s="1">
        <v>247</v>
      </c>
      <c r="C31" s="1" t="s">
        <v>2266</v>
      </c>
      <c r="D31" s="1" t="s">
        <v>2267</v>
      </c>
      <c r="E31" s="1"/>
      <c r="F31" s="1"/>
      <c r="G31" s="1" t="s">
        <v>2268</v>
      </c>
      <c r="H31" s="1" t="s">
        <v>181</v>
      </c>
      <c r="I31" s="1" t="s">
        <v>182</v>
      </c>
      <c r="J31" s="1" t="s">
        <v>183</v>
      </c>
      <c r="L31" t="s">
        <v>184</v>
      </c>
      <c r="M31" t="s">
        <v>185</v>
      </c>
      <c r="N31">
        <v>66206</v>
      </c>
      <c r="O31" t="s">
        <v>186</v>
      </c>
      <c r="P31" t="s">
        <v>187</v>
      </c>
      <c r="Q31" t="s">
        <v>188</v>
      </c>
    </row>
    <row r="32" spans="1:17" x14ac:dyDescent="0.25">
      <c r="A32" s="1" t="str">
        <f t="shared" si="0"/>
        <v>299-American Light</v>
      </c>
      <c r="B32" s="1">
        <v>299</v>
      </c>
      <c r="C32" s="1" t="s">
        <v>2269</v>
      </c>
      <c r="D32" s="1" t="s">
        <v>2270</v>
      </c>
      <c r="E32" s="1"/>
      <c r="F32" s="1"/>
      <c r="G32" s="1" t="s">
        <v>2271</v>
      </c>
      <c r="H32" s="1" t="s">
        <v>189</v>
      </c>
      <c r="I32" s="1" t="s">
        <v>190</v>
      </c>
      <c r="J32" s="1" t="s">
        <v>191</v>
      </c>
      <c r="L32" t="s">
        <v>13</v>
      </c>
      <c r="M32" t="s">
        <v>14</v>
      </c>
      <c r="N32">
        <v>77040</v>
      </c>
      <c r="O32" t="s">
        <v>192</v>
      </c>
      <c r="P32" t="s">
        <v>193</v>
      </c>
      <c r="Q32" t="s">
        <v>194</v>
      </c>
    </row>
    <row r="33" spans="1:17" x14ac:dyDescent="0.25">
      <c r="A33" s="1" t="str">
        <f t="shared" si="0"/>
        <v>327-American Light</v>
      </c>
      <c r="B33" s="1">
        <v>327</v>
      </c>
      <c r="C33" s="1" t="s">
        <v>2272</v>
      </c>
      <c r="D33" s="1" t="s">
        <v>2270</v>
      </c>
      <c r="E33" s="1" t="s">
        <v>2273</v>
      </c>
      <c r="F33" s="1" t="s">
        <v>2269</v>
      </c>
      <c r="G33" s="1" t="s">
        <v>2274</v>
      </c>
      <c r="H33" s="1" t="s">
        <v>195</v>
      </c>
      <c r="I33" s="1" t="s">
        <v>196</v>
      </c>
      <c r="J33" s="1" t="s">
        <v>197</v>
      </c>
      <c r="L33" t="s">
        <v>107</v>
      </c>
      <c r="M33" t="s">
        <v>14</v>
      </c>
      <c r="N33">
        <v>78747</v>
      </c>
      <c r="O33" t="s">
        <v>198</v>
      </c>
      <c r="P33" t="s">
        <v>199</v>
      </c>
      <c r="Q33" t="s">
        <v>200</v>
      </c>
    </row>
    <row r="34" spans="1:17" x14ac:dyDescent="0.25">
      <c r="A34" s="1" t="str">
        <f t="shared" si="0"/>
        <v>272-Amtech Lighting Services</v>
      </c>
      <c r="B34" s="1">
        <v>272</v>
      </c>
      <c r="C34" s="1" t="s">
        <v>2275</v>
      </c>
      <c r="D34" s="1" t="s">
        <v>2276</v>
      </c>
      <c r="E34" s="1"/>
      <c r="F34" s="1"/>
      <c r="G34" s="1" t="s">
        <v>2277</v>
      </c>
      <c r="H34" s="1" t="s">
        <v>201</v>
      </c>
      <c r="I34" s="1" t="s">
        <v>202</v>
      </c>
      <c r="J34" s="1" t="s">
        <v>203</v>
      </c>
      <c r="L34" t="s">
        <v>13</v>
      </c>
      <c r="M34" t="s">
        <v>14</v>
      </c>
      <c r="N34">
        <v>77040</v>
      </c>
      <c r="O34" t="s">
        <v>204</v>
      </c>
      <c r="Q34" t="s">
        <v>205</v>
      </c>
    </row>
    <row r="35" spans="1:17" x14ac:dyDescent="0.25">
      <c r="A35" s="1" t="str">
        <f t="shared" si="0"/>
        <v>508-Apollo BBC</v>
      </c>
      <c r="B35" s="1">
        <v>508</v>
      </c>
      <c r="C35" s="1" t="s">
        <v>2278</v>
      </c>
      <c r="D35" s="1" t="s">
        <v>2279</v>
      </c>
      <c r="E35" s="1"/>
      <c r="F35" s="1"/>
      <c r="G35" s="1" t="s">
        <v>2280</v>
      </c>
      <c r="H35" s="1" t="s">
        <v>206</v>
      </c>
      <c r="I35" s="1" t="s">
        <v>207</v>
      </c>
      <c r="J35" s="1" t="s">
        <v>208</v>
      </c>
      <c r="L35" t="s">
        <v>209</v>
      </c>
      <c r="M35" t="s">
        <v>14</v>
      </c>
      <c r="N35">
        <v>77401</v>
      </c>
      <c r="O35" t="s">
        <v>210</v>
      </c>
      <c r="Q35" t="s">
        <v>211</v>
      </c>
    </row>
    <row r="36" spans="1:17" x14ac:dyDescent="0.25">
      <c r="A36" s="1" t="str">
        <f t="shared" si="0"/>
        <v>322-Aqualine Resources, Inc.</v>
      </c>
      <c r="B36" s="1">
        <v>322</v>
      </c>
      <c r="C36" s="1" t="s">
        <v>2281</v>
      </c>
      <c r="D36" s="1" t="s">
        <v>2282</v>
      </c>
      <c r="E36" s="1"/>
      <c r="F36" s="1"/>
      <c r="G36" s="1" t="s">
        <v>2283</v>
      </c>
      <c r="H36" s="1" t="s">
        <v>212</v>
      </c>
      <c r="I36" s="1" t="s">
        <v>213</v>
      </c>
      <c r="J36" s="1" t="s">
        <v>214</v>
      </c>
      <c r="K36" t="s">
        <v>215</v>
      </c>
      <c r="L36" t="s">
        <v>216</v>
      </c>
      <c r="M36" t="s">
        <v>217</v>
      </c>
      <c r="N36">
        <v>2453</v>
      </c>
      <c r="O36" t="s">
        <v>218</v>
      </c>
      <c r="P36" t="s">
        <v>219</v>
      </c>
      <c r="Q36" t="s">
        <v>220</v>
      </c>
    </row>
    <row r="37" spans="1:17" x14ac:dyDescent="0.25">
      <c r="A37" s="1" t="str">
        <f t="shared" si="0"/>
        <v>382-asdf</v>
      </c>
      <c r="B37" s="1">
        <v>382</v>
      </c>
      <c r="C37" s="1" t="s">
        <v>2284</v>
      </c>
      <c r="D37" s="1" t="s">
        <v>221</v>
      </c>
      <c r="E37" s="1"/>
      <c r="F37" s="1"/>
      <c r="G37" s="1" t="s">
        <v>221</v>
      </c>
      <c r="H37" s="1" t="s">
        <v>221</v>
      </c>
      <c r="I37" s="1" t="s">
        <v>222</v>
      </c>
      <c r="J37" s="1" t="s">
        <v>221</v>
      </c>
      <c r="L37" t="s">
        <v>223</v>
      </c>
      <c r="M37" t="s">
        <v>14</v>
      </c>
      <c r="N37">
        <v>23423</v>
      </c>
      <c r="O37" t="s">
        <v>224</v>
      </c>
      <c r="Q37" t="s">
        <v>225</v>
      </c>
    </row>
    <row r="38" spans="1:17" x14ac:dyDescent="0.25">
      <c r="A38" s="1" t="str">
        <f t="shared" si="0"/>
        <v>415-Assa Abloy Hospitality</v>
      </c>
      <c r="B38" s="1">
        <v>415</v>
      </c>
      <c r="C38" s="1" t="s">
        <v>2285</v>
      </c>
      <c r="D38" s="1" t="s">
        <v>2286</v>
      </c>
      <c r="E38" s="1"/>
      <c r="F38" s="1"/>
      <c r="G38" s="1" t="s">
        <v>2287</v>
      </c>
      <c r="H38" s="1" t="s">
        <v>226</v>
      </c>
      <c r="I38" s="1" t="s">
        <v>227</v>
      </c>
      <c r="J38" s="1" t="s">
        <v>228</v>
      </c>
      <c r="K38" t="s">
        <v>178</v>
      </c>
      <c r="L38" t="s">
        <v>229</v>
      </c>
      <c r="M38" t="s">
        <v>14</v>
      </c>
      <c r="N38">
        <v>75081</v>
      </c>
      <c r="O38" t="s">
        <v>230</v>
      </c>
      <c r="Q38" t="s">
        <v>231</v>
      </c>
    </row>
    <row r="39" spans="1:17" x14ac:dyDescent="0.25">
      <c r="A39" s="1" t="str">
        <f t="shared" si="0"/>
        <v>589-Aureole Lighting</v>
      </c>
      <c r="B39" s="1">
        <v>589</v>
      </c>
      <c r="C39" s="1" t="s">
        <v>2288</v>
      </c>
      <c r="D39" s="1" t="s">
        <v>2289</v>
      </c>
      <c r="E39" s="1"/>
      <c r="F39" s="1" t="s">
        <v>2290</v>
      </c>
      <c r="G39" s="1" t="s">
        <v>2291</v>
      </c>
      <c r="H39" s="1" t="s">
        <v>232</v>
      </c>
      <c r="I39" s="1" t="s">
        <v>233</v>
      </c>
      <c r="J39" s="1" t="s">
        <v>234</v>
      </c>
      <c r="L39" t="s">
        <v>235</v>
      </c>
      <c r="M39" t="s">
        <v>236</v>
      </c>
      <c r="N39">
        <v>60148</v>
      </c>
      <c r="O39" t="s">
        <v>237</v>
      </c>
      <c r="Q39" t="s">
        <v>238</v>
      </c>
    </row>
    <row r="40" spans="1:17" x14ac:dyDescent="0.25">
      <c r="A40" s="1" t="str">
        <f t="shared" si="0"/>
        <v>276-AutoLite</v>
      </c>
      <c r="B40" s="1">
        <v>276</v>
      </c>
      <c r="C40" s="1" t="s">
        <v>2292</v>
      </c>
      <c r="D40" s="1" t="s">
        <v>2293</v>
      </c>
      <c r="E40" s="1"/>
      <c r="F40" s="1"/>
      <c r="G40" s="1" t="s">
        <v>2294</v>
      </c>
      <c r="H40" s="1" t="s">
        <v>239</v>
      </c>
      <c r="I40" s="1" t="s">
        <v>49</v>
      </c>
      <c r="J40" s="1" t="s">
        <v>240</v>
      </c>
      <c r="L40" t="s">
        <v>62</v>
      </c>
      <c r="M40" t="s">
        <v>14</v>
      </c>
      <c r="N40" t="s">
        <v>241</v>
      </c>
      <c r="O40" t="s">
        <v>242</v>
      </c>
      <c r="P40" t="s">
        <v>243</v>
      </c>
      <c r="Q40" t="s">
        <v>244</v>
      </c>
    </row>
    <row r="41" spans="1:17" x14ac:dyDescent="0.25">
      <c r="A41" s="1" t="str">
        <f t="shared" si="0"/>
        <v>305-Automated Logic / United Environmental Services</v>
      </c>
      <c r="B41" s="1">
        <v>305</v>
      </c>
      <c r="C41" s="1" t="s">
        <v>2295</v>
      </c>
      <c r="D41" s="1" t="s">
        <v>2296</v>
      </c>
      <c r="E41" s="1"/>
      <c r="F41" s="1"/>
      <c r="G41" s="1" t="s">
        <v>2297</v>
      </c>
      <c r="H41" s="1" t="s">
        <v>245</v>
      </c>
      <c r="I41" s="1" t="s">
        <v>246</v>
      </c>
      <c r="J41" s="1" t="s">
        <v>247</v>
      </c>
      <c r="L41" t="s">
        <v>248</v>
      </c>
      <c r="M41" t="s">
        <v>14</v>
      </c>
      <c r="N41">
        <v>77507</v>
      </c>
      <c r="O41" t="s">
        <v>249</v>
      </c>
      <c r="P41" t="s">
        <v>250</v>
      </c>
      <c r="Q41" t="s">
        <v>251</v>
      </c>
    </row>
    <row r="42" spans="1:17" x14ac:dyDescent="0.25">
      <c r="A42" s="1" t="str">
        <f t="shared" si="0"/>
        <v>457-AutoNation</v>
      </c>
      <c r="B42" s="1">
        <v>457</v>
      </c>
      <c r="C42" s="1" t="s">
        <v>2298</v>
      </c>
      <c r="D42" s="1" t="s">
        <v>2299</v>
      </c>
      <c r="E42" s="1"/>
      <c r="F42" s="1"/>
      <c r="G42" s="1" t="s">
        <v>2300</v>
      </c>
      <c r="H42" s="1" t="s">
        <v>252</v>
      </c>
      <c r="I42" s="1" t="s">
        <v>170</v>
      </c>
      <c r="J42" s="1" t="s">
        <v>253</v>
      </c>
      <c r="L42" t="s">
        <v>254</v>
      </c>
      <c r="M42" t="s">
        <v>255</v>
      </c>
      <c r="N42">
        <v>48114</v>
      </c>
      <c r="O42" t="s">
        <v>256</v>
      </c>
      <c r="P42" t="s">
        <v>257</v>
      </c>
      <c r="Q42" t="s">
        <v>258</v>
      </c>
    </row>
    <row r="43" spans="1:17" x14ac:dyDescent="0.25">
      <c r="A43" s="1" t="str">
        <f t="shared" si="0"/>
        <v>447-B S P Marketing, LP</v>
      </c>
      <c r="B43" s="1">
        <v>447</v>
      </c>
      <c r="C43" s="1" t="s">
        <v>2301</v>
      </c>
      <c r="D43" s="1" t="s">
        <v>2302</v>
      </c>
      <c r="E43" s="1"/>
      <c r="F43" s="1"/>
      <c r="G43" s="1" t="s">
        <v>2303</v>
      </c>
      <c r="H43" s="1" t="s">
        <v>259</v>
      </c>
      <c r="I43" s="1" t="s">
        <v>260</v>
      </c>
      <c r="J43" s="1" t="s">
        <v>261</v>
      </c>
      <c r="L43" t="s">
        <v>262</v>
      </c>
      <c r="M43" t="s">
        <v>14</v>
      </c>
      <c r="N43">
        <v>77477</v>
      </c>
      <c r="O43" t="s">
        <v>263</v>
      </c>
      <c r="P43" t="s">
        <v>264</v>
      </c>
      <c r="Q43" t="s">
        <v>265</v>
      </c>
    </row>
    <row r="44" spans="1:17" x14ac:dyDescent="0.25">
      <c r="A44" s="1" t="str">
        <f t="shared" si="0"/>
        <v>561-B&amp;MS Construction, INC</v>
      </c>
      <c r="B44" s="1">
        <v>561</v>
      </c>
      <c r="C44" s="1" t="s">
        <v>2304</v>
      </c>
      <c r="D44" s="1" t="s">
        <v>2305</v>
      </c>
      <c r="E44" s="1"/>
      <c r="F44" s="1"/>
      <c r="G44" s="1" t="s">
        <v>2306</v>
      </c>
      <c r="H44" s="1" t="s">
        <v>266</v>
      </c>
      <c r="I44" s="1" t="s">
        <v>267</v>
      </c>
      <c r="J44" s="1" t="s">
        <v>268</v>
      </c>
      <c r="L44" t="s">
        <v>269</v>
      </c>
      <c r="M44" t="s">
        <v>14</v>
      </c>
      <c r="N44">
        <v>77539</v>
      </c>
      <c r="O44" t="s">
        <v>270</v>
      </c>
      <c r="P44" t="s">
        <v>271</v>
      </c>
      <c r="Q44" t="s">
        <v>272</v>
      </c>
    </row>
    <row r="45" spans="1:17" x14ac:dyDescent="0.25">
      <c r="A45" s="1" t="str">
        <f t="shared" si="0"/>
        <v>572-B3 Energy Consulting</v>
      </c>
      <c r="B45" s="1">
        <v>572</v>
      </c>
      <c r="C45" s="1" t="s">
        <v>2307</v>
      </c>
      <c r="D45" s="1" t="s">
        <v>2308</v>
      </c>
      <c r="E45" s="1"/>
      <c r="F45" s="1"/>
      <c r="G45" s="1" t="s">
        <v>2309</v>
      </c>
      <c r="H45" s="1" t="s">
        <v>273</v>
      </c>
      <c r="I45" s="1" t="s">
        <v>49</v>
      </c>
      <c r="J45" s="1" t="s">
        <v>274</v>
      </c>
      <c r="L45" t="s">
        <v>275</v>
      </c>
      <c r="M45" t="s">
        <v>14</v>
      </c>
      <c r="N45">
        <v>77532</v>
      </c>
      <c r="O45" t="s">
        <v>276</v>
      </c>
      <c r="Q45" t="s">
        <v>277</v>
      </c>
    </row>
    <row r="46" spans="1:17" x14ac:dyDescent="0.25">
      <c r="A46" s="1" t="str">
        <f t="shared" si="0"/>
        <v>435-Baker Hughes</v>
      </c>
      <c r="B46" s="1">
        <v>435</v>
      </c>
      <c r="C46" s="1" t="s">
        <v>2310</v>
      </c>
      <c r="D46" s="1" t="s">
        <v>2311</v>
      </c>
      <c r="E46" s="1" t="s">
        <v>2312</v>
      </c>
      <c r="F46" s="1" t="s">
        <v>2313</v>
      </c>
      <c r="G46" s="1" t="s">
        <v>2314</v>
      </c>
      <c r="H46" s="1" t="s">
        <v>278</v>
      </c>
      <c r="I46" s="1" t="s">
        <v>279</v>
      </c>
      <c r="J46" s="1" t="s">
        <v>280</v>
      </c>
      <c r="L46" t="s">
        <v>13</v>
      </c>
      <c r="M46" t="s">
        <v>14</v>
      </c>
      <c r="N46">
        <v>77040</v>
      </c>
      <c r="O46" t="s">
        <v>281</v>
      </c>
      <c r="P46" t="s">
        <v>282</v>
      </c>
      <c r="Q46" t="s">
        <v>283</v>
      </c>
    </row>
    <row r="47" spans="1:17" x14ac:dyDescent="0.25">
      <c r="A47" s="1" t="str">
        <f t="shared" si="0"/>
        <v>613-Baker Hughes, Inc</v>
      </c>
      <c r="B47" s="1">
        <v>613</v>
      </c>
      <c r="C47" s="1" t="s">
        <v>2313</v>
      </c>
      <c r="D47" s="1" t="s">
        <v>2315</v>
      </c>
      <c r="E47" s="1"/>
      <c r="F47" s="1"/>
      <c r="G47" s="1" t="s">
        <v>2316</v>
      </c>
      <c r="H47" s="1" t="s">
        <v>284</v>
      </c>
      <c r="I47" s="1" t="s">
        <v>285</v>
      </c>
      <c r="J47" s="1" t="s">
        <v>286</v>
      </c>
      <c r="L47" t="s">
        <v>13</v>
      </c>
      <c r="M47" t="s">
        <v>14</v>
      </c>
      <c r="N47">
        <v>77073</v>
      </c>
      <c r="O47" t="s">
        <v>287</v>
      </c>
      <c r="Q47" t="s">
        <v>288</v>
      </c>
    </row>
    <row r="48" spans="1:17" x14ac:dyDescent="0.25">
      <c r="A48" s="1" t="str">
        <f t="shared" si="0"/>
        <v>559-Bambu Energy</v>
      </c>
      <c r="B48" s="1">
        <v>559</v>
      </c>
      <c r="C48" s="1" t="s">
        <v>2317</v>
      </c>
      <c r="D48" s="1" t="s">
        <v>2318</v>
      </c>
      <c r="E48" s="1"/>
      <c r="F48" s="1"/>
      <c r="G48" s="1" t="s">
        <v>2319</v>
      </c>
      <c r="H48" s="1" t="s">
        <v>289</v>
      </c>
      <c r="I48" s="1" t="s">
        <v>290</v>
      </c>
      <c r="J48" s="1" t="s">
        <v>291</v>
      </c>
      <c r="K48" t="s">
        <v>292</v>
      </c>
      <c r="L48" t="s">
        <v>293</v>
      </c>
      <c r="M48" t="s">
        <v>14</v>
      </c>
      <c r="N48">
        <v>75226</v>
      </c>
      <c r="O48" t="s">
        <v>294</v>
      </c>
      <c r="Q48" t="s">
        <v>295</v>
      </c>
    </row>
    <row r="49" spans="1:17" x14ac:dyDescent="0.25">
      <c r="A49" s="1" t="str">
        <f t="shared" si="0"/>
        <v>348-Barnes and Noble</v>
      </c>
      <c r="B49" s="1">
        <v>348</v>
      </c>
      <c r="C49" s="1" t="s">
        <v>2320</v>
      </c>
      <c r="D49" s="1" t="s">
        <v>2321</v>
      </c>
      <c r="E49" s="1"/>
      <c r="F49" s="1"/>
      <c r="G49" s="1" t="s">
        <v>2215</v>
      </c>
      <c r="H49" s="1" t="s">
        <v>296</v>
      </c>
      <c r="I49" s="1" t="s">
        <v>297</v>
      </c>
      <c r="J49" s="1" t="s">
        <v>298</v>
      </c>
      <c r="L49" t="s">
        <v>299</v>
      </c>
      <c r="M49" t="s">
        <v>300</v>
      </c>
      <c r="N49">
        <v>10011</v>
      </c>
      <c r="O49" t="s">
        <v>301</v>
      </c>
      <c r="P49" t="s">
        <v>302</v>
      </c>
      <c r="Q49" t="s">
        <v>303</v>
      </c>
    </row>
    <row r="50" spans="1:17" x14ac:dyDescent="0.25">
      <c r="A50" s="1" t="str">
        <f t="shared" si="0"/>
        <v>467-Bee Electrical L.P.</v>
      </c>
      <c r="B50" s="1">
        <v>467</v>
      </c>
      <c r="C50" s="1" t="s">
        <v>2322</v>
      </c>
      <c r="D50" s="1" t="s">
        <v>2323</v>
      </c>
      <c r="E50" s="1"/>
      <c r="F50" s="1"/>
      <c r="G50" s="1" t="s">
        <v>2324</v>
      </c>
      <c r="H50" s="1" t="s">
        <v>304</v>
      </c>
      <c r="I50" s="1" t="s">
        <v>42</v>
      </c>
      <c r="J50" s="1" t="s">
        <v>305</v>
      </c>
      <c r="L50" t="s">
        <v>13</v>
      </c>
      <c r="M50" t="s">
        <v>14</v>
      </c>
      <c r="N50">
        <v>77075</v>
      </c>
      <c r="O50" t="s">
        <v>306</v>
      </c>
      <c r="P50" t="s">
        <v>307</v>
      </c>
      <c r="Q50" t="s">
        <v>308</v>
      </c>
    </row>
    <row r="51" spans="1:17" x14ac:dyDescent="0.25">
      <c r="A51" s="1" t="str">
        <f t="shared" si="0"/>
        <v>565-Ben E Keith Foods</v>
      </c>
      <c r="B51" s="1">
        <v>565</v>
      </c>
      <c r="C51" s="1" t="s">
        <v>2325</v>
      </c>
      <c r="D51" s="1" t="s">
        <v>2326</v>
      </c>
      <c r="E51" s="1" t="s">
        <v>2327</v>
      </c>
      <c r="F51" s="1" t="s">
        <v>2325</v>
      </c>
      <c r="G51" s="1" t="s">
        <v>2291</v>
      </c>
      <c r="H51" s="1" t="s">
        <v>309</v>
      </c>
      <c r="I51" s="1" t="s">
        <v>310</v>
      </c>
      <c r="J51" s="1" t="s">
        <v>311</v>
      </c>
      <c r="L51" t="s">
        <v>312</v>
      </c>
      <c r="M51" t="s">
        <v>14</v>
      </c>
      <c r="N51">
        <v>76140</v>
      </c>
      <c r="O51" t="s">
        <v>313</v>
      </c>
      <c r="P51" t="s">
        <v>314</v>
      </c>
      <c r="Q51" t="s">
        <v>315</v>
      </c>
    </row>
    <row r="52" spans="1:17" x14ac:dyDescent="0.25">
      <c r="A52" s="1" t="str">
        <f t="shared" si="0"/>
        <v>466-Bertling Logistics</v>
      </c>
      <c r="B52" s="1">
        <v>466</v>
      </c>
      <c r="C52" s="1" t="s">
        <v>2328</v>
      </c>
      <c r="D52" s="1" t="s">
        <v>2329</v>
      </c>
      <c r="E52" s="1"/>
      <c r="F52" s="1"/>
      <c r="G52" s="1" t="s">
        <v>2330</v>
      </c>
      <c r="H52" s="1" t="s">
        <v>316</v>
      </c>
      <c r="I52" s="1" t="s">
        <v>42</v>
      </c>
      <c r="J52" s="1" t="s">
        <v>317</v>
      </c>
      <c r="L52" t="s">
        <v>13</v>
      </c>
      <c r="M52" t="s">
        <v>14</v>
      </c>
      <c r="N52">
        <v>77057</v>
      </c>
      <c r="O52" t="s">
        <v>318</v>
      </c>
      <c r="Q52" t="s">
        <v>319</v>
      </c>
    </row>
    <row r="53" spans="1:17" x14ac:dyDescent="0.25">
      <c r="A53" s="1" t="str">
        <f t="shared" si="0"/>
        <v>498-Best buy</v>
      </c>
      <c r="B53" s="1">
        <v>498</v>
      </c>
      <c r="C53" s="1" t="s">
        <v>2331</v>
      </c>
      <c r="D53" s="1" t="s">
        <v>2332</v>
      </c>
      <c r="E53" s="1"/>
      <c r="F53" s="1"/>
      <c r="G53" s="1" t="s">
        <v>2333</v>
      </c>
      <c r="H53" s="1" t="s">
        <v>320</v>
      </c>
      <c r="I53" s="1" t="s">
        <v>321</v>
      </c>
      <c r="J53" s="1" t="s">
        <v>322</v>
      </c>
      <c r="L53" t="s">
        <v>254</v>
      </c>
      <c r="M53" t="s">
        <v>255</v>
      </c>
      <c r="N53">
        <v>48114</v>
      </c>
      <c r="O53" t="s">
        <v>256</v>
      </c>
      <c r="Q53" t="s">
        <v>323</v>
      </c>
    </row>
    <row r="54" spans="1:17" x14ac:dyDescent="0.25">
      <c r="A54" s="1" t="str">
        <f t="shared" si="0"/>
        <v>434-BINZ 1001 TEXAS AVE, LLC</v>
      </c>
      <c r="B54" s="1">
        <v>434</v>
      </c>
      <c r="C54" s="1" t="s">
        <v>2334</v>
      </c>
      <c r="D54" s="1" t="s">
        <v>2335</v>
      </c>
      <c r="E54" s="1"/>
      <c r="F54" s="1"/>
      <c r="G54" s="1" t="s">
        <v>2336</v>
      </c>
      <c r="H54" s="1" t="s">
        <v>324</v>
      </c>
      <c r="I54" s="1" t="s">
        <v>325</v>
      </c>
      <c r="J54" s="1" t="s">
        <v>326</v>
      </c>
      <c r="K54" t="s">
        <v>327</v>
      </c>
      <c r="L54" t="s">
        <v>328</v>
      </c>
      <c r="M54" t="s">
        <v>100</v>
      </c>
      <c r="N54">
        <v>90014</v>
      </c>
      <c r="O54" t="s">
        <v>329</v>
      </c>
      <c r="P54" t="s">
        <v>330</v>
      </c>
      <c r="Q54" t="s">
        <v>331</v>
      </c>
    </row>
    <row r="55" spans="1:17" x14ac:dyDescent="0.25">
      <c r="A55" s="1" t="str">
        <f t="shared" si="0"/>
        <v>643-BKJ Holdings, LLC</v>
      </c>
      <c r="B55">
        <v>643</v>
      </c>
      <c r="D55" t="s">
        <v>8066</v>
      </c>
      <c r="G55" t="s">
        <v>8067</v>
      </c>
      <c r="H55" t="s">
        <v>2028</v>
      </c>
      <c r="J55" t="s">
        <v>8068</v>
      </c>
      <c r="L55" t="s">
        <v>8069</v>
      </c>
      <c r="M55" t="s">
        <v>115</v>
      </c>
      <c r="N55" s="22" t="s">
        <v>8070</v>
      </c>
      <c r="O55" t="s">
        <v>8071</v>
      </c>
      <c r="Q55" t="s">
        <v>8072</v>
      </c>
    </row>
    <row r="56" spans="1:17" x14ac:dyDescent="0.25">
      <c r="A56" s="1" t="str">
        <f t="shared" si="0"/>
        <v>558-Blanco Electric LTD Co</v>
      </c>
      <c r="B56" s="1">
        <v>558</v>
      </c>
      <c r="C56" s="1" t="s">
        <v>2337</v>
      </c>
      <c r="D56" s="1" t="s">
        <v>2338</v>
      </c>
      <c r="E56" s="1"/>
      <c r="F56" s="1"/>
      <c r="G56" s="1" t="s">
        <v>2339</v>
      </c>
      <c r="H56" s="1" t="s">
        <v>332</v>
      </c>
      <c r="I56" s="1" t="s">
        <v>333</v>
      </c>
      <c r="J56" s="1" t="s">
        <v>334</v>
      </c>
      <c r="L56" t="s">
        <v>13</v>
      </c>
      <c r="M56" t="s">
        <v>14</v>
      </c>
      <c r="N56">
        <v>77018</v>
      </c>
      <c r="O56" t="s">
        <v>335</v>
      </c>
      <c r="P56" t="s">
        <v>336</v>
      </c>
      <c r="Q56" t="s">
        <v>337</v>
      </c>
    </row>
    <row r="57" spans="1:17" x14ac:dyDescent="0.25">
      <c r="A57" s="1" t="str">
        <f t="shared" si="0"/>
        <v>628-BLDW LED Lighting &amp; Installation</v>
      </c>
      <c r="B57" s="1">
        <v>628</v>
      </c>
      <c r="C57" s="1" t="s">
        <v>2340</v>
      </c>
      <c r="D57" s="1" t="s">
        <v>2341</v>
      </c>
      <c r="E57" s="1"/>
      <c r="F57" s="1"/>
      <c r="G57" s="1" t="s">
        <v>2342</v>
      </c>
      <c r="H57" s="1" t="s">
        <v>338</v>
      </c>
      <c r="I57" s="1" t="s">
        <v>339</v>
      </c>
      <c r="J57" s="1" t="s">
        <v>340</v>
      </c>
      <c r="L57" t="s">
        <v>13</v>
      </c>
      <c r="M57" t="s">
        <v>14</v>
      </c>
      <c r="N57">
        <v>77055</v>
      </c>
      <c r="O57" t="s">
        <v>341</v>
      </c>
      <c r="Q57" t="s">
        <v>342</v>
      </c>
    </row>
    <row r="58" spans="1:17" x14ac:dyDescent="0.25">
      <c r="A58" s="1" t="str">
        <f t="shared" si="0"/>
        <v>502-BlueStar Energy</v>
      </c>
      <c r="B58" s="1">
        <v>502</v>
      </c>
      <c r="C58" s="1" t="s">
        <v>2343</v>
      </c>
      <c r="D58" s="1" t="s">
        <v>2344</v>
      </c>
      <c r="E58" s="1"/>
      <c r="F58" s="1"/>
      <c r="G58" s="1" t="s">
        <v>2345</v>
      </c>
      <c r="H58" s="1" t="s">
        <v>343</v>
      </c>
      <c r="I58" s="1" t="s">
        <v>42</v>
      </c>
      <c r="J58" s="1" t="s">
        <v>344</v>
      </c>
      <c r="K58" t="s">
        <v>345</v>
      </c>
      <c r="L58" t="s">
        <v>346</v>
      </c>
      <c r="M58" t="s">
        <v>236</v>
      </c>
      <c r="N58">
        <v>60654</v>
      </c>
      <c r="O58" t="s">
        <v>347</v>
      </c>
      <c r="Q58" t="s">
        <v>348</v>
      </c>
    </row>
    <row r="59" spans="1:17" x14ac:dyDescent="0.25">
      <c r="A59" s="1" t="str">
        <f t="shared" si="0"/>
        <v>315-Bluestone Construction, LLC</v>
      </c>
      <c r="B59" s="1">
        <v>315</v>
      </c>
      <c r="C59" s="1" t="s">
        <v>2346</v>
      </c>
      <c r="D59" s="1" t="s">
        <v>2347</v>
      </c>
      <c r="E59" s="1"/>
      <c r="F59" s="1"/>
      <c r="G59" s="1" t="s">
        <v>2348</v>
      </c>
      <c r="H59" s="1" t="s">
        <v>349</v>
      </c>
      <c r="I59" s="1" t="s">
        <v>290</v>
      </c>
      <c r="J59" s="1" t="s">
        <v>350</v>
      </c>
      <c r="K59" t="s">
        <v>351</v>
      </c>
      <c r="L59" t="s">
        <v>352</v>
      </c>
      <c r="M59" t="s">
        <v>353</v>
      </c>
      <c r="N59">
        <v>40241</v>
      </c>
      <c r="O59" t="s">
        <v>354</v>
      </c>
      <c r="P59" t="s">
        <v>355</v>
      </c>
      <c r="Q59" t="s">
        <v>356</v>
      </c>
    </row>
    <row r="60" spans="1:17" x14ac:dyDescent="0.25">
      <c r="A60" s="1" t="str">
        <f t="shared" si="0"/>
        <v>438-BMS Management Inc.</v>
      </c>
      <c r="B60" s="1">
        <v>438</v>
      </c>
      <c r="C60" s="1" t="s">
        <v>2349</v>
      </c>
      <c r="D60" s="1" t="s">
        <v>2350</v>
      </c>
      <c r="E60" s="1"/>
      <c r="F60" s="1"/>
      <c r="G60" s="1" t="s">
        <v>2351</v>
      </c>
      <c r="H60" s="1" t="s">
        <v>357</v>
      </c>
      <c r="I60" s="1" t="s">
        <v>119</v>
      </c>
      <c r="J60" s="1" t="s">
        <v>358</v>
      </c>
      <c r="L60" t="s">
        <v>13</v>
      </c>
      <c r="M60" t="s">
        <v>14</v>
      </c>
      <c r="N60">
        <v>77027</v>
      </c>
      <c r="O60" t="s">
        <v>359</v>
      </c>
      <c r="P60" t="s">
        <v>360</v>
      </c>
      <c r="Q60" t="s">
        <v>361</v>
      </c>
    </row>
    <row r="61" spans="1:17" x14ac:dyDescent="0.25">
      <c r="A61" s="1" t="str">
        <f t="shared" si="0"/>
        <v>583-Bocci Engineering</v>
      </c>
      <c r="B61" s="1">
        <v>583</v>
      </c>
      <c r="C61" s="1" t="s">
        <v>2352</v>
      </c>
      <c r="D61" s="1" t="s">
        <v>2353</v>
      </c>
      <c r="E61" s="1"/>
      <c r="F61" s="1"/>
      <c r="G61" s="1" t="s">
        <v>2354</v>
      </c>
      <c r="H61" s="1" t="s">
        <v>362</v>
      </c>
      <c r="I61" s="1" t="s">
        <v>363</v>
      </c>
      <c r="J61" s="1" t="s">
        <v>364</v>
      </c>
      <c r="L61" t="s">
        <v>365</v>
      </c>
      <c r="M61" t="s">
        <v>14</v>
      </c>
      <c r="N61">
        <v>77429</v>
      </c>
      <c r="O61" t="s">
        <v>366</v>
      </c>
      <c r="P61" t="s">
        <v>367</v>
      </c>
      <c r="Q61" t="s">
        <v>368</v>
      </c>
    </row>
    <row r="62" spans="1:17" x14ac:dyDescent="0.25">
      <c r="A62" s="1" t="str">
        <f t="shared" si="0"/>
        <v>425-Boyd Electric Co.</v>
      </c>
      <c r="B62" s="1">
        <v>425</v>
      </c>
      <c r="C62" s="1" t="s">
        <v>2355</v>
      </c>
      <c r="D62" s="1" t="s">
        <v>2356</v>
      </c>
      <c r="E62" s="1"/>
      <c r="F62" s="1"/>
      <c r="G62" s="1" t="s">
        <v>2357</v>
      </c>
      <c r="H62" s="1" t="s">
        <v>369</v>
      </c>
      <c r="I62" s="1" t="s">
        <v>49</v>
      </c>
      <c r="J62" s="1" t="s">
        <v>370</v>
      </c>
      <c r="L62" t="s">
        <v>371</v>
      </c>
      <c r="M62" t="s">
        <v>14</v>
      </c>
      <c r="N62">
        <v>77447</v>
      </c>
      <c r="O62" t="s">
        <v>372</v>
      </c>
      <c r="P62" t="s">
        <v>373</v>
      </c>
      <c r="Q62" t="s">
        <v>374</v>
      </c>
    </row>
    <row r="63" spans="1:17" x14ac:dyDescent="0.25">
      <c r="A63" s="1" t="str">
        <f t="shared" si="0"/>
        <v>446-Boyd Electric, Inc.</v>
      </c>
      <c r="B63" s="1">
        <v>446</v>
      </c>
      <c r="C63" s="1" t="s">
        <v>2358</v>
      </c>
      <c r="D63" s="1" t="s">
        <v>2359</v>
      </c>
      <c r="E63" s="1"/>
      <c r="F63" s="1" t="s">
        <v>2360</v>
      </c>
      <c r="G63" s="1" t="s">
        <v>181</v>
      </c>
      <c r="H63" s="1" t="s">
        <v>375</v>
      </c>
      <c r="I63" s="1" t="s">
        <v>376</v>
      </c>
      <c r="J63" s="1" t="s">
        <v>377</v>
      </c>
      <c r="L63" t="s">
        <v>378</v>
      </c>
      <c r="M63" t="s">
        <v>236</v>
      </c>
      <c r="N63">
        <v>60415</v>
      </c>
      <c r="O63" t="s">
        <v>379</v>
      </c>
      <c r="P63" t="s">
        <v>380</v>
      </c>
      <c r="Q63" t="s">
        <v>381</v>
      </c>
    </row>
    <row r="64" spans="1:17" x14ac:dyDescent="0.25">
      <c r="A64" s="1" t="str">
        <f t="shared" si="0"/>
        <v>223-BP</v>
      </c>
      <c r="B64" s="1">
        <v>223</v>
      </c>
      <c r="C64" s="1" t="s">
        <v>2361</v>
      </c>
      <c r="D64" s="1" t="s">
        <v>2362</v>
      </c>
      <c r="E64" s="1"/>
      <c r="F64" s="1"/>
      <c r="G64" s="1" t="s">
        <v>2363</v>
      </c>
      <c r="H64" s="1" t="s">
        <v>382</v>
      </c>
      <c r="I64" s="1" t="s">
        <v>383</v>
      </c>
      <c r="J64" s="1" t="s">
        <v>384</v>
      </c>
      <c r="L64" t="s">
        <v>385</v>
      </c>
      <c r="M64" t="s">
        <v>236</v>
      </c>
      <c r="N64">
        <v>60564</v>
      </c>
      <c r="O64" t="s">
        <v>386</v>
      </c>
      <c r="Q64" t="s">
        <v>387</v>
      </c>
    </row>
    <row r="65" spans="1:17" x14ac:dyDescent="0.25">
      <c r="A65" s="1" t="str">
        <f t="shared" si="0"/>
        <v>537-Brewer Capital Group</v>
      </c>
      <c r="B65" s="1">
        <v>537</v>
      </c>
      <c r="C65" s="1" t="s">
        <v>2364</v>
      </c>
      <c r="D65" s="1" t="s">
        <v>2365</v>
      </c>
      <c r="E65" s="1"/>
      <c r="F65" s="1"/>
      <c r="G65" s="1" t="s">
        <v>2366</v>
      </c>
      <c r="H65" s="1" t="s">
        <v>388</v>
      </c>
      <c r="I65" s="1" t="s">
        <v>290</v>
      </c>
      <c r="J65" s="1" t="s">
        <v>389</v>
      </c>
      <c r="K65" t="s">
        <v>390</v>
      </c>
      <c r="L65" t="s">
        <v>13</v>
      </c>
      <c r="M65" t="s">
        <v>14</v>
      </c>
      <c r="N65">
        <v>77057</v>
      </c>
      <c r="O65">
        <v>7134433662</v>
      </c>
      <c r="Q65" t="s">
        <v>391</v>
      </c>
    </row>
    <row r="66" spans="1:17" x14ac:dyDescent="0.25">
      <c r="A66" s="1" t="str">
        <f t="shared" ref="A66:A129" si="1">IF(B66="","",B66&amp;"-"&amp;D66)</f>
        <v>605-Brincorp</v>
      </c>
      <c r="B66" s="1">
        <v>605</v>
      </c>
      <c r="C66" s="1" t="s">
        <v>2367</v>
      </c>
      <c r="D66" s="1" t="s">
        <v>2368</v>
      </c>
      <c r="E66" s="1"/>
      <c r="F66" s="1"/>
      <c r="G66" s="1" t="s">
        <v>2369</v>
      </c>
      <c r="H66" s="1" t="s">
        <v>392</v>
      </c>
      <c r="I66" s="1" t="s">
        <v>393</v>
      </c>
      <c r="J66" s="1" t="s">
        <v>394</v>
      </c>
      <c r="L66" t="s">
        <v>13</v>
      </c>
      <c r="M66" t="s">
        <v>14</v>
      </c>
      <c r="N66">
        <v>77077</v>
      </c>
      <c r="O66">
        <v>7135985432</v>
      </c>
      <c r="Q66" t="s">
        <v>395</v>
      </c>
    </row>
    <row r="67" spans="1:17" x14ac:dyDescent="0.25">
      <c r="A67" s="1" t="str">
        <f t="shared" si="1"/>
        <v>511-Brothers Lighting &amp; Electrical Specialist, Inc.</v>
      </c>
      <c r="B67" s="1">
        <v>511</v>
      </c>
      <c r="C67" s="1" t="s">
        <v>2370</v>
      </c>
      <c r="D67" s="1" t="s">
        <v>2371</v>
      </c>
      <c r="E67" s="1"/>
      <c r="F67" s="1"/>
      <c r="G67" s="1" t="s">
        <v>2372</v>
      </c>
      <c r="H67" s="1" t="s">
        <v>396</v>
      </c>
      <c r="I67" s="1" t="s">
        <v>119</v>
      </c>
      <c r="J67" s="1" t="s">
        <v>397</v>
      </c>
      <c r="L67" t="s">
        <v>398</v>
      </c>
      <c r="M67" t="s">
        <v>14</v>
      </c>
      <c r="N67">
        <v>77389</v>
      </c>
      <c r="O67" t="s">
        <v>399</v>
      </c>
      <c r="P67" t="s">
        <v>400</v>
      </c>
      <c r="Q67" t="s">
        <v>401</v>
      </c>
    </row>
    <row r="68" spans="1:17" x14ac:dyDescent="0.25">
      <c r="A68" s="1" t="str">
        <f t="shared" si="1"/>
        <v>552-Bryan Miller Gallery</v>
      </c>
      <c r="B68" s="1">
        <v>552</v>
      </c>
      <c r="C68" s="1" t="s">
        <v>2373</v>
      </c>
      <c r="D68" s="1" t="s">
        <v>2374</v>
      </c>
      <c r="E68" s="1"/>
      <c r="F68" s="1"/>
      <c r="G68" s="1" t="s">
        <v>2330</v>
      </c>
      <c r="H68" s="1" t="s">
        <v>402</v>
      </c>
      <c r="I68" s="1" t="s">
        <v>403</v>
      </c>
      <c r="J68" s="1" t="s">
        <v>404</v>
      </c>
      <c r="L68" t="s">
        <v>13</v>
      </c>
      <c r="M68" t="s">
        <v>14</v>
      </c>
      <c r="N68">
        <v>77002</v>
      </c>
      <c r="O68" t="s">
        <v>405</v>
      </c>
      <c r="Q68" t="s">
        <v>406</v>
      </c>
    </row>
    <row r="69" spans="1:17" x14ac:dyDescent="0.25">
      <c r="A69" s="1" t="str">
        <f t="shared" si="1"/>
        <v>453-Budget Lighting Inc.</v>
      </c>
      <c r="B69" s="1">
        <v>453</v>
      </c>
      <c r="C69" s="1" t="s">
        <v>2375</v>
      </c>
      <c r="D69" s="1" t="s">
        <v>2376</v>
      </c>
      <c r="E69" s="1"/>
      <c r="F69" s="1"/>
      <c r="G69" s="1" t="s">
        <v>2377</v>
      </c>
      <c r="H69" s="1" t="s">
        <v>407</v>
      </c>
      <c r="I69" s="1" t="s">
        <v>408</v>
      </c>
      <c r="J69" s="1" t="s">
        <v>409</v>
      </c>
      <c r="L69" t="s">
        <v>410</v>
      </c>
      <c r="M69" t="s">
        <v>411</v>
      </c>
      <c r="N69">
        <v>55345</v>
      </c>
      <c r="O69" t="s">
        <v>412</v>
      </c>
      <c r="P69" t="s">
        <v>413</v>
      </c>
      <c r="Q69" t="s">
        <v>414</v>
      </c>
    </row>
    <row r="70" spans="1:17" x14ac:dyDescent="0.25">
      <c r="A70" s="1" t="str">
        <f t="shared" si="1"/>
        <v xml:space="preserve">607-Building Energy Solution and Technology </v>
      </c>
      <c r="B70" s="1">
        <v>607</v>
      </c>
      <c r="C70" s="1" t="s">
        <v>2378</v>
      </c>
      <c r="D70" s="1" t="s">
        <v>2379</v>
      </c>
      <c r="E70" s="1"/>
      <c r="F70" s="1"/>
      <c r="G70" s="1" t="s">
        <v>2380</v>
      </c>
      <c r="H70" s="1" t="s">
        <v>415</v>
      </c>
      <c r="I70" s="1" t="s">
        <v>416</v>
      </c>
      <c r="J70" s="1" t="s">
        <v>417</v>
      </c>
      <c r="L70" t="s">
        <v>418</v>
      </c>
      <c r="M70" t="s">
        <v>419</v>
      </c>
      <c r="N70" t="s">
        <v>420</v>
      </c>
      <c r="O70" t="s">
        <v>421</v>
      </c>
      <c r="P70" t="s">
        <v>422</v>
      </c>
      <c r="Q70" t="s">
        <v>423</v>
      </c>
    </row>
    <row r="71" spans="1:17" x14ac:dyDescent="0.25">
      <c r="A71" s="1" t="str">
        <f t="shared" si="1"/>
        <v>448-Burlington Coat Factory</v>
      </c>
      <c r="B71" s="1">
        <v>448</v>
      </c>
      <c r="C71" s="1" t="s">
        <v>2381</v>
      </c>
      <c r="D71" s="1" t="s">
        <v>2382</v>
      </c>
      <c r="E71" s="1" t="s">
        <v>2383</v>
      </c>
      <c r="F71" s="1" t="s">
        <v>2384</v>
      </c>
      <c r="G71" s="1" t="s">
        <v>2385</v>
      </c>
      <c r="H71" s="1" t="s">
        <v>424</v>
      </c>
      <c r="I71" s="1" t="s">
        <v>425</v>
      </c>
      <c r="J71" s="1" t="s">
        <v>426</v>
      </c>
      <c r="L71" t="s">
        <v>427</v>
      </c>
      <c r="M71" t="s">
        <v>428</v>
      </c>
      <c r="N71">
        <v>8016</v>
      </c>
      <c r="O71" t="s">
        <v>429</v>
      </c>
      <c r="P71" t="s">
        <v>430</v>
      </c>
      <c r="Q71" t="s">
        <v>431</v>
      </c>
    </row>
    <row r="72" spans="1:17" x14ac:dyDescent="0.25">
      <c r="A72" s="1" t="str">
        <f t="shared" si="1"/>
        <v>544-Burlington Coat Factory</v>
      </c>
      <c r="B72" s="1">
        <v>544</v>
      </c>
      <c r="C72" s="1" t="s">
        <v>2384</v>
      </c>
      <c r="D72" s="1" t="s">
        <v>2382</v>
      </c>
      <c r="E72" s="1"/>
      <c r="F72" s="1"/>
      <c r="G72" s="1" t="s">
        <v>2385</v>
      </c>
      <c r="H72" s="1" t="s">
        <v>424</v>
      </c>
      <c r="I72" s="1" t="s">
        <v>432</v>
      </c>
      <c r="J72" s="1" t="s">
        <v>433</v>
      </c>
      <c r="L72" t="s">
        <v>427</v>
      </c>
      <c r="M72" t="s">
        <v>428</v>
      </c>
      <c r="N72">
        <v>8016</v>
      </c>
      <c r="O72" t="s">
        <v>434</v>
      </c>
      <c r="Q72" t="s">
        <v>431</v>
      </c>
    </row>
    <row r="73" spans="1:17" x14ac:dyDescent="0.25">
      <c r="A73" s="1" t="str">
        <f t="shared" si="1"/>
        <v>339-Burns DeLatte &amp; McCoy, Inc.</v>
      </c>
      <c r="B73" s="1">
        <v>339</v>
      </c>
      <c r="C73" s="1" t="s">
        <v>2386</v>
      </c>
      <c r="D73" s="1" t="s">
        <v>2387</v>
      </c>
      <c r="E73" s="1" t="s">
        <v>2388</v>
      </c>
      <c r="F73" s="1"/>
      <c r="G73" s="1" t="s">
        <v>2287</v>
      </c>
      <c r="H73" s="1" t="s">
        <v>435</v>
      </c>
      <c r="I73" s="1" t="s">
        <v>290</v>
      </c>
      <c r="J73" s="1" t="s">
        <v>436</v>
      </c>
      <c r="K73" t="s">
        <v>178</v>
      </c>
      <c r="L73" t="s">
        <v>13</v>
      </c>
      <c r="M73" t="s">
        <v>14</v>
      </c>
      <c r="N73">
        <v>77007</v>
      </c>
      <c r="O73" t="s">
        <v>437</v>
      </c>
      <c r="P73" t="s">
        <v>438</v>
      </c>
      <c r="Q73" t="s">
        <v>439</v>
      </c>
    </row>
    <row r="74" spans="1:17" x14ac:dyDescent="0.25">
      <c r="A74" s="1" t="str">
        <f t="shared" si="1"/>
        <v>431-BURY CHPA</v>
      </c>
      <c r="B74" s="1">
        <v>431</v>
      </c>
      <c r="C74" s="1" t="s">
        <v>2419</v>
      </c>
      <c r="D74" s="35" t="s">
        <v>7957</v>
      </c>
      <c r="E74" s="1" t="s">
        <v>2420</v>
      </c>
      <c r="F74" s="1"/>
      <c r="G74" s="1" t="s">
        <v>1510</v>
      </c>
      <c r="H74" s="1" t="s">
        <v>500</v>
      </c>
      <c r="I74" s="1" t="s">
        <v>501</v>
      </c>
      <c r="J74" s="1" t="s">
        <v>502</v>
      </c>
      <c r="L74" t="s">
        <v>13</v>
      </c>
      <c r="M74" t="s">
        <v>14</v>
      </c>
      <c r="N74">
        <v>77063</v>
      </c>
      <c r="O74" t="s">
        <v>503</v>
      </c>
      <c r="P74" t="s">
        <v>504</v>
      </c>
      <c r="Q74" s="2" t="s">
        <v>7958</v>
      </c>
    </row>
    <row r="75" spans="1:17" x14ac:dyDescent="0.25">
      <c r="A75" s="1" t="str">
        <f t="shared" si="1"/>
        <v>234-Caliber Lighting and Energy</v>
      </c>
      <c r="B75" s="1">
        <v>234</v>
      </c>
      <c r="C75" s="1" t="s">
        <v>2389</v>
      </c>
      <c r="D75" s="1" t="s">
        <v>2390</v>
      </c>
      <c r="E75" s="1"/>
      <c r="F75" s="1"/>
      <c r="G75" s="1" t="s">
        <v>2391</v>
      </c>
      <c r="H75" s="1" t="s">
        <v>440</v>
      </c>
      <c r="I75" s="1" t="s">
        <v>441</v>
      </c>
      <c r="J75" s="1" t="s">
        <v>442</v>
      </c>
      <c r="L75" t="s">
        <v>365</v>
      </c>
      <c r="M75" t="s">
        <v>14</v>
      </c>
      <c r="N75">
        <v>77429</v>
      </c>
      <c r="O75" t="s">
        <v>443</v>
      </c>
      <c r="Q75" t="s">
        <v>444</v>
      </c>
    </row>
    <row r="76" spans="1:17" x14ac:dyDescent="0.25">
      <c r="A76" s="1" t="str">
        <f t="shared" si="1"/>
        <v>293-CARMAX</v>
      </c>
      <c r="B76" s="1">
        <v>293</v>
      </c>
      <c r="C76" s="1" t="s">
        <v>2392</v>
      </c>
      <c r="D76" s="1" t="s">
        <v>2393</v>
      </c>
      <c r="E76" s="1"/>
      <c r="F76" s="1"/>
      <c r="G76" s="1" t="s">
        <v>2394</v>
      </c>
      <c r="H76" s="1" t="s">
        <v>445</v>
      </c>
      <c r="I76" s="1" t="s">
        <v>446</v>
      </c>
      <c r="J76" s="1" t="s">
        <v>447</v>
      </c>
      <c r="L76" t="s">
        <v>448</v>
      </c>
      <c r="M76" t="s">
        <v>449</v>
      </c>
      <c r="N76">
        <v>23238</v>
      </c>
      <c r="O76" t="s">
        <v>450</v>
      </c>
      <c r="Q76" t="s">
        <v>451</v>
      </c>
    </row>
    <row r="77" spans="1:17" x14ac:dyDescent="0.25">
      <c r="A77" s="1" t="str">
        <f t="shared" si="1"/>
        <v>283-Carrier Commercial Service</v>
      </c>
      <c r="B77" s="1">
        <v>283</v>
      </c>
      <c r="C77" s="1" t="s">
        <v>2395</v>
      </c>
      <c r="D77" s="1" t="s">
        <v>2396</v>
      </c>
      <c r="E77" s="1" t="s">
        <v>2397</v>
      </c>
      <c r="F77" s="1" t="s">
        <v>2395</v>
      </c>
      <c r="G77" s="1" t="s">
        <v>2306</v>
      </c>
      <c r="H77" s="1" t="s">
        <v>452</v>
      </c>
      <c r="I77" s="1" t="s">
        <v>453</v>
      </c>
      <c r="J77" s="1" t="s">
        <v>454</v>
      </c>
      <c r="L77" t="s">
        <v>13</v>
      </c>
      <c r="M77" t="s">
        <v>14</v>
      </c>
      <c r="N77" t="s">
        <v>455</v>
      </c>
      <c r="O77" t="s">
        <v>456</v>
      </c>
      <c r="P77" t="s">
        <v>457</v>
      </c>
      <c r="Q77" t="s">
        <v>458</v>
      </c>
    </row>
    <row r="78" spans="1:17" x14ac:dyDescent="0.25">
      <c r="A78" s="1" t="str">
        <f t="shared" si="1"/>
        <v>334-Carrier South Texas</v>
      </c>
      <c r="B78" s="1">
        <v>334</v>
      </c>
      <c r="C78" s="1" t="s">
        <v>2398</v>
      </c>
      <c r="D78" s="1" t="s">
        <v>2399</v>
      </c>
      <c r="E78" s="1" t="s">
        <v>2397</v>
      </c>
      <c r="F78" s="1"/>
      <c r="G78" s="1" t="s">
        <v>2400</v>
      </c>
      <c r="H78" s="1" t="s">
        <v>459</v>
      </c>
      <c r="I78" s="1" t="s">
        <v>460</v>
      </c>
      <c r="J78" s="1" t="s">
        <v>461</v>
      </c>
      <c r="L78" t="s">
        <v>13</v>
      </c>
      <c r="M78" t="s">
        <v>14</v>
      </c>
      <c r="N78">
        <v>77041</v>
      </c>
      <c r="O78" t="s">
        <v>462</v>
      </c>
      <c r="P78" t="s">
        <v>463</v>
      </c>
      <c r="Q78" t="s">
        <v>464</v>
      </c>
    </row>
    <row r="79" spans="1:17" x14ac:dyDescent="0.25">
      <c r="A79" s="1" t="str">
        <f t="shared" si="1"/>
        <v>484-Cascade Energy, Inc.</v>
      </c>
      <c r="B79" s="1">
        <v>484</v>
      </c>
      <c r="C79" s="1" t="s">
        <v>2401</v>
      </c>
      <c r="D79" s="1" t="s">
        <v>2402</v>
      </c>
      <c r="E79" s="1"/>
      <c r="F79" s="1"/>
      <c r="G79" s="1" t="s">
        <v>2403</v>
      </c>
      <c r="H79" s="1" t="s">
        <v>465</v>
      </c>
      <c r="I79" s="1" t="s">
        <v>466</v>
      </c>
      <c r="J79" s="1" t="s">
        <v>467</v>
      </c>
      <c r="L79" t="s">
        <v>468</v>
      </c>
      <c r="M79" t="s">
        <v>115</v>
      </c>
      <c r="N79">
        <v>84062</v>
      </c>
      <c r="O79" t="s">
        <v>469</v>
      </c>
      <c r="Q79" t="s">
        <v>470</v>
      </c>
    </row>
    <row r="80" spans="1:17" x14ac:dyDescent="0.25">
      <c r="A80" s="1" t="str">
        <f t="shared" si="1"/>
        <v>551-CED Conroe</v>
      </c>
      <c r="B80" s="1">
        <v>551</v>
      </c>
      <c r="C80" s="1" t="s">
        <v>2404</v>
      </c>
      <c r="D80" s="1" t="s">
        <v>2405</v>
      </c>
      <c r="E80" s="1" t="s">
        <v>2406</v>
      </c>
      <c r="F80" s="1"/>
      <c r="G80" s="1" t="s">
        <v>2186</v>
      </c>
      <c r="H80" s="1" t="s">
        <v>471</v>
      </c>
      <c r="I80" s="1" t="s">
        <v>260</v>
      </c>
      <c r="J80" s="1" t="s">
        <v>472</v>
      </c>
      <c r="L80" t="s">
        <v>473</v>
      </c>
      <c r="M80" t="s">
        <v>14</v>
      </c>
      <c r="N80">
        <v>77301</v>
      </c>
      <c r="O80" t="s">
        <v>474</v>
      </c>
      <c r="P80" t="s">
        <v>475</v>
      </c>
      <c r="Q80" t="s">
        <v>476</v>
      </c>
    </row>
    <row r="81" spans="1:17" x14ac:dyDescent="0.25">
      <c r="A81" s="1" t="str">
        <f t="shared" si="1"/>
        <v>594-CED Houston</v>
      </c>
      <c r="B81" s="1">
        <v>594</v>
      </c>
      <c r="C81" s="1" t="s">
        <v>2407</v>
      </c>
      <c r="D81" s="1" t="s">
        <v>2408</v>
      </c>
      <c r="E81" s="1"/>
      <c r="F81" s="1"/>
      <c r="G81" s="1" t="s">
        <v>2409</v>
      </c>
      <c r="H81" s="1" t="s">
        <v>477</v>
      </c>
      <c r="I81" s="1" t="s">
        <v>478</v>
      </c>
      <c r="J81" s="1" t="s">
        <v>479</v>
      </c>
      <c r="L81" t="s">
        <v>13</v>
      </c>
      <c r="M81" t="s">
        <v>14</v>
      </c>
      <c r="N81">
        <v>77067</v>
      </c>
      <c r="O81" t="s">
        <v>480</v>
      </c>
      <c r="Q81" t="s">
        <v>481</v>
      </c>
    </row>
    <row r="82" spans="1:17" x14ac:dyDescent="0.25">
      <c r="A82" s="1" t="str">
        <f t="shared" si="1"/>
        <v>595-CED Houston</v>
      </c>
      <c r="B82" s="1">
        <v>595</v>
      </c>
      <c r="C82" s="1" t="s">
        <v>2407</v>
      </c>
      <c r="D82" s="1" t="s">
        <v>2408</v>
      </c>
      <c r="E82" s="1"/>
      <c r="F82" s="1"/>
      <c r="G82" s="1" t="s">
        <v>2409</v>
      </c>
      <c r="H82" s="1" t="s">
        <v>477</v>
      </c>
      <c r="I82" s="1" t="s">
        <v>478</v>
      </c>
      <c r="J82" s="1" t="s">
        <v>479</v>
      </c>
      <c r="L82" t="s">
        <v>13</v>
      </c>
      <c r="M82" t="s">
        <v>14</v>
      </c>
      <c r="N82">
        <v>77067</v>
      </c>
      <c r="O82" t="s">
        <v>480</v>
      </c>
      <c r="Q82" t="s">
        <v>481</v>
      </c>
    </row>
    <row r="83" spans="1:17" x14ac:dyDescent="0.25">
      <c r="A83" s="1" t="str">
        <f t="shared" si="1"/>
        <v>388-Chart Inc.</v>
      </c>
      <c r="B83" s="1">
        <v>388</v>
      </c>
      <c r="C83" s="1" t="s">
        <v>2410</v>
      </c>
      <c r="D83" s="1" t="s">
        <v>2411</v>
      </c>
      <c r="E83" s="1"/>
      <c r="F83" s="1"/>
      <c r="G83" s="1" t="s">
        <v>2412</v>
      </c>
      <c r="H83" s="1" t="s">
        <v>482</v>
      </c>
      <c r="I83" s="1" t="s">
        <v>483</v>
      </c>
      <c r="J83" s="1" t="s">
        <v>484</v>
      </c>
      <c r="L83" t="s">
        <v>485</v>
      </c>
      <c r="M83" t="s">
        <v>411</v>
      </c>
      <c r="N83">
        <v>56071</v>
      </c>
      <c r="O83" t="s">
        <v>486</v>
      </c>
      <c r="Q83" t="s">
        <v>487</v>
      </c>
    </row>
    <row r="84" spans="1:17" x14ac:dyDescent="0.25">
      <c r="A84" s="1" t="str">
        <f t="shared" si="1"/>
        <v>479-Chevron Energy Solutions Company, a Division of Ch</v>
      </c>
      <c r="B84" s="1">
        <v>479</v>
      </c>
      <c r="C84" s="1" t="s">
        <v>2413</v>
      </c>
      <c r="D84" s="1" t="s">
        <v>2414</v>
      </c>
      <c r="E84" s="1" t="s">
        <v>2415</v>
      </c>
      <c r="F84" s="1" t="s">
        <v>2413</v>
      </c>
      <c r="G84" s="1" t="s">
        <v>2256</v>
      </c>
      <c r="H84" s="1" t="s">
        <v>488</v>
      </c>
      <c r="I84" s="1" t="s">
        <v>42</v>
      </c>
      <c r="J84" s="1" t="s">
        <v>489</v>
      </c>
      <c r="L84" t="s">
        <v>490</v>
      </c>
      <c r="M84" t="s">
        <v>185</v>
      </c>
      <c r="N84">
        <v>66213</v>
      </c>
      <c r="O84" t="s">
        <v>491</v>
      </c>
      <c r="Q84" t="s">
        <v>492</v>
      </c>
    </row>
    <row r="85" spans="1:17" x14ac:dyDescent="0.25">
      <c r="A85" s="1" t="str">
        <f t="shared" si="1"/>
        <v>359-Chilson Enterprise, LLC dba Magnum Roofing</v>
      </c>
      <c r="B85" s="1">
        <v>359</v>
      </c>
      <c r="C85" s="1" t="s">
        <v>2416</v>
      </c>
      <c r="D85" s="1" t="s">
        <v>2417</v>
      </c>
      <c r="E85" s="1"/>
      <c r="F85" s="1"/>
      <c r="G85" s="1" t="s">
        <v>2418</v>
      </c>
      <c r="H85" s="1" t="s">
        <v>493</v>
      </c>
      <c r="I85" s="1" t="s">
        <v>494</v>
      </c>
      <c r="J85" s="1" t="s">
        <v>495</v>
      </c>
      <c r="L85" t="s">
        <v>496</v>
      </c>
      <c r="M85" t="s">
        <v>14</v>
      </c>
      <c r="N85">
        <v>77584</v>
      </c>
      <c r="O85" t="s">
        <v>497</v>
      </c>
      <c r="P85" t="s">
        <v>498</v>
      </c>
      <c r="Q85" t="s">
        <v>499</v>
      </c>
    </row>
    <row r="86" spans="1:17" x14ac:dyDescent="0.25">
      <c r="A86" s="1" t="str">
        <f t="shared" si="1"/>
        <v>324-City of Houston</v>
      </c>
      <c r="B86" s="1">
        <v>324</v>
      </c>
      <c r="C86" s="1" t="s">
        <v>2421</v>
      </c>
      <c r="D86" s="1" t="s">
        <v>2422</v>
      </c>
      <c r="E86" s="1"/>
      <c r="F86" s="1" t="s">
        <v>2421</v>
      </c>
      <c r="G86" s="1" t="s">
        <v>2423</v>
      </c>
      <c r="H86" s="1" t="s">
        <v>407</v>
      </c>
      <c r="I86" s="1" t="s">
        <v>505</v>
      </c>
      <c r="J86" s="1" t="s">
        <v>506</v>
      </c>
      <c r="L86" t="s">
        <v>13</v>
      </c>
      <c r="M86" t="s">
        <v>14</v>
      </c>
      <c r="N86" t="s">
        <v>507</v>
      </c>
      <c r="O86" t="s">
        <v>508</v>
      </c>
      <c r="P86">
        <v>7134376859</v>
      </c>
      <c r="Q86" t="s">
        <v>509</v>
      </c>
    </row>
    <row r="87" spans="1:17" x14ac:dyDescent="0.25">
      <c r="A87" s="1" t="str">
        <f t="shared" si="1"/>
        <v>526-Clay Development &amp; Construction, Inc.</v>
      </c>
      <c r="B87" s="1">
        <v>526</v>
      </c>
      <c r="C87" s="1" t="s">
        <v>2424</v>
      </c>
      <c r="D87" s="1" t="s">
        <v>2425</v>
      </c>
      <c r="E87" s="1"/>
      <c r="F87" s="1"/>
      <c r="G87" s="1" t="s">
        <v>2426</v>
      </c>
      <c r="H87" s="1" t="s">
        <v>510</v>
      </c>
      <c r="I87" s="1" t="s">
        <v>511</v>
      </c>
      <c r="J87" s="1" t="s">
        <v>512</v>
      </c>
      <c r="L87" t="s">
        <v>13</v>
      </c>
      <c r="M87" t="s">
        <v>14</v>
      </c>
      <c r="N87">
        <v>77056</v>
      </c>
      <c r="O87" t="s">
        <v>513</v>
      </c>
      <c r="P87">
        <v>7137823755</v>
      </c>
      <c r="Q87" t="s">
        <v>514</v>
      </c>
    </row>
    <row r="88" spans="1:17" x14ac:dyDescent="0.25">
      <c r="A88" s="1" t="str">
        <f t="shared" si="1"/>
        <v>279-Coleman Hines</v>
      </c>
      <c r="B88" s="1">
        <v>279</v>
      </c>
      <c r="C88" s="1" t="s">
        <v>2427</v>
      </c>
      <c r="D88" s="1" t="s">
        <v>2428</v>
      </c>
      <c r="E88" s="1"/>
      <c r="F88" s="1"/>
      <c r="G88" s="1" t="s">
        <v>2429</v>
      </c>
      <c r="H88" s="1" t="s">
        <v>515</v>
      </c>
      <c r="I88" s="1" t="s">
        <v>516</v>
      </c>
      <c r="J88" s="1" t="s">
        <v>517</v>
      </c>
      <c r="K88" t="s">
        <v>518</v>
      </c>
      <c r="L88" t="s">
        <v>519</v>
      </c>
      <c r="M88" t="s">
        <v>520</v>
      </c>
      <c r="N88">
        <v>85050</v>
      </c>
      <c r="O88" t="s">
        <v>521</v>
      </c>
      <c r="P88" t="s">
        <v>522</v>
      </c>
      <c r="Q88" t="s">
        <v>523</v>
      </c>
    </row>
    <row r="89" spans="1:17" x14ac:dyDescent="0.25">
      <c r="A89" s="1" t="str">
        <f t="shared" si="1"/>
        <v>297-Coleman Hines / Barnes and Noble</v>
      </c>
      <c r="B89" s="1">
        <v>297</v>
      </c>
      <c r="C89" s="1" t="s">
        <v>2430</v>
      </c>
      <c r="D89" s="1" t="s">
        <v>2431</v>
      </c>
      <c r="E89" s="1"/>
      <c r="F89" s="1"/>
      <c r="G89" s="1" t="s">
        <v>2432</v>
      </c>
      <c r="H89" s="1" t="s">
        <v>296</v>
      </c>
      <c r="I89" s="1" t="s">
        <v>297</v>
      </c>
      <c r="J89" s="1" t="s">
        <v>298</v>
      </c>
      <c r="L89" t="s">
        <v>299</v>
      </c>
      <c r="M89" t="s">
        <v>300</v>
      </c>
      <c r="N89">
        <v>10011</v>
      </c>
      <c r="O89" t="s">
        <v>301</v>
      </c>
      <c r="P89" t="s">
        <v>302</v>
      </c>
      <c r="Q89" t="s">
        <v>524</v>
      </c>
    </row>
    <row r="90" spans="1:17" x14ac:dyDescent="0.25">
      <c r="A90" s="1" t="str">
        <f t="shared" si="1"/>
        <v>313-Coleman Hines / Brinker International Payroll Co</v>
      </c>
      <c r="B90" s="1">
        <v>313</v>
      </c>
      <c r="C90" s="1" t="s">
        <v>2433</v>
      </c>
      <c r="D90" s="1" t="s">
        <v>2434</v>
      </c>
      <c r="E90" s="1"/>
      <c r="F90" s="1"/>
      <c r="G90" s="1" t="s">
        <v>2435</v>
      </c>
      <c r="H90" s="1" t="s">
        <v>525</v>
      </c>
      <c r="I90" s="1" t="s">
        <v>526</v>
      </c>
      <c r="J90" s="1" t="s">
        <v>527</v>
      </c>
      <c r="L90" t="s">
        <v>293</v>
      </c>
      <c r="M90" t="s">
        <v>14</v>
      </c>
      <c r="N90">
        <v>75240</v>
      </c>
      <c r="O90" t="s">
        <v>528</v>
      </c>
      <c r="P90" t="s">
        <v>529</v>
      </c>
      <c r="Q90" t="s">
        <v>530</v>
      </c>
    </row>
    <row r="91" spans="1:17" x14ac:dyDescent="0.25">
      <c r="A91" s="1" t="str">
        <f t="shared" si="1"/>
        <v>312-Coleman Hines / PETsMART Inc</v>
      </c>
      <c r="B91" s="1">
        <v>312</v>
      </c>
      <c r="C91" s="1" t="s">
        <v>2436</v>
      </c>
      <c r="D91" s="1" t="s">
        <v>2437</v>
      </c>
      <c r="E91" s="1"/>
      <c r="F91" s="1"/>
      <c r="G91" s="1" t="s">
        <v>2426</v>
      </c>
      <c r="H91" s="1" t="s">
        <v>531</v>
      </c>
      <c r="I91" s="1" t="s">
        <v>532</v>
      </c>
      <c r="J91" s="1" t="s">
        <v>533</v>
      </c>
      <c r="L91" t="s">
        <v>534</v>
      </c>
      <c r="M91" t="s">
        <v>520</v>
      </c>
      <c r="N91">
        <v>85255</v>
      </c>
      <c r="O91" t="s">
        <v>535</v>
      </c>
      <c r="P91" t="s">
        <v>522</v>
      </c>
      <c r="Q91" t="s">
        <v>536</v>
      </c>
    </row>
    <row r="92" spans="1:17" x14ac:dyDescent="0.25">
      <c r="A92" s="1" t="str">
        <f t="shared" si="1"/>
        <v>366-Comfort Suites Westchase</v>
      </c>
      <c r="B92" s="1">
        <v>366</v>
      </c>
      <c r="C92" s="1" t="s">
        <v>2438</v>
      </c>
      <c r="D92" s="1" t="s">
        <v>2439</v>
      </c>
      <c r="E92" s="1"/>
      <c r="F92" s="1"/>
      <c r="G92" s="1" t="s">
        <v>2440</v>
      </c>
      <c r="H92" s="1" t="s">
        <v>537</v>
      </c>
      <c r="I92" s="1" t="s">
        <v>538</v>
      </c>
      <c r="J92" s="1" t="s">
        <v>539</v>
      </c>
      <c r="L92" t="s">
        <v>13</v>
      </c>
      <c r="M92" t="s">
        <v>14</v>
      </c>
      <c r="N92">
        <v>77042</v>
      </c>
      <c r="O92" t="s">
        <v>540</v>
      </c>
      <c r="P92" t="s">
        <v>541</v>
      </c>
      <c r="Q92" t="s">
        <v>542</v>
      </c>
    </row>
    <row r="93" spans="1:17" x14ac:dyDescent="0.25">
      <c r="A93" s="1" t="str">
        <f t="shared" si="1"/>
        <v>488-Comfort Systems USA</v>
      </c>
      <c r="B93" s="1">
        <v>488</v>
      </c>
      <c r="C93" s="1" t="s">
        <v>2441</v>
      </c>
      <c r="D93" s="1" t="s">
        <v>2442</v>
      </c>
      <c r="E93" s="1"/>
      <c r="F93" s="1"/>
      <c r="G93" s="1" t="s">
        <v>2443</v>
      </c>
      <c r="H93" s="1" t="s">
        <v>543</v>
      </c>
      <c r="I93" s="1" t="s">
        <v>544</v>
      </c>
      <c r="J93" s="1" t="s">
        <v>545</v>
      </c>
      <c r="L93" t="s">
        <v>546</v>
      </c>
      <c r="M93" t="s">
        <v>547</v>
      </c>
      <c r="N93">
        <v>6095</v>
      </c>
      <c r="O93" t="s">
        <v>548</v>
      </c>
      <c r="Q93" t="s">
        <v>549</v>
      </c>
    </row>
    <row r="94" spans="1:17" x14ac:dyDescent="0.25">
      <c r="A94" s="1" t="str">
        <f t="shared" si="1"/>
        <v>401-Constellation NewEnergy, Inc.</v>
      </c>
      <c r="B94" s="1">
        <v>401</v>
      </c>
      <c r="C94" s="1" t="s">
        <v>2444</v>
      </c>
      <c r="D94" s="1" t="s">
        <v>2445</v>
      </c>
      <c r="E94" s="1"/>
      <c r="F94" s="1"/>
      <c r="G94" s="1" t="s">
        <v>2446</v>
      </c>
      <c r="H94" s="1" t="s">
        <v>550</v>
      </c>
      <c r="I94" s="1" t="s">
        <v>246</v>
      </c>
      <c r="J94" s="1" t="s">
        <v>551</v>
      </c>
      <c r="L94" t="s">
        <v>13</v>
      </c>
      <c r="M94" t="s">
        <v>14</v>
      </c>
      <c r="N94">
        <v>77010</v>
      </c>
      <c r="O94" t="s">
        <v>552</v>
      </c>
      <c r="Q94" t="s">
        <v>553</v>
      </c>
    </row>
    <row r="95" spans="1:17" x14ac:dyDescent="0.25">
      <c r="A95" s="1" t="str">
        <f t="shared" si="1"/>
        <v>616-Convergentz</v>
      </c>
      <c r="B95" s="1">
        <v>616</v>
      </c>
      <c r="C95" s="1" t="s">
        <v>2447</v>
      </c>
      <c r="D95" s="1" t="s">
        <v>2448</v>
      </c>
      <c r="E95" s="1" t="s">
        <v>2449</v>
      </c>
      <c r="F95" s="1" t="s">
        <v>2447</v>
      </c>
      <c r="G95" s="1" t="s">
        <v>2450</v>
      </c>
      <c r="H95" s="1" t="s">
        <v>554</v>
      </c>
      <c r="I95" s="1" t="s">
        <v>182</v>
      </c>
      <c r="J95" s="1" t="s">
        <v>555</v>
      </c>
      <c r="L95" t="s">
        <v>13</v>
      </c>
      <c r="M95" t="s">
        <v>14</v>
      </c>
      <c r="N95">
        <v>77042</v>
      </c>
      <c r="O95" t="s">
        <v>556</v>
      </c>
      <c r="Q95" t="s">
        <v>557</v>
      </c>
    </row>
    <row r="96" spans="1:17" x14ac:dyDescent="0.25">
      <c r="A96" s="1" t="str">
        <f t="shared" si="1"/>
        <v>541-Costco Wholesale</v>
      </c>
      <c r="B96" s="1">
        <v>541</v>
      </c>
      <c r="C96" s="1" t="s">
        <v>2451</v>
      </c>
      <c r="D96" s="1" t="s">
        <v>2452</v>
      </c>
      <c r="E96" s="1"/>
      <c r="F96" s="1"/>
      <c r="G96" s="1" t="s">
        <v>2453</v>
      </c>
      <c r="H96" s="1" t="s">
        <v>558</v>
      </c>
      <c r="I96" s="1" t="s">
        <v>559</v>
      </c>
      <c r="J96" s="1" t="s">
        <v>560</v>
      </c>
      <c r="L96" t="s">
        <v>561</v>
      </c>
      <c r="M96" t="s">
        <v>562</v>
      </c>
      <c r="N96">
        <v>98027</v>
      </c>
      <c r="O96" t="s">
        <v>563</v>
      </c>
      <c r="Q96" t="s">
        <v>564</v>
      </c>
    </row>
    <row r="97" spans="1:17" x14ac:dyDescent="0.25">
      <c r="A97" s="1" t="str">
        <f t="shared" si="1"/>
        <v>634-Crawford Electric Supply</v>
      </c>
      <c r="B97">
        <v>634</v>
      </c>
      <c r="D97" t="s">
        <v>7969</v>
      </c>
      <c r="G97" t="s">
        <v>8007</v>
      </c>
      <c r="H97" t="s">
        <v>7970</v>
      </c>
      <c r="J97" t="s">
        <v>7971</v>
      </c>
      <c r="L97" t="s">
        <v>13</v>
      </c>
      <c r="M97" t="s">
        <v>14</v>
      </c>
      <c r="N97" s="22" t="s">
        <v>7972</v>
      </c>
      <c r="O97" t="s">
        <v>7973</v>
      </c>
      <c r="Q97" s="2" t="s">
        <v>8008</v>
      </c>
    </row>
    <row r="98" spans="1:17" x14ac:dyDescent="0.25">
      <c r="A98" s="1" t="str">
        <f t="shared" si="1"/>
        <v>309-CVS pharmacy</v>
      </c>
      <c r="B98" s="1">
        <v>309</v>
      </c>
      <c r="C98" s="1" t="s">
        <v>2454</v>
      </c>
      <c r="D98" s="1" t="s">
        <v>2455</v>
      </c>
      <c r="E98" s="1"/>
      <c r="F98" s="1"/>
      <c r="G98" s="1" t="s">
        <v>2456</v>
      </c>
      <c r="H98" s="1" t="s">
        <v>565</v>
      </c>
      <c r="I98" s="1" t="s">
        <v>566</v>
      </c>
      <c r="J98" s="1" t="s">
        <v>567</v>
      </c>
      <c r="L98" t="s">
        <v>568</v>
      </c>
      <c r="M98" t="s">
        <v>569</v>
      </c>
      <c r="N98">
        <v>2895</v>
      </c>
      <c r="O98" t="s">
        <v>570</v>
      </c>
      <c r="Q98" t="s">
        <v>571</v>
      </c>
    </row>
    <row r="99" spans="1:17" x14ac:dyDescent="0.25">
      <c r="A99" s="1" t="str">
        <f t="shared" si="1"/>
        <v>584-Cyberonics</v>
      </c>
      <c r="B99" s="1">
        <v>584</v>
      </c>
      <c r="C99" s="1" t="s">
        <v>2457</v>
      </c>
      <c r="D99" s="1" t="s">
        <v>2458</v>
      </c>
      <c r="E99" s="1"/>
      <c r="F99" s="1"/>
      <c r="G99" s="1" t="s">
        <v>2459</v>
      </c>
      <c r="H99" s="1" t="s">
        <v>572</v>
      </c>
      <c r="I99" s="1" t="s">
        <v>573</v>
      </c>
      <c r="J99" s="1" t="s">
        <v>574</v>
      </c>
      <c r="L99" t="s">
        <v>13</v>
      </c>
      <c r="M99" t="s">
        <v>14</v>
      </c>
      <c r="N99">
        <v>77058</v>
      </c>
      <c r="O99" t="s">
        <v>575</v>
      </c>
      <c r="Q99" t="s">
        <v>576</v>
      </c>
    </row>
    <row r="100" spans="1:17" x14ac:dyDescent="0.25">
      <c r="A100" s="1" t="str">
        <f t="shared" si="1"/>
        <v>333-Cypress Fairbanks ISD</v>
      </c>
      <c r="B100" s="1">
        <v>333</v>
      </c>
      <c r="C100" s="1" t="s">
        <v>2460</v>
      </c>
      <c r="D100" s="1" t="s">
        <v>2461</v>
      </c>
      <c r="E100" s="1"/>
      <c r="F100" s="1"/>
      <c r="G100" s="1" t="s">
        <v>2462</v>
      </c>
      <c r="H100" s="1" t="s">
        <v>577</v>
      </c>
      <c r="I100" s="1" t="s">
        <v>432</v>
      </c>
      <c r="J100" s="1" t="s">
        <v>578</v>
      </c>
      <c r="L100" t="s">
        <v>13</v>
      </c>
      <c r="M100" t="s">
        <v>14</v>
      </c>
      <c r="N100">
        <v>77064</v>
      </c>
      <c r="O100" t="s">
        <v>579</v>
      </c>
      <c r="P100" t="s">
        <v>580</v>
      </c>
      <c r="Q100" t="s">
        <v>581</v>
      </c>
    </row>
    <row r="101" spans="1:17" x14ac:dyDescent="0.25">
      <c r="A101" s="1" t="str">
        <f t="shared" si="1"/>
        <v>574-Delta T Corporation d/b/a Big Ass Fans</v>
      </c>
      <c r="B101" s="1">
        <v>574</v>
      </c>
      <c r="C101" s="1" t="s">
        <v>2463</v>
      </c>
      <c r="D101" s="1" t="s">
        <v>2464</v>
      </c>
      <c r="E101" s="1"/>
      <c r="F101" s="1"/>
      <c r="G101" s="1" t="s">
        <v>2465</v>
      </c>
      <c r="H101" s="1" t="s">
        <v>582</v>
      </c>
      <c r="I101" s="1" t="s">
        <v>583</v>
      </c>
      <c r="J101" s="1" t="s">
        <v>584</v>
      </c>
      <c r="L101" t="s">
        <v>585</v>
      </c>
      <c r="M101" t="s">
        <v>353</v>
      </c>
      <c r="N101">
        <v>40575</v>
      </c>
      <c r="O101" t="s">
        <v>586</v>
      </c>
      <c r="Q101" t="s">
        <v>587</v>
      </c>
    </row>
    <row r="102" spans="1:17" x14ac:dyDescent="0.25">
      <c r="A102" s="1" t="str">
        <f t="shared" si="1"/>
        <v>340-Design Electric</v>
      </c>
      <c r="B102" s="1">
        <v>340</v>
      </c>
      <c r="C102" s="1" t="s">
        <v>2466</v>
      </c>
      <c r="D102" s="1" t="s">
        <v>2467</v>
      </c>
      <c r="E102" s="1"/>
      <c r="F102" s="1"/>
      <c r="G102" s="1" t="s">
        <v>2468</v>
      </c>
      <c r="H102" s="1" t="s">
        <v>588</v>
      </c>
      <c r="I102" s="1" t="s">
        <v>589</v>
      </c>
      <c r="J102" s="1" t="s">
        <v>191</v>
      </c>
      <c r="L102" t="s">
        <v>13</v>
      </c>
      <c r="M102" t="s">
        <v>14</v>
      </c>
      <c r="N102">
        <v>77040</v>
      </c>
      <c r="O102" t="s">
        <v>590</v>
      </c>
      <c r="P102" t="s">
        <v>591</v>
      </c>
      <c r="Q102" t="s">
        <v>592</v>
      </c>
    </row>
    <row r="103" spans="1:17" x14ac:dyDescent="0.25">
      <c r="A103" s="1" t="str">
        <f t="shared" si="1"/>
        <v xml:space="preserve">350-Design Electric </v>
      </c>
      <c r="B103" s="1">
        <v>350</v>
      </c>
      <c r="C103" s="1" t="s">
        <v>2469</v>
      </c>
      <c r="D103" s="1" t="s">
        <v>2470</v>
      </c>
      <c r="E103" s="1"/>
      <c r="F103" s="1"/>
      <c r="G103" s="1" t="s">
        <v>2471</v>
      </c>
      <c r="H103" s="1" t="s">
        <v>588</v>
      </c>
      <c r="I103" s="1" t="s">
        <v>593</v>
      </c>
      <c r="J103" s="1" t="s">
        <v>594</v>
      </c>
      <c r="L103" t="s">
        <v>13</v>
      </c>
      <c r="M103" t="s">
        <v>14</v>
      </c>
      <c r="N103">
        <v>77040</v>
      </c>
      <c r="O103" t="s">
        <v>595</v>
      </c>
      <c r="P103" t="s">
        <v>596</v>
      </c>
      <c r="Q103" t="s">
        <v>597</v>
      </c>
    </row>
    <row r="104" spans="1:17" x14ac:dyDescent="0.25">
      <c r="A104" s="1" t="str">
        <f t="shared" si="1"/>
        <v>400-DI Hotels Corp</v>
      </c>
      <c r="B104" s="1">
        <v>400</v>
      </c>
      <c r="C104" s="1" t="s">
        <v>2472</v>
      </c>
      <c r="D104" s="1" t="s">
        <v>2473</v>
      </c>
      <c r="E104" s="1"/>
      <c r="F104" s="1"/>
      <c r="G104" s="1" t="s">
        <v>2474</v>
      </c>
      <c r="H104" s="1" t="s">
        <v>598</v>
      </c>
      <c r="I104" s="1" t="s">
        <v>599</v>
      </c>
      <c r="J104" s="1" t="s">
        <v>600</v>
      </c>
      <c r="L104" t="s">
        <v>601</v>
      </c>
      <c r="M104" t="s">
        <v>602</v>
      </c>
      <c r="N104">
        <v>63701</v>
      </c>
      <c r="O104" t="s">
        <v>603</v>
      </c>
      <c r="Q104" t="s">
        <v>604</v>
      </c>
    </row>
    <row r="105" spans="1:17" x14ac:dyDescent="0.25">
      <c r="A105" s="1" t="str">
        <f t="shared" si="1"/>
        <v>604-Dialight Corporation</v>
      </c>
      <c r="B105" s="1">
        <v>604</v>
      </c>
      <c r="C105" s="1" t="s">
        <v>2475</v>
      </c>
      <c r="D105" s="1" t="s">
        <v>2476</v>
      </c>
      <c r="E105" s="1"/>
      <c r="F105" s="1" t="s">
        <v>2477</v>
      </c>
      <c r="G105" s="1" t="s">
        <v>2182</v>
      </c>
      <c r="H105" s="1" t="s">
        <v>605</v>
      </c>
      <c r="I105" s="1" t="s">
        <v>606</v>
      </c>
      <c r="J105" s="1" t="s">
        <v>607</v>
      </c>
      <c r="L105" t="s">
        <v>608</v>
      </c>
      <c r="M105" t="s">
        <v>428</v>
      </c>
      <c r="N105">
        <v>7727</v>
      </c>
      <c r="O105">
        <v>7327515891</v>
      </c>
      <c r="Q105" t="s">
        <v>609</v>
      </c>
    </row>
    <row r="106" spans="1:17" x14ac:dyDescent="0.25">
      <c r="A106" s="1" t="str">
        <f t="shared" si="1"/>
        <v>261-Diversified Lighting Technology</v>
      </c>
      <c r="B106" s="1">
        <v>261</v>
      </c>
      <c r="C106" s="1" t="s">
        <v>2478</v>
      </c>
      <c r="D106" s="1" t="s">
        <v>2479</v>
      </c>
      <c r="E106" s="1"/>
      <c r="F106" s="1"/>
      <c r="G106" s="1" t="s">
        <v>2480</v>
      </c>
      <c r="H106" s="1" t="s">
        <v>610</v>
      </c>
      <c r="I106" s="1" t="s">
        <v>290</v>
      </c>
      <c r="J106" s="1" t="s">
        <v>611</v>
      </c>
      <c r="L106" t="s">
        <v>13</v>
      </c>
      <c r="M106" t="s">
        <v>14</v>
      </c>
      <c r="N106">
        <v>77041</v>
      </c>
      <c r="O106" t="s">
        <v>612</v>
      </c>
      <c r="Q106" t="s">
        <v>613</v>
      </c>
    </row>
    <row r="107" spans="1:17" x14ac:dyDescent="0.25">
      <c r="A107" s="1" t="str">
        <f t="shared" si="1"/>
        <v>421-Divine Lighting</v>
      </c>
      <c r="B107" s="1">
        <v>421</v>
      </c>
      <c r="C107" s="1" t="s">
        <v>2481</v>
      </c>
      <c r="D107" s="1" t="s">
        <v>2482</v>
      </c>
      <c r="E107" s="1"/>
      <c r="F107" s="1"/>
      <c r="G107" s="1" t="s">
        <v>2483</v>
      </c>
      <c r="H107" s="1" t="s">
        <v>614</v>
      </c>
      <c r="I107" s="1" t="s">
        <v>290</v>
      </c>
      <c r="J107" s="1" t="s">
        <v>615</v>
      </c>
      <c r="L107" t="s">
        <v>473</v>
      </c>
      <c r="M107" t="s">
        <v>14</v>
      </c>
      <c r="N107">
        <v>77303</v>
      </c>
      <c r="O107" t="s">
        <v>616</v>
      </c>
      <c r="Q107" t="s">
        <v>617</v>
      </c>
    </row>
    <row r="108" spans="1:17" x14ac:dyDescent="0.25">
      <c r="A108" s="1" t="str">
        <f t="shared" si="1"/>
        <v>430-DP Electronics</v>
      </c>
      <c r="B108" s="1">
        <v>430</v>
      </c>
      <c r="C108" s="1" t="s">
        <v>2484</v>
      </c>
      <c r="D108" s="1" t="s">
        <v>2485</v>
      </c>
      <c r="E108" s="1"/>
      <c r="F108" s="1"/>
      <c r="G108" s="1" t="s">
        <v>2486</v>
      </c>
      <c r="H108" s="1" t="s">
        <v>618</v>
      </c>
      <c r="I108" s="1" t="s">
        <v>290</v>
      </c>
      <c r="J108" s="1" t="s">
        <v>619</v>
      </c>
      <c r="L108" t="s">
        <v>13</v>
      </c>
      <c r="M108" t="s">
        <v>14</v>
      </c>
      <c r="N108">
        <v>77047</v>
      </c>
      <c r="O108" t="s">
        <v>620</v>
      </c>
      <c r="Q108" t="s">
        <v>621</v>
      </c>
    </row>
    <row r="109" spans="1:17" x14ac:dyDescent="0.25">
      <c r="A109" s="1" t="str">
        <f t="shared" si="1"/>
        <v>590-Drury Southwest, Inc.</v>
      </c>
      <c r="B109" s="1">
        <v>590</v>
      </c>
      <c r="C109" s="1" t="s">
        <v>2487</v>
      </c>
      <c r="D109" s="1" t="s">
        <v>2488</v>
      </c>
      <c r="E109" s="1"/>
      <c r="F109" s="1"/>
      <c r="G109" s="1" t="s">
        <v>2474</v>
      </c>
      <c r="H109" s="1" t="s">
        <v>598</v>
      </c>
      <c r="I109" s="1" t="s">
        <v>599</v>
      </c>
      <c r="J109" s="1" t="s">
        <v>600</v>
      </c>
      <c r="L109" t="s">
        <v>601</v>
      </c>
      <c r="M109" t="s">
        <v>602</v>
      </c>
      <c r="N109">
        <v>63701</v>
      </c>
      <c r="O109" t="s">
        <v>603</v>
      </c>
      <c r="Q109" t="s">
        <v>604</v>
      </c>
    </row>
    <row r="110" spans="1:17" x14ac:dyDescent="0.25">
      <c r="A110" s="1" t="str">
        <f t="shared" si="1"/>
        <v>358-Dynamic Orthotics and Prosthetics</v>
      </c>
      <c r="B110" s="1">
        <v>358</v>
      </c>
      <c r="C110" s="1" t="s">
        <v>2489</v>
      </c>
      <c r="D110" s="1" t="s">
        <v>2490</v>
      </c>
      <c r="E110" s="1"/>
      <c r="F110" s="1"/>
      <c r="G110" s="1" t="s">
        <v>2491</v>
      </c>
      <c r="H110" s="1" t="s">
        <v>622</v>
      </c>
      <c r="I110" s="1" t="s">
        <v>623</v>
      </c>
      <c r="J110" s="1" t="s">
        <v>624</v>
      </c>
      <c r="L110" t="s">
        <v>13</v>
      </c>
      <c r="M110" t="s">
        <v>14</v>
      </c>
      <c r="N110">
        <v>77025</v>
      </c>
      <c r="O110" t="s">
        <v>625</v>
      </c>
      <c r="Q110" t="s">
        <v>626</v>
      </c>
    </row>
    <row r="111" spans="1:17" x14ac:dyDescent="0.25">
      <c r="A111" s="1" t="str">
        <f t="shared" si="1"/>
        <v>560-Dynamic Voice Data</v>
      </c>
      <c r="B111" s="1">
        <v>560</v>
      </c>
      <c r="C111" s="1" t="s">
        <v>2492</v>
      </c>
      <c r="D111" s="1" t="s">
        <v>2493</v>
      </c>
      <c r="E111" s="1"/>
      <c r="F111" s="1"/>
      <c r="G111" s="1" t="s">
        <v>2494</v>
      </c>
      <c r="H111" s="1" t="s">
        <v>627</v>
      </c>
      <c r="I111" s="1" t="s">
        <v>628</v>
      </c>
      <c r="J111" s="1" t="s">
        <v>629</v>
      </c>
      <c r="L111" t="s">
        <v>262</v>
      </c>
      <c r="M111" t="s">
        <v>14</v>
      </c>
      <c r="N111">
        <v>77477</v>
      </c>
      <c r="O111" t="s">
        <v>630</v>
      </c>
      <c r="P111" t="s">
        <v>631</v>
      </c>
      <c r="Q111" t="s">
        <v>632</v>
      </c>
    </row>
    <row r="112" spans="1:17" x14ac:dyDescent="0.25">
      <c r="A112" s="1" t="str">
        <f t="shared" si="1"/>
        <v>262-E. Sam Jones Distributor, Inc.</v>
      </c>
      <c r="B112" s="1">
        <v>262</v>
      </c>
      <c r="C112" s="1" t="s">
        <v>2495</v>
      </c>
      <c r="D112" s="1" t="s">
        <v>2496</v>
      </c>
      <c r="E112" s="1"/>
      <c r="F112" s="1"/>
      <c r="G112" s="1" t="s">
        <v>2242</v>
      </c>
      <c r="H112" s="1" t="s">
        <v>633</v>
      </c>
      <c r="I112" s="1" t="s">
        <v>634</v>
      </c>
      <c r="J112" s="1" t="s">
        <v>635</v>
      </c>
      <c r="L112" t="s">
        <v>13</v>
      </c>
      <c r="M112" t="s">
        <v>14</v>
      </c>
      <c r="N112">
        <v>77018</v>
      </c>
      <c r="O112" t="s">
        <v>636</v>
      </c>
      <c r="P112" t="s">
        <v>637</v>
      </c>
      <c r="Q112" t="s">
        <v>638</v>
      </c>
    </row>
    <row r="113" spans="1:17" x14ac:dyDescent="0.25">
      <c r="A113" s="1" t="str">
        <f t="shared" si="1"/>
        <v>217-E/B/E, Inc.</v>
      </c>
      <c r="B113" s="1">
        <v>217</v>
      </c>
      <c r="C113" s="1" t="s">
        <v>2497</v>
      </c>
      <c r="D113" s="1" t="s">
        <v>2498</v>
      </c>
      <c r="E113" s="1"/>
      <c r="F113" s="1"/>
      <c r="G113" s="1" t="s">
        <v>1784</v>
      </c>
      <c r="H113" s="1" t="s">
        <v>639</v>
      </c>
      <c r="I113" s="1" t="s">
        <v>290</v>
      </c>
      <c r="J113" s="1" t="s">
        <v>640</v>
      </c>
      <c r="L113" t="s">
        <v>13</v>
      </c>
      <c r="M113" t="s">
        <v>14</v>
      </c>
      <c r="N113">
        <v>77046</v>
      </c>
      <c r="O113" t="s">
        <v>641</v>
      </c>
      <c r="P113" t="s">
        <v>642</v>
      </c>
      <c r="Q113" t="s">
        <v>643</v>
      </c>
    </row>
    <row r="114" spans="1:17" x14ac:dyDescent="0.25">
      <c r="A114" s="1" t="str">
        <f t="shared" si="1"/>
        <v>578-Earth Savers Energy Services, Inc.</v>
      </c>
      <c r="B114" s="1">
        <v>578</v>
      </c>
      <c r="C114" s="1" t="s">
        <v>2499</v>
      </c>
      <c r="D114" s="1" t="s">
        <v>2500</v>
      </c>
      <c r="E114" s="1"/>
      <c r="F114" s="1"/>
      <c r="G114" s="1" t="s">
        <v>2501</v>
      </c>
      <c r="H114" s="1" t="s">
        <v>644</v>
      </c>
      <c r="I114" s="1" t="s">
        <v>290</v>
      </c>
      <c r="J114" s="1" t="s">
        <v>645</v>
      </c>
      <c r="L114" t="s">
        <v>646</v>
      </c>
      <c r="M114" t="s">
        <v>520</v>
      </c>
      <c r="N114">
        <v>85749</v>
      </c>
      <c r="O114">
        <v>5209909005</v>
      </c>
      <c r="Q114" t="s">
        <v>647</v>
      </c>
    </row>
    <row r="115" spans="1:17" x14ac:dyDescent="0.25">
      <c r="A115" s="1" t="str">
        <f t="shared" si="1"/>
        <v>317-Eco Engineering, LLC</v>
      </c>
      <c r="B115" s="1">
        <v>317</v>
      </c>
      <c r="C115" s="1" t="s">
        <v>2502</v>
      </c>
      <c r="D115" s="1" t="s">
        <v>2503</v>
      </c>
      <c r="E115" s="1"/>
      <c r="F115" s="1"/>
      <c r="G115" s="1" t="s">
        <v>2504</v>
      </c>
      <c r="H115" s="1" t="s">
        <v>648</v>
      </c>
      <c r="I115" s="1" t="s">
        <v>649</v>
      </c>
      <c r="J115" s="1" t="s">
        <v>650</v>
      </c>
      <c r="L115" t="s">
        <v>651</v>
      </c>
      <c r="M115" t="s">
        <v>652</v>
      </c>
      <c r="N115">
        <v>45241</v>
      </c>
      <c r="O115" t="s">
        <v>653</v>
      </c>
      <c r="P115" t="s">
        <v>654</v>
      </c>
      <c r="Q115" t="s">
        <v>655</v>
      </c>
    </row>
    <row r="116" spans="1:17" x14ac:dyDescent="0.25">
      <c r="A116" s="1" t="str">
        <f t="shared" si="1"/>
        <v>418-Eco Lighting Solutions</v>
      </c>
      <c r="B116" s="1">
        <v>418</v>
      </c>
      <c r="C116" s="1" t="s">
        <v>2505</v>
      </c>
      <c r="D116" s="1" t="s">
        <v>2506</v>
      </c>
      <c r="E116" s="1" t="s">
        <v>2507</v>
      </c>
      <c r="F116" s="1" t="s">
        <v>2505</v>
      </c>
      <c r="G116" s="1" t="s">
        <v>2508</v>
      </c>
      <c r="H116" s="1" t="s">
        <v>656</v>
      </c>
      <c r="I116" s="1" t="s">
        <v>657</v>
      </c>
      <c r="J116" s="1" t="s">
        <v>658</v>
      </c>
      <c r="L116" t="s">
        <v>659</v>
      </c>
      <c r="M116" t="s">
        <v>660</v>
      </c>
      <c r="N116">
        <v>46038</v>
      </c>
      <c r="O116" t="s">
        <v>661</v>
      </c>
      <c r="P116" t="s">
        <v>662</v>
      </c>
      <c r="Q116" t="s">
        <v>663</v>
      </c>
    </row>
    <row r="117" spans="1:17" x14ac:dyDescent="0.25">
      <c r="A117" s="1" t="str">
        <f t="shared" si="1"/>
        <v xml:space="preserve">614-Ecova Inc </v>
      </c>
      <c r="B117" s="1">
        <v>614</v>
      </c>
      <c r="C117" s="1" t="s">
        <v>2509</v>
      </c>
      <c r="D117" s="1" t="s">
        <v>2510</v>
      </c>
      <c r="E117" s="1"/>
      <c r="F117" s="1"/>
      <c r="G117" s="1" t="s">
        <v>2511</v>
      </c>
      <c r="H117" s="1" t="s">
        <v>582</v>
      </c>
      <c r="I117" s="1" t="s">
        <v>664</v>
      </c>
      <c r="J117" s="1" t="s">
        <v>665</v>
      </c>
      <c r="L117" t="s">
        <v>666</v>
      </c>
      <c r="M117" t="s">
        <v>562</v>
      </c>
      <c r="N117">
        <v>99210</v>
      </c>
      <c r="O117" t="s">
        <v>667</v>
      </c>
      <c r="P117" t="s">
        <v>668</v>
      </c>
      <c r="Q117" t="s">
        <v>669</v>
      </c>
    </row>
    <row r="118" spans="1:17" x14ac:dyDescent="0.25">
      <c r="A118" s="1" t="str">
        <f t="shared" si="1"/>
        <v>645-EES Central</v>
      </c>
      <c r="B118">
        <v>645</v>
      </c>
      <c r="D118" t="s">
        <v>8080</v>
      </c>
      <c r="G118" t="s">
        <v>8160</v>
      </c>
      <c r="H118" t="s">
        <v>8161</v>
      </c>
      <c r="J118" t="s">
        <v>8081</v>
      </c>
      <c r="L118" t="s">
        <v>13</v>
      </c>
      <c r="M118" t="s">
        <v>14</v>
      </c>
      <c r="N118" s="22" t="s">
        <v>8082</v>
      </c>
      <c r="O118" t="s">
        <v>8083</v>
      </c>
      <c r="Q118" t="s">
        <v>8162</v>
      </c>
    </row>
    <row r="119" spans="1:17" x14ac:dyDescent="0.25">
      <c r="A119" s="1" t="str">
        <f t="shared" si="1"/>
        <v>253-Efficiency Energy Services</v>
      </c>
      <c r="B119" s="1">
        <v>253</v>
      </c>
      <c r="C119" s="1" t="s">
        <v>2512</v>
      </c>
      <c r="D119" s="1" t="s">
        <v>2513</v>
      </c>
      <c r="E119" s="1" t="s">
        <v>2514</v>
      </c>
      <c r="F119" s="1" t="s">
        <v>2512</v>
      </c>
      <c r="G119" s="1" t="s">
        <v>2412</v>
      </c>
      <c r="H119" s="1" t="s">
        <v>670</v>
      </c>
      <c r="I119" s="1" t="s">
        <v>671</v>
      </c>
      <c r="J119" s="1" t="s">
        <v>672</v>
      </c>
      <c r="L119" t="s">
        <v>673</v>
      </c>
      <c r="M119" t="s">
        <v>14</v>
      </c>
      <c r="N119" t="s">
        <v>674</v>
      </c>
      <c r="O119" t="s">
        <v>675</v>
      </c>
      <c r="P119" t="s">
        <v>675</v>
      </c>
      <c r="Q119" t="s">
        <v>676</v>
      </c>
    </row>
    <row r="120" spans="1:17" x14ac:dyDescent="0.25">
      <c r="A120" s="1" t="str">
        <f t="shared" si="1"/>
        <v xml:space="preserve">494-Efficient Energy America Inc </v>
      </c>
      <c r="B120" s="1">
        <v>494</v>
      </c>
      <c r="C120" s="1" t="s">
        <v>2515</v>
      </c>
      <c r="D120" s="1" t="s">
        <v>2516</v>
      </c>
      <c r="E120" s="1"/>
      <c r="F120" s="1"/>
      <c r="G120" s="1" t="s">
        <v>2517</v>
      </c>
      <c r="H120" s="1" t="s">
        <v>677</v>
      </c>
      <c r="I120" s="1" t="s">
        <v>678</v>
      </c>
      <c r="J120" s="1" t="s">
        <v>679</v>
      </c>
      <c r="L120" t="s">
        <v>680</v>
      </c>
      <c r="M120" t="s">
        <v>681</v>
      </c>
      <c r="N120">
        <v>28428</v>
      </c>
      <c r="O120" t="s">
        <v>682</v>
      </c>
      <c r="Q120" t="s">
        <v>683</v>
      </c>
    </row>
    <row r="121" spans="1:17" x14ac:dyDescent="0.25">
      <c r="A121" s="1" t="str">
        <f t="shared" si="1"/>
        <v>381-Efficient Lighting Consultants</v>
      </c>
      <c r="B121" s="1">
        <v>381</v>
      </c>
      <c r="C121" s="1" t="s">
        <v>2518</v>
      </c>
      <c r="D121" s="1" t="s">
        <v>2519</v>
      </c>
      <c r="E121" s="1"/>
      <c r="F121" s="1"/>
      <c r="G121" s="1" t="s">
        <v>2520</v>
      </c>
      <c r="H121" s="1" t="s">
        <v>684</v>
      </c>
      <c r="I121" s="1" t="s">
        <v>685</v>
      </c>
      <c r="J121" s="1" t="s">
        <v>686</v>
      </c>
      <c r="L121" t="s">
        <v>687</v>
      </c>
      <c r="M121" t="s">
        <v>547</v>
      </c>
      <c r="N121">
        <v>6470</v>
      </c>
      <c r="O121" t="s">
        <v>688</v>
      </c>
      <c r="P121" t="s">
        <v>689</v>
      </c>
      <c r="Q121" t="s">
        <v>690</v>
      </c>
    </row>
    <row r="122" spans="1:17" x14ac:dyDescent="0.25">
      <c r="A122" s="1" t="str">
        <f t="shared" si="1"/>
        <v>342-Efficient Lighting Masters, Inc.</v>
      </c>
      <c r="B122" s="1">
        <v>342</v>
      </c>
      <c r="C122" s="1" t="s">
        <v>2521</v>
      </c>
      <c r="D122" s="1" t="s">
        <v>2522</v>
      </c>
      <c r="E122" s="1" t="s">
        <v>2523</v>
      </c>
      <c r="F122" s="1" t="s">
        <v>2521</v>
      </c>
      <c r="G122" s="1" t="s">
        <v>2291</v>
      </c>
      <c r="H122" s="1" t="s">
        <v>691</v>
      </c>
      <c r="I122" s="1" t="s">
        <v>290</v>
      </c>
      <c r="J122" s="1" t="s">
        <v>692</v>
      </c>
      <c r="L122" t="s">
        <v>693</v>
      </c>
      <c r="M122" t="s">
        <v>100</v>
      </c>
      <c r="N122">
        <v>92887</v>
      </c>
      <c r="O122" t="s">
        <v>694</v>
      </c>
      <c r="P122" t="s">
        <v>695</v>
      </c>
      <c r="Q122" t="s">
        <v>696</v>
      </c>
    </row>
    <row r="123" spans="1:17" x14ac:dyDescent="0.25">
      <c r="A123" s="1" t="str">
        <f t="shared" si="1"/>
        <v>368-Eisenbach Consulting, LLC</v>
      </c>
      <c r="B123" s="1">
        <v>368</v>
      </c>
      <c r="C123" s="1" t="s">
        <v>2524</v>
      </c>
      <c r="D123" s="1" t="s">
        <v>2525</v>
      </c>
      <c r="E123" s="1"/>
      <c r="F123" s="1"/>
      <c r="G123" s="1" t="s">
        <v>2526</v>
      </c>
      <c r="H123" s="1" t="s">
        <v>697</v>
      </c>
      <c r="I123" s="1" t="s">
        <v>698</v>
      </c>
      <c r="J123" s="1" t="s">
        <v>699</v>
      </c>
      <c r="L123" t="s">
        <v>700</v>
      </c>
      <c r="M123" t="s">
        <v>14</v>
      </c>
      <c r="N123">
        <v>75703</v>
      </c>
      <c r="O123" t="s">
        <v>701</v>
      </c>
      <c r="Q123" t="s">
        <v>702</v>
      </c>
    </row>
    <row r="124" spans="1:17" x14ac:dyDescent="0.25">
      <c r="A124" s="1" t="str">
        <f t="shared" si="1"/>
        <v>369-Eisenbach Consulting, LLC</v>
      </c>
      <c r="B124" s="1">
        <v>369</v>
      </c>
      <c r="C124" s="1" t="s">
        <v>2524</v>
      </c>
      <c r="D124" s="1" t="s">
        <v>2525</v>
      </c>
      <c r="E124" s="1"/>
      <c r="F124" s="1"/>
      <c r="G124" s="1" t="s">
        <v>2526</v>
      </c>
      <c r="H124" s="1" t="s">
        <v>697</v>
      </c>
      <c r="I124" s="1" t="s">
        <v>698</v>
      </c>
      <c r="J124" s="1" t="s">
        <v>699</v>
      </c>
      <c r="L124" t="s">
        <v>700</v>
      </c>
      <c r="M124" t="s">
        <v>14</v>
      </c>
      <c r="N124">
        <v>75703</v>
      </c>
      <c r="O124" t="s">
        <v>701</v>
      </c>
      <c r="Q124" t="s">
        <v>702</v>
      </c>
    </row>
    <row r="125" spans="1:17" x14ac:dyDescent="0.25">
      <c r="A125" s="1" t="str">
        <f t="shared" si="1"/>
        <v>622-Electric Works</v>
      </c>
      <c r="B125" s="1">
        <v>622</v>
      </c>
      <c r="C125" s="1" t="s">
        <v>2527</v>
      </c>
      <c r="D125" s="1" t="s">
        <v>2528</v>
      </c>
      <c r="E125" s="1"/>
      <c r="F125" s="1"/>
      <c r="G125" s="1" t="s">
        <v>2529</v>
      </c>
      <c r="H125" s="1" t="s">
        <v>703</v>
      </c>
      <c r="I125" s="1" t="s">
        <v>49</v>
      </c>
      <c r="J125" s="1" t="s">
        <v>704</v>
      </c>
      <c r="L125" t="s">
        <v>13</v>
      </c>
      <c r="M125" t="s">
        <v>14</v>
      </c>
      <c r="N125">
        <v>77045</v>
      </c>
      <c r="O125" t="s">
        <v>705</v>
      </c>
      <c r="Q125" t="s">
        <v>706</v>
      </c>
    </row>
    <row r="126" spans="1:17" x14ac:dyDescent="0.25">
      <c r="A126" s="1" t="str">
        <f t="shared" si="1"/>
        <v>570-EMO Energy Solutions, LLC</v>
      </c>
      <c r="B126" s="1">
        <v>570</v>
      </c>
      <c r="C126" s="1" t="s">
        <v>2530</v>
      </c>
      <c r="D126" s="1" t="s">
        <v>2531</v>
      </c>
      <c r="E126" s="1"/>
      <c r="F126" s="1"/>
      <c r="G126" s="1" t="s">
        <v>2291</v>
      </c>
      <c r="H126" s="1" t="s">
        <v>707</v>
      </c>
      <c r="I126" s="1" t="s">
        <v>708</v>
      </c>
      <c r="J126" s="1" t="s">
        <v>709</v>
      </c>
      <c r="K126" t="s">
        <v>710</v>
      </c>
      <c r="L126" t="s">
        <v>711</v>
      </c>
      <c r="M126" t="s">
        <v>449</v>
      </c>
      <c r="N126">
        <v>22042</v>
      </c>
      <c r="O126" t="s">
        <v>712</v>
      </c>
      <c r="P126" t="s">
        <v>713</v>
      </c>
      <c r="Q126" t="s">
        <v>714</v>
      </c>
    </row>
    <row r="127" spans="1:17" x14ac:dyDescent="0.25">
      <c r="A127" s="1" t="str">
        <f t="shared" si="1"/>
        <v>246-Energy &amp; Lighting Innovations LLC</v>
      </c>
      <c r="B127" s="1">
        <v>246</v>
      </c>
      <c r="C127" s="1" t="s">
        <v>2532</v>
      </c>
      <c r="D127" s="1" t="s">
        <v>2533</v>
      </c>
      <c r="E127" s="1"/>
      <c r="F127" s="1"/>
      <c r="G127" s="1" t="s">
        <v>2215</v>
      </c>
      <c r="H127" s="1" t="s">
        <v>715</v>
      </c>
      <c r="I127" s="1" t="s">
        <v>290</v>
      </c>
      <c r="J127" s="1" t="s">
        <v>716</v>
      </c>
      <c r="L127" t="s">
        <v>398</v>
      </c>
      <c r="M127" t="s">
        <v>14</v>
      </c>
      <c r="N127">
        <v>77386</v>
      </c>
      <c r="O127" t="s">
        <v>717</v>
      </c>
      <c r="Q127" t="s">
        <v>718</v>
      </c>
    </row>
    <row r="128" spans="1:17" x14ac:dyDescent="0.25">
      <c r="A128" s="1" t="str">
        <f t="shared" si="1"/>
        <v>480-Energy Conservation &amp; Supply Inc.</v>
      </c>
      <c r="B128" s="1">
        <v>480</v>
      </c>
      <c r="C128" s="1" t="s">
        <v>2534</v>
      </c>
      <c r="D128" s="1" t="s">
        <v>2535</v>
      </c>
      <c r="E128" s="1"/>
      <c r="F128" s="1"/>
      <c r="G128" s="1" t="s">
        <v>2536</v>
      </c>
      <c r="H128" s="1" t="s">
        <v>719</v>
      </c>
      <c r="I128" s="1" t="s">
        <v>119</v>
      </c>
      <c r="J128" s="1" t="s">
        <v>720</v>
      </c>
      <c r="K128" t="s">
        <v>721</v>
      </c>
      <c r="L128" t="s">
        <v>722</v>
      </c>
      <c r="M128" t="s">
        <v>300</v>
      </c>
      <c r="N128">
        <v>11201</v>
      </c>
      <c r="O128" t="s">
        <v>723</v>
      </c>
      <c r="P128" t="s">
        <v>724</v>
      </c>
      <c r="Q128" t="s">
        <v>725</v>
      </c>
    </row>
    <row r="129" spans="1:17" x14ac:dyDescent="0.25">
      <c r="A129" s="1" t="str">
        <f t="shared" si="1"/>
        <v>535-Energy Design Service Systems</v>
      </c>
      <c r="B129" s="1">
        <v>535</v>
      </c>
      <c r="C129" s="1" t="s">
        <v>2537</v>
      </c>
      <c r="D129" s="1" t="s">
        <v>2538</v>
      </c>
      <c r="E129" s="1"/>
      <c r="F129" s="1"/>
      <c r="G129" s="1" t="s">
        <v>2539</v>
      </c>
      <c r="H129" s="1" t="s">
        <v>320</v>
      </c>
      <c r="I129" s="1" t="s">
        <v>726</v>
      </c>
      <c r="J129" s="1" t="s">
        <v>253</v>
      </c>
      <c r="L129" t="s">
        <v>254</v>
      </c>
      <c r="M129" t="s">
        <v>255</v>
      </c>
      <c r="N129">
        <v>48114</v>
      </c>
      <c r="O129" t="s">
        <v>256</v>
      </c>
      <c r="Q129" t="s">
        <v>323</v>
      </c>
    </row>
    <row r="130" spans="1:17" x14ac:dyDescent="0.25">
      <c r="A130" s="1" t="str">
        <f t="shared" ref="A130:A193" si="2">IF(B130="","",B130&amp;"-"&amp;D130)</f>
        <v>504-Energy Efficiency &amp; Sustainability</v>
      </c>
      <c r="B130" s="1">
        <v>504</v>
      </c>
      <c r="C130" s="1" t="s">
        <v>2540</v>
      </c>
      <c r="D130" s="1" t="s">
        <v>2541</v>
      </c>
      <c r="E130" s="1" t="s">
        <v>2542</v>
      </c>
      <c r="F130" s="1"/>
      <c r="G130" s="1" t="s">
        <v>2543</v>
      </c>
      <c r="H130" s="1" t="s">
        <v>727</v>
      </c>
      <c r="I130" s="1" t="s">
        <v>42</v>
      </c>
      <c r="J130" s="1" t="s">
        <v>728</v>
      </c>
      <c r="K130" t="s">
        <v>729</v>
      </c>
      <c r="L130" t="s">
        <v>730</v>
      </c>
      <c r="M130" t="s">
        <v>14</v>
      </c>
      <c r="N130">
        <v>77041</v>
      </c>
      <c r="O130" t="s">
        <v>731</v>
      </c>
      <c r="P130" t="s">
        <v>732</v>
      </c>
      <c r="Q130" t="s">
        <v>733</v>
      </c>
    </row>
    <row r="131" spans="1:17" x14ac:dyDescent="0.25">
      <c r="A131" s="1" t="str">
        <f t="shared" si="2"/>
        <v>463-Energy Efficiency &amp; Sustainability Consulting</v>
      </c>
      <c r="B131" s="1">
        <v>463</v>
      </c>
      <c r="C131" s="1" t="s">
        <v>2544</v>
      </c>
      <c r="D131" s="1" t="s">
        <v>2545</v>
      </c>
      <c r="E131" s="1"/>
      <c r="F131" s="1"/>
      <c r="G131" s="1" t="s">
        <v>2546</v>
      </c>
      <c r="H131" s="1" t="s">
        <v>734</v>
      </c>
      <c r="I131" s="1" t="s">
        <v>42</v>
      </c>
      <c r="J131" s="1" t="s">
        <v>735</v>
      </c>
      <c r="L131" t="s">
        <v>13</v>
      </c>
      <c r="M131" t="s">
        <v>14</v>
      </c>
      <c r="N131">
        <v>77002</v>
      </c>
      <c r="O131" t="s">
        <v>731</v>
      </c>
      <c r="P131" t="s">
        <v>736</v>
      </c>
      <c r="Q131" t="s">
        <v>737</v>
      </c>
    </row>
    <row r="132" spans="1:17" x14ac:dyDescent="0.25">
      <c r="A132" s="1" t="str">
        <f t="shared" si="2"/>
        <v>464-Energy Efficiency &amp; Sustainability Consulting</v>
      </c>
      <c r="B132" s="1">
        <v>464</v>
      </c>
      <c r="C132" s="1" t="s">
        <v>2544</v>
      </c>
      <c r="D132" s="1" t="s">
        <v>2545</v>
      </c>
      <c r="E132" s="1"/>
      <c r="F132" s="1"/>
      <c r="G132" s="1" t="s">
        <v>2547</v>
      </c>
      <c r="H132" s="1" t="s">
        <v>738</v>
      </c>
      <c r="I132" s="1" t="s">
        <v>42</v>
      </c>
      <c r="J132" s="1" t="s">
        <v>735</v>
      </c>
      <c r="L132" t="s">
        <v>13</v>
      </c>
      <c r="M132" t="s">
        <v>14</v>
      </c>
      <c r="N132">
        <v>77002</v>
      </c>
      <c r="O132" t="s">
        <v>731</v>
      </c>
      <c r="P132" t="s">
        <v>736</v>
      </c>
      <c r="Q132" t="s">
        <v>739</v>
      </c>
    </row>
    <row r="133" spans="1:17" x14ac:dyDescent="0.25">
      <c r="A133" s="1" t="str">
        <f t="shared" si="2"/>
        <v>240-Energy Engineering Associates, Inc.</v>
      </c>
      <c r="B133" s="1">
        <v>240</v>
      </c>
      <c r="C133" s="1" t="s">
        <v>2548</v>
      </c>
      <c r="D133" s="1" t="s">
        <v>2549</v>
      </c>
      <c r="E133" s="1"/>
      <c r="F133" s="1"/>
      <c r="G133" s="1" t="s">
        <v>2550</v>
      </c>
      <c r="H133" s="1" t="s">
        <v>740</v>
      </c>
      <c r="I133" s="1" t="s">
        <v>741</v>
      </c>
      <c r="J133" s="1" t="s">
        <v>742</v>
      </c>
      <c r="L133" t="s">
        <v>107</v>
      </c>
      <c r="M133" t="s">
        <v>14</v>
      </c>
      <c r="N133">
        <v>78730</v>
      </c>
      <c r="O133" t="s">
        <v>743</v>
      </c>
      <c r="P133" t="s">
        <v>744</v>
      </c>
      <c r="Q133" t="s">
        <v>745</v>
      </c>
    </row>
    <row r="134" spans="1:17" x14ac:dyDescent="0.25">
      <c r="A134" s="1" t="str">
        <f t="shared" si="2"/>
        <v>303-Energy Logic / Circuit City Stores, Inc.</v>
      </c>
      <c r="B134" s="1">
        <v>303</v>
      </c>
      <c r="C134" s="1" t="s">
        <v>2551</v>
      </c>
      <c r="D134" s="1" t="s">
        <v>2552</v>
      </c>
      <c r="E134" s="1"/>
      <c r="F134" s="1"/>
      <c r="G134" s="1" t="s">
        <v>2553</v>
      </c>
      <c r="H134" s="1" t="s">
        <v>746</v>
      </c>
      <c r="I134" s="1" t="s">
        <v>747</v>
      </c>
      <c r="J134" s="1" t="s">
        <v>748</v>
      </c>
      <c r="L134" t="s">
        <v>749</v>
      </c>
      <c r="M134" t="s">
        <v>217</v>
      </c>
      <c r="N134">
        <v>2639</v>
      </c>
      <c r="O134" t="s">
        <v>750</v>
      </c>
      <c r="P134" t="s">
        <v>751</v>
      </c>
      <c r="Q134" t="s">
        <v>752</v>
      </c>
    </row>
    <row r="135" spans="1:17" x14ac:dyDescent="0.25">
      <c r="A135" s="1" t="str">
        <f t="shared" si="2"/>
        <v>304-Energy Logic / Staples, Inc.</v>
      </c>
      <c r="B135" s="1">
        <v>304</v>
      </c>
      <c r="C135" s="1" t="s">
        <v>2554</v>
      </c>
      <c r="D135" s="1" t="s">
        <v>2555</v>
      </c>
      <c r="E135" s="1"/>
      <c r="F135" s="1"/>
      <c r="G135" s="1" t="s">
        <v>2556</v>
      </c>
      <c r="H135" s="1" t="s">
        <v>746</v>
      </c>
      <c r="I135" s="1" t="s">
        <v>747</v>
      </c>
      <c r="J135" s="1" t="s">
        <v>748</v>
      </c>
      <c r="L135" t="s">
        <v>749</v>
      </c>
      <c r="M135" t="s">
        <v>217</v>
      </c>
      <c r="N135">
        <v>2639</v>
      </c>
      <c r="O135" t="s">
        <v>750</v>
      </c>
      <c r="P135" t="s">
        <v>751</v>
      </c>
      <c r="Q135" t="s">
        <v>752</v>
      </c>
    </row>
    <row r="136" spans="1:17" x14ac:dyDescent="0.25">
      <c r="A136" s="1" t="str">
        <f t="shared" si="2"/>
        <v>512-Energy Management Collaborative, llc</v>
      </c>
      <c r="B136" s="1">
        <v>512</v>
      </c>
      <c r="C136" s="1" t="s">
        <v>2557</v>
      </c>
      <c r="D136" s="1" t="s">
        <v>2558</v>
      </c>
      <c r="E136" s="1"/>
      <c r="F136" s="1"/>
      <c r="G136" s="1" t="s">
        <v>2559</v>
      </c>
      <c r="H136" s="1" t="s">
        <v>753</v>
      </c>
      <c r="I136" s="1" t="s">
        <v>754</v>
      </c>
      <c r="J136" s="1" t="s">
        <v>755</v>
      </c>
      <c r="L136" t="s">
        <v>756</v>
      </c>
      <c r="M136" t="s">
        <v>411</v>
      </c>
      <c r="N136">
        <v>55446</v>
      </c>
      <c r="O136" t="s">
        <v>757</v>
      </c>
      <c r="P136" t="s">
        <v>758</v>
      </c>
      <c r="Q136" t="s">
        <v>759</v>
      </c>
    </row>
    <row r="137" spans="1:17" x14ac:dyDescent="0.25">
      <c r="A137" s="1" t="str">
        <f t="shared" si="2"/>
        <v>356-Energy Mangement Systems</v>
      </c>
      <c r="B137" s="1">
        <v>356</v>
      </c>
      <c r="C137" s="1" t="s">
        <v>2560</v>
      </c>
      <c r="D137" s="1" t="s">
        <v>2561</v>
      </c>
      <c r="E137" s="1"/>
      <c r="F137" s="1"/>
      <c r="G137" s="1" t="s">
        <v>2562</v>
      </c>
      <c r="H137" s="1" t="s">
        <v>760</v>
      </c>
      <c r="I137" s="1" t="s">
        <v>761</v>
      </c>
      <c r="J137" s="1" t="s">
        <v>762</v>
      </c>
      <c r="K137" t="s">
        <v>763</v>
      </c>
      <c r="L137" t="s">
        <v>764</v>
      </c>
      <c r="M137" t="s">
        <v>660</v>
      </c>
      <c r="N137">
        <v>46240</v>
      </c>
      <c r="O137" t="s">
        <v>765</v>
      </c>
      <c r="P137" t="s">
        <v>766</v>
      </c>
      <c r="Q137" t="s">
        <v>767</v>
      </c>
    </row>
    <row r="138" spans="1:17" x14ac:dyDescent="0.25">
      <c r="A138" s="1" t="str">
        <f t="shared" si="2"/>
        <v>310-Energy Partners Alliance</v>
      </c>
      <c r="B138" s="1">
        <v>310</v>
      </c>
      <c r="C138" s="1" t="s">
        <v>2563</v>
      </c>
      <c r="D138" s="1" t="s">
        <v>2564</v>
      </c>
      <c r="E138" s="1"/>
      <c r="F138" s="1"/>
      <c r="G138" s="1" t="s">
        <v>2520</v>
      </c>
      <c r="H138" s="1" t="s">
        <v>768</v>
      </c>
      <c r="I138" s="1" t="s">
        <v>769</v>
      </c>
      <c r="J138" s="1" t="s">
        <v>770</v>
      </c>
      <c r="L138" t="s">
        <v>293</v>
      </c>
      <c r="M138" t="s">
        <v>14</v>
      </c>
      <c r="N138" t="s">
        <v>771</v>
      </c>
      <c r="O138" t="s">
        <v>772</v>
      </c>
      <c r="Q138" t="s">
        <v>773</v>
      </c>
    </row>
    <row r="139" spans="1:17" x14ac:dyDescent="0.25">
      <c r="A139" s="1" t="str">
        <f t="shared" si="2"/>
        <v>360-Energy Partners Alliance, LLC</v>
      </c>
      <c r="B139" s="1">
        <v>360</v>
      </c>
      <c r="C139" s="1" t="s">
        <v>2565</v>
      </c>
      <c r="D139" s="1" t="s">
        <v>2566</v>
      </c>
      <c r="E139" s="1"/>
      <c r="F139" s="1"/>
      <c r="G139" s="1" t="s">
        <v>2520</v>
      </c>
      <c r="H139" s="1" t="s">
        <v>768</v>
      </c>
      <c r="I139" s="1" t="s">
        <v>774</v>
      </c>
      <c r="J139" s="1" t="s">
        <v>775</v>
      </c>
      <c r="K139" t="s">
        <v>776</v>
      </c>
      <c r="L139" t="s">
        <v>293</v>
      </c>
      <c r="M139" t="s">
        <v>14</v>
      </c>
      <c r="N139">
        <v>75244</v>
      </c>
      <c r="O139" t="s">
        <v>772</v>
      </c>
      <c r="P139" t="s">
        <v>777</v>
      </c>
      <c r="Q139" t="s">
        <v>773</v>
      </c>
    </row>
    <row r="140" spans="1:17" x14ac:dyDescent="0.25">
      <c r="A140" s="1" t="str">
        <f t="shared" si="2"/>
        <v xml:space="preserve">432-Energy Retrofitters, Inc. </v>
      </c>
      <c r="B140" s="1">
        <v>432</v>
      </c>
      <c r="C140" s="1" t="s">
        <v>2567</v>
      </c>
      <c r="D140" s="1" t="s">
        <v>2568</v>
      </c>
      <c r="E140" s="1"/>
      <c r="F140" s="1"/>
      <c r="G140" s="1" t="s">
        <v>2569</v>
      </c>
      <c r="H140" s="1" t="s">
        <v>778</v>
      </c>
      <c r="I140" s="1" t="s">
        <v>290</v>
      </c>
      <c r="J140" s="1" t="s">
        <v>779</v>
      </c>
      <c r="L140" t="s">
        <v>312</v>
      </c>
      <c r="M140" t="s">
        <v>14</v>
      </c>
      <c r="N140">
        <v>76135</v>
      </c>
      <c r="O140" t="s">
        <v>780</v>
      </c>
      <c r="P140" t="s">
        <v>781</v>
      </c>
      <c r="Q140" t="s">
        <v>782</v>
      </c>
    </row>
    <row r="141" spans="1:17" x14ac:dyDescent="0.25">
      <c r="A141" s="1" t="str">
        <f t="shared" si="2"/>
        <v>238-Energy Saving Management Systems (ESMS)</v>
      </c>
      <c r="B141" s="1">
        <v>238</v>
      </c>
      <c r="C141" s="1" t="s">
        <v>2570</v>
      </c>
      <c r="D141" s="1" t="s">
        <v>2571</v>
      </c>
      <c r="E141" s="1"/>
      <c r="F141" s="1"/>
      <c r="G141" s="1" t="s">
        <v>2572</v>
      </c>
      <c r="H141" s="1" t="s">
        <v>783</v>
      </c>
      <c r="I141" s="1" t="s">
        <v>784</v>
      </c>
      <c r="J141" s="1" t="s">
        <v>785</v>
      </c>
      <c r="L141" t="s">
        <v>786</v>
      </c>
      <c r="M141" t="s">
        <v>562</v>
      </c>
      <c r="N141">
        <v>98275</v>
      </c>
      <c r="O141" t="s">
        <v>787</v>
      </c>
      <c r="Q141" t="s">
        <v>788</v>
      </c>
    </row>
    <row r="142" spans="1:17" x14ac:dyDescent="0.25">
      <c r="A142" s="1" t="str">
        <f t="shared" si="2"/>
        <v>284-Energy Saving Strategies</v>
      </c>
      <c r="B142" s="1">
        <v>284</v>
      </c>
      <c r="C142" s="1" t="s">
        <v>2573</v>
      </c>
      <c r="D142" s="1" t="s">
        <v>2574</v>
      </c>
      <c r="E142" s="1" t="s">
        <v>2575</v>
      </c>
      <c r="F142" s="1" t="s">
        <v>2576</v>
      </c>
      <c r="G142" s="1" t="s">
        <v>2577</v>
      </c>
      <c r="H142" s="1" t="s">
        <v>789</v>
      </c>
      <c r="I142" s="1" t="s">
        <v>544</v>
      </c>
      <c r="J142" s="1" t="s">
        <v>790</v>
      </c>
      <c r="L142" t="s">
        <v>791</v>
      </c>
      <c r="M142" t="s">
        <v>14</v>
      </c>
      <c r="N142">
        <v>78633</v>
      </c>
      <c r="O142" t="s">
        <v>792</v>
      </c>
      <c r="P142" t="s">
        <v>793</v>
      </c>
      <c r="Q142" t="s">
        <v>794</v>
      </c>
    </row>
    <row r="143" spans="1:17" x14ac:dyDescent="0.25">
      <c r="A143" s="1" t="str">
        <f t="shared" si="2"/>
        <v>419-Entech Sales and Service, Inc</v>
      </c>
      <c r="B143" s="1">
        <v>419</v>
      </c>
      <c r="C143" s="1" t="s">
        <v>2578</v>
      </c>
      <c r="D143" s="1" t="s">
        <v>2579</v>
      </c>
      <c r="E143" s="1"/>
      <c r="F143" s="1"/>
      <c r="G143" s="1" t="s">
        <v>2580</v>
      </c>
      <c r="H143" s="1" t="s">
        <v>795</v>
      </c>
      <c r="I143" s="1" t="s">
        <v>260</v>
      </c>
      <c r="J143" s="1" t="s">
        <v>796</v>
      </c>
      <c r="L143" t="s">
        <v>13</v>
      </c>
      <c r="M143" t="s">
        <v>14</v>
      </c>
      <c r="N143">
        <v>77039</v>
      </c>
      <c r="O143" t="s">
        <v>797</v>
      </c>
      <c r="P143" t="s">
        <v>798</v>
      </c>
      <c r="Q143" t="s">
        <v>799</v>
      </c>
    </row>
    <row r="144" spans="1:17" x14ac:dyDescent="0.25">
      <c r="A144" s="1" t="str">
        <f t="shared" si="2"/>
        <v>523-Entergy Solutions District Cooling</v>
      </c>
      <c r="B144" s="1">
        <v>523</v>
      </c>
      <c r="C144" s="1" t="s">
        <v>2581</v>
      </c>
      <c r="D144" s="1" t="s">
        <v>2582</v>
      </c>
      <c r="E144" s="1"/>
      <c r="F144" s="1"/>
      <c r="G144" s="1" t="s">
        <v>2280</v>
      </c>
      <c r="H144" s="1" t="s">
        <v>800</v>
      </c>
      <c r="I144" s="1" t="s">
        <v>801</v>
      </c>
      <c r="J144" s="1" t="s">
        <v>802</v>
      </c>
      <c r="L144" t="s">
        <v>803</v>
      </c>
      <c r="M144" t="s">
        <v>14</v>
      </c>
      <c r="N144">
        <v>77002</v>
      </c>
      <c r="O144" t="s">
        <v>804</v>
      </c>
      <c r="Q144" t="s">
        <v>805</v>
      </c>
    </row>
    <row r="145" spans="1:17" x14ac:dyDescent="0.25">
      <c r="A145" s="1" t="str">
        <f t="shared" si="2"/>
        <v>507-ENVIROLITE LLC</v>
      </c>
      <c r="B145" s="1">
        <v>507</v>
      </c>
      <c r="C145" s="1" t="s">
        <v>2583</v>
      </c>
      <c r="D145" s="1" t="s">
        <v>2584</v>
      </c>
      <c r="E145" s="1"/>
      <c r="F145" s="1"/>
      <c r="G145" s="1" t="s">
        <v>2585</v>
      </c>
      <c r="H145" s="1" t="s">
        <v>806</v>
      </c>
      <c r="I145" s="1" t="s">
        <v>290</v>
      </c>
      <c r="J145" s="1" t="s">
        <v>807</v>
      </c>
      <c r="L145" t="s">
        <v>808</v>
      </c>
      <c r="M145" t="s">
        <v>14</v>
      </c>
      <c r="N145">
        <v>75093</v>
      </c>
      <c r="O145" t="s">
        <v>809</v>
      </c>
      <c r="P145" t="s">
        <v>810</v>
      </c>
      <c r="Q145" t="s">
        <v>811</v>
      </c>
    </row>
    <row r="146" spans="1:17" x14ac:dyDescent="0.25">
      <c r="A146" s="1" t="str">
        <f t="shared" si="2"/>
        <v>429-ESA Energy Systems Associates, Inc.</v>
      </c>
      <c r="B146" s="1">
        <v>429</v>
      </c>
      <c r="C146" s="1" t="s">
        <v>2586</v>
      </c>
      <c r="D146" s="1" t="s">
        <v>2587</v>
      </c>
      <c r="E146" s="1" t="s">
        <v>2588</v>
      </c>
      <c r="F146" s="1" t="s">
        <v>2586</v>
      </c>
      <c r="G146" s="1" t="s">
        <v>2526</v>
      </c>
      <c r="H146" s="1" t="s">
        <v>812</v>
      </c>
      <c r="I146" s="1" t="s">
        <v>813</v>
      </c>
      <c r="J146" s="1" t="s">
        <v>814</v>
      </c>
      <c r="K146" t="s">
        <v>815</v>
      </c>
      <c r="L146" t="s">
        <v>13</v>
      </c>
      <c r="M146" t="s">
        <v>14</v>
      </c>
      <c r="N146">
        <v>77043</v>
      </c>
      <c r="O146" t="s">
        <v>816</v>
      </c>
      <c r="P146" t="s">
        <v>817</v>
      </c>
      <c r="Q146" t="s">
        <v>818</v>
      </c>
    </row>
    <row r="147" spans="1:17" x14ac:dyDescent="0.25">
      <c r="A147" s="1" t="str">
        <f t="shared" si="2"/>
        <v>623-ESCO Energy Services Company</v>
      </c>
      <c r="B147" s="1">
        <v>623</v>
      </c>
      <c r="C147" s="1" t="s">
        <v>2589</v>
      </c>
      <c r="D147" s="1" t="s">
        <v>2590</v>
      </c>
      <c r="E147" s="1"/>
      <c r="F147" s="1"/>
      <c r="G147" s="1" t="s">
        <v>2591</v>
      </c>
      <c r="H147" s="1" t="s">
        <v>819</v>
      </c>
      <c r="I147" s="1" t="s">
        <v>290</v>
      </c>
      <c r="J147" s="1" t="s">
        <v>820</v>
      </c>
      <c r="L147" t="s">
        <v>821</v>
      </c>
      <c r="M147" t="s">
        <v>217</v>
      </c>
      <c r="N147">
        <v>1240</v>
      </c>
      <c r="O147" t="s">
        <v>822</v>
      </c>
      <c r="P147" t="s">
        <v>823</v>
      </c>
      <c r="Q147" t="s">
        <v>824</v>
      </c>
    </row>
    <row r="148" spans="1:17" x14ac:dyDescent="0.25">
      <c r="A148" s="1" t="str">
        <f t="shared" si="2"/>
        <v>250-Essential Energy Services, Inc</v>
      </c>
      <c r="B148" s="1">
        <v>250</v>
      </c>
      <c r="C148" s="1" t="s">
        <v>2592</v>
      </c>
      <c r="D148" s="1" t="s">
        <v>2593</v>
      </c>
      <c r="E148" s="1"/>
      <c r="F148" s="1"/>
      <c r="G148" s="1" t="s">
        <v>2594</v>
      </c>
      <c r="H148" s="1" t="s">
        <v>825</v>
      </c>
      <c r="I148" s="1" t="s">
        <v>290</v>
      </c>
      <c r="J148" s="1" t="s">
        <v>826</v>
      </c>
      <c r="L148" t="s">
        <v>827</v>
      </c>
      <c r="M148" t="s">
        <v>14</v>
      </c>
      <c r="N148">
        <v>76207</v>
      </c>
      <c r="O148" t="s">
        <v>828</v>
      </c>
      <c r="Q148" t="s">
        <v>829</v>
      </c>
    </row>
    <row r="149" spans="1:17" x14ac:dyDescent="0.25">
      <c r="A149" s="1" t="str">
        <f t="shared" si="2"/>
        <v>287-Essential Energy Services, Inc</v>
      </c>
      <c r="B149" s="1">
        <v>287</v>
      </c>
      <c r="C149" s="1" t="s">
        <v>2595</v>
      </c>
      <c r="D149" s="1" t="s">
        <v>2593</v>
      </c>
      <c r="E149" s="1"/>
      <c r="F149" s="1"/>
      <c r="G149" s="1" t="s">
        <v>2189</v>
      </c>
      <c r="H149" s="1" t="s">
        <v>830</v>
      </c>
      <c r="I149" s="1" t="s">
        <v>119</v>
      </c>
      <c r="J149" s="1" t="s">
        <v>826</v>
      </c>
      <c r="L149" t="s">
        <v>827</v>
      </c>
      <c r="M149" t="s">
        <v>14</v>
      </c>
      <c r="N149">
        <v>76207</v>
      </c>
      <c r="O149" t="s">
        <v>828</v>
      </c>
      <c r="Q149" t="s">
        <v>831</v>
      </c>
    </row>
    <row r="150" spans="1:17" x14ac:dyDescent="0.25">
      <c r="A150" s="1" t="str">
        <f t="shared" si="2"/>
        <v>228-E-Tex Energy Systems LLC</v>
      </c>
      <c r="B150" s="1">
        <v>228</v>
      </c>
      <c r="C150" s="1" t="s">
        <v>2596</v>
      </c>
      <c r="D150" s="1" t="s">
        <v>2597</v>
      </c>
      <c r="E150" s="1"/>
      <c r="F150" s="1"/>
      <c r="G150" s="1" t="s">
        <v>2598</v>
      </c>
      <c r="H150" s="1" t="s">
        <v>832</v>
      </c>
      <c r="I150" s="1" t="s">
        <v>833</v>
      </c>
      <c r="J150" s="1" t="s">
        <v>834</v>
      </c>
      <c r="L150" t="s">
        <v>13</v>
      </c>
      <c r="M150" t="s">
        <v>14</v>
      </c>
      <c r="N150">
        <v>77007</v>
      </c>
      <c r="O150" t="s">
        <v>835</v>
      </c>
      <c r="Q150" t="s">
        <v>836</v>
      </c>
    </row>
    <row r="151" spans="1:17" x14ac:dyDescent="0.25">
      <c r="A151" s="1" t="str">
        <f t="shared" si="2"/>
        <v>374-Evaporcool Solutions, LLC</v>
      </c>
      <c r="B151" s="1">
        <v>374</v>
      </c>
      <c r="C151" s="1" t="s">
        <v>2599</v>
      </c>
      <c r="D151" s="1" t="s">
        <v>2600</v>
      </c>
      <c r="E151" s="1"/>
      <c r="F151" s="1"/>
      <c r="G151" s="1" t="s">
        <v>2601</v>
      </c>
      <c r="H151" s="1" t="s">
        <v>837</v>
      </c>
      <c r="I151" s="1" t="s">
        <v>838</v>
      </c>
      <c r="J151" s="1" t="s">
        <v>839</v>
      </c>
      <c r="L151" t="s">
        <v>840</v>
      </c>
      <c r="M151" t="s">
        <v>841</v>
      </c>
      <c r="N151">
        <v>38134</v>
      </c>
      <c r="O151" t="s">
        <v>842</v>
      </c>
      <c r="Q151" t="s">
        <v>843</v>
      </c>
    </row>
    <row r="152" spans="1:17" x14ac:dyDescent="0.25">
      <c r="A152" s="1" t="str">
        <f t="shared" si="2"/>
        <v>319-Exel</v>
      </c>
      <c r="B152" s="1">
        <v>319</v>
      </c>
      <c r="C152" s="1" t="s">
        <v>2602</v>
      </c>
      <c r="D152" s="1" t="s">
        <v>2603</v>
      </c>
      <c r="E152" s="1"/>
      <c r="F152" s="1"/>
      <c r="G152" s="1" t="s">
        <v>2268</v>
      </c>
      <c r="H152" s="1" t="s">
        <v>844</v>
      </c>
      <c r="I152" s="1" t="s">
        <v>845</v>
      </c>
      <c r="J152" s="1" t="s">
        <v>846</v>
      </c>
      <c r="L152" t="s">
        <v>847</v>
      </c>
      <c r="M152" t="s">
        <v>652</v>
      </c>
      <c r="N152">
        <v>43082</v>
      </c>
      <c r="O152" t="s">
        <v>848</v>
      </c>
      <c r="Q152" t="s">
        <v>849</v>
      </c>
    </row>
    <row r="153" spans="1:17" x14ac:dyDescent="0.25">
      <c r="A153" s="1" t="str">
        <f t="shared" si="2"/>
        <v>289-Expert Energy Services</v>
      </c>
      <c r="B153" s="1">
        <v>289</v>
      </c>
      <c r="C153" s="1" t="s">
        <v>2604</v>
      </c>
      <c r="D153" s="1" t="s">
        <v>2605</v>
      </c>
      <c r="E153" s="1"/>
      <c r="F153" s="1"/>
      <c r="G153" s="1" t="s">
        <v>2291</v>
      </c>
      <c r="H153" s="1" t="s">
        <v>691</v>
      </c>
      <c r="I153" s="1" t="s">
        <v>49</v>
      </c>
      <c r="J153" s="1" t="s">
        <v>850</v>
      </c>
      <c r="L153" t="s">
        <v>13</v>
      </c>
      <c r="M153" t="s">
        <v>14</v>
      </c>
      <c r="N153" t="s">
        <v>851</v>
      </c>
      <c r="O153" t="s">
        <v>852</v>
      </c>
      <c r="P153" t="s">
        <v>853</v>
      </c>
      <c r="Q153" t="s">
        <v>854</v>
      </c>
    </row>
    <row r="154" spans="1:17" x14ac:dyDescent="0.25">
      <c r="A154" s="1" t="str">
        <f t="shared" si="2"/>
        <v>626-Express Electrical Services</v>
      </c>
      <c r="B154" s="1">
        <v>626</v>
      </c>
      <c r="C154" s="1" t="s">
        <v>2606</v>
      </c>
      <c r="D154" s="1" t="s">
        <v>2607</v>
      </c>
      <c r="E154" s="1"/>
      <c r="F154" s="1"/>
      <c r="G154" s="1" t="s">
        <v>2608</v>
      </c>
      <c r="H154" s="1" t="s">
        <v>855</v>
      </c>
      <c r="I154" s="1" t="s">
        <v>403</v>
      </c>
      <c r="J154" s="1" t="s">
        <v>856</v>
      </c>
      <c r="L154" t="s">
        <v>13</v>
      </c>
      <c r="M154" t="s">
        <v>14</v>
      </c>
      <c r="N154">
        <v>77015</v>
      </c>
      <c r="O154" t="s">
        <v>857</v>
      </c>
      <c r="Q154" t="s">
        <v>858</v>
      </c>
    </row>
    <row r="155" spans="1:17" x14ac:dyDescent="0.25">
      <c r="A155" s="1" t="str">
        <f t="shared" si="2"/>
        <v>410-Facilities Mechanical, Inc.</v>
      </c>
      <c r="B155" s="1">
        <v>410</v>
      </c>
      <c r="C155" s="1" t="s">
        <v>2609</v>
      </c>
      <c r="D155" s="1" t="s">
        <v>2610</v>
      </c>
      <c r="E155" s="1"/>
      <c r="F155" s="1"/>
      <c r="G155" s="1" t="s">
        <v>2380</v>
      </c>
      <c r="H155" s="1" t="s">
        <v>859</v>
      </c>
      <c r="I155" s="1" t="s">
        <v>860</v>
      </c>
      <c r="J155" s="1" t="s">
        <v>861</v>
      </c>
      <c r="L155" t="s">
        <v>13</v>
      </c>
      <c r="M155" t="s">
        <v>14</v>
      </c>
      <c r="N155">
        <v>77041</v>
      </c>
      <c r="O155" t="s">
        <v>862</v>
      </c>
      <c r="P155">
        <v>7133331703</v>
      </c>
      <c r="Q155" t="s">
        <v>863</v>
      </c>
    </row>
    <row r="156" spans="1:17" x14ac:dyDescent="0.25">
      <c r="A156" s="1" t="str">
        <f t="shared" si="2"/>
        <v>357-Facility Solutions Group</v>
      </c>
      <c r="B156" s="1">
        <v>357</v>
      </c>
      <c r="C156" s="1" t="s">
        <v>2611</v>
      </c>
      <c r="D156" s="1" t="s">
        <v>2273</v>
      </c>
      <c r="E156" s="1"/>
      <c r="F156" s="1"/>
      <c r="G156" s="1" t="s">
        <v>2612</v>
      </c>
      <c r="H156" s="1" t="s">
        <v>864</v>
      </c>
      <c r="I156" s="1" t="s">
        <v>865</v>
      </c>
      <c r="J156" s="1" t="s">
        <v>191</v>
      </c>
      <c r="L156" t="s">
        <v>13</v>
      </c>
      <c r="M156" t="s">
        <v>14</v>
      </c>
      <c r="N156">
        <v>77040</v>
      </c>
      <c r="O156" t="s">
        <v>192</v>
      </c>
      <c r="Q156" t="s">
        <v>866</v>
      </c>
    </row>
    <row r="157" spans="1:17" x14ac:dyDescent="0.25">
      <c r="A157" s="1" t="str">
        <f t="shared" si="2"/>
        <v>417-FE2 Solutions</v>
      </c>
      <c r="B157" s="1">
        <v>417</v>
      </c>
      <c r="C157" s="1" t="s">
        <v>2613</v>
      </c>
      <c r="D157" s="1" t="s">
        <v>2614</v>
      </c>
      <c r="E157" s="1"/>
      <c r="F157" s="1"/>
      <c r="G157" s="1" t="s">
        <v>2615</v>
      </c>
      <c r="H157" s="1" t="s">
        <v>867</v>
      </c>
      <c r="I157" s="1" t="s">
        <v>868</v>
      </c>
      <c r="J157" s="1" t="s">
        <v>869</v>
      </c>
      <c r="L157" t="s">
        <v>496</v>
      </c>
      <c r="M157" t="s">
        <v>14</v>
      </c>
      <c r="N157">
        <v>77584</v>
      </c>
      <c r="O157" t="s">
        <v>870</v>
      </c>
      <c r="Q157" t="s">
        <v>871</v>
      </c>
    </row>
    <row r="158" spans="1:17" x14ac:dyDescent="0.25">
      <c r="A158" s="1" t="str">
        <f t="shared" si="2"/>
        <v>547-Federal Reserve Bank of Dallas- Houston office</v>
      </c>
      <c r="B158" s="1">
        <v>547</v>
      </c>
      <c r="C158" s="1" t="s">
        <v>2616</v>
      </c>
      <c r="D158" s="1" t="s">
        <v>2617</v>
      </c>
      <c r="E158" s="1"/>
      <c r="F158" s="1"/>
      <c r="G158" s="1" t="s">
        <v>2618</v>
      </c>
      <c r="H158" s="1" t="s">
        <v>872</v>
      </c>
      <c r="I158" s="1" t="s">
        <v>873</v>
      </c>
      <c r="J158" s="1" t="s">
        <v>874</v>
      </c>
      <c r="L158" t="s">
        <v>13</v>
      </c>
      <c r="M158" t="s">
        <v>14</v>
      </c>
      <c r="N158">
        <v>77019</v>
      </c>
      <c r="O158" t="s">
        <v>875</v>
      </c>
      <c r="Q158" t="s">
        <v>876</v>
      </c>
    </row>
    <row r="159" spans="1:17" x14ac:dyDescent="0.25">
      <c r="A159" s="1" t="str">
        <f t="shared" si="2"/>
        <v>440-Fine Line Electric</v>
      </c>
      <c r="B159" s="1">
        <v>440</v>
      </c>
      <c r="C159" s="1" t="s">
        <v>2619</v>
      </c>
      <c r="D159" s="1" t="s">
        <v>2620</v>
      </c>
      <c r="E159" s="1"/>
      <c r="F159" s="1"/>
      <c r="G159" s="1" t="s">
        <v>2621</v>
      </c>
      <c r="H159" s="1" t="s">
        <v>877</v>
      </c>
      <c r="I159" s="1" t="s">
        <v>878</v>
      </c>
      <c r="J159" s="1" t="s">
        <v>879</v>
      </c>
      <c r="L159" t="s">
        <v>74</v>
      </c>
      <c r="M159" t="s">
        <v>75</v>
      </c>
      <c r="N159">
        <v>33064</v>
      </c>
      <c r="O159" t="s">
        <v>880</v>
      </c>
      <c r="Q159" t="s">
        <v>881</v>
      </c>
    </row>
    <row r="160" spans="1:17" x14ac:dyDescent="0.25">
      <c r="A160" s="1" t="str">
        <f t="shared" si="2"/>
        <v>631-Fine Line Electric</v>
      </c>
      <c r="B160">
        <v>631</v>
      </c>
      <c r="D160" t="s">
        <v>2620</v>
      </c>
      <c r="G160" t="s">
        <v>3413</v>
      </c>
      <c r="H160" t="s">
        <v>3414</v>
      </c>
      <c r="J160" t="s">
        <v>879</v>
      </c>
      <c r="L160" t="s">
        <v>74</v>
      </c>
      <c r="M160" t="s">
        <v>75</v>
      </c>
      <c r="N160">
        <v>33064</v>
      </c>
      <c r="O160" t="s">
        <v>880</v>
      </c>
      <c r="Q160" t="s">
        <v>881</v>
      </c>
    </row>
    <row r="161" spans="1:17" x14ac:dyDescent="0.25">
      <c r="A161" s="1" t="str">
        <f t="shared" si="2"/>
        <v>509-First United Methodist Church Katy</v>
      </c>
      <c r="B161" s="1">
        <v>509</v>
      </c>
      <c r="C161" s="1" t="s">
        <v>2622</v>
      </c>
      <c r="D161" s="1" t="s">
        <v>2623</v>
      </c>
      <c r="E161" s="1"/>
      <c r="F161" s="1"/>
      <c r="G161" s="1" t="s">
        <v>2624</v>
      </c>
      <c r="H161" s="1" t="s">
        <v>882</v>
      </c>
      <c r="I161" s="1" t="s">
        <v>883</v>
      </c>
      <c r="J161" s="1" t="s">
        <v>884</v>
      </c>
      <c r="L161" t="s">
        <v>885</v>
      </c>
      <c r="M161" t="s">
        <v>14</v>
      </c>
      <c r="N161">
        <v>77493</v>
      </c>
      <c r="O161" t="s">
        <v>886</v>
      </c>
      <c r="P161" t="s">
        <v>887</v>
      </c>
      <c r="Q161" t="s">
        <v>888</v>
      </c>
    </row>
    <row r="162" spans="1:17" x14ac:dyDescent="0.25">
      <c r="A162" s="1" t="str">
        <f t="shared" si="2"/>
        <v>503-Fluor Enterprises, Inc</v>
      </c>
      <c r="B162" s="1">
        <v>503</v>
      </c>
      <c r="C162" s="1" t="s">
        <v>2625</v>
      </c>
      <c r="D162" s="1" t="s">
        <v>2626</v>
      </c>
      <c r="E162" s="1"/>
      <c r="F162" s="1"/>
      <c r="G162" s="1" t="s">
        <v>2215</v>
      </c>
      <c r="H162" s="1" t="s">
        <v>889</v>
      </c>
      <c r="I162" s="1" t="s">
        <v>890</v>
      </c>
      <c r="J162" s="1" t="s">
        <v>891</v>
      </c>
      <c r="K162" t="s">
        <v>892</v>
      </c>
      <c r="L162" t="s">
        <v>893</v>
      </c>
      <c r="M162" t="s">
        <v>894</v>
      </c>
      <c r="N162">
        <v>29607</v>
      </c>
      <c r="O162" t="s">
        <v>895</v>
      </c>
      <c r="Q162" t="s">
        <v>896</v>
      </c>
    </row>
    <row r="163" spans="1:17" x14ac:dyDescent="0.25">
      <c r="A163" s="1" t="str">
        <f t="shared" si="2"/>
        <v>472-Flux Drive, Inc</v>
      </c>
      <c r="B163" s="1">
        <v>472</v>
      </c>
      <c r="C163" s="1" t="s">
        <v>2627</v>
      </c>
      <c r="D163" s="1" t="s">
        <v>2628</v>
      </c>
      <c r="E163" s="1"/>
      <c r="F163" s="1"/>
      <c r="G163" s="1" t="s">
        <v>2629</v>
      </c>
      <c r="H163" s="1" t="s">
        <v>897</v>
      </c>
      <c r="I163" s="1" t="s">
        <v>898</v>
      </c>
      <c r="J163" s="1" t="s">
        <v>899</v>
      </c>
      <c r="K163" t="s">
        <v>900</v>
      </c>
      <c r="L163" t="s">
        <v>901</v>
      </c>
      <c r="M163" t="s">
        <v>562</v>
      </c>
      <c r="N163">
        <v>98390</v>
      </c>
      <c r="O163" t="s">
        <v>902</v>
      </c>
      <c r="P163" t="s">
        <v>902</v>
      </c>
      <c r="Q163" t="s">
        <v>903</v>
      </c>
    </row>
    <row r="164" spans="1:17" x14ac:dyDescent="0.25">
      <c r="A164" s="1" t="str">
        <f t="shared" si="2"/>
        <v>642-Forza Energy, LLC</v>
      </c>
      <c r="B164">
        <v>642</v>
      </c>
      <c r="D164" t="s">
        <v>8057</v>
      </c>
      <c r="G164" t="s">
        <v>8058</v>
      </c>
      <c r="H164" t="s">
        <v>8059</v>
      </c>
      <c r="J164" t="s">
        <v>8060</v>
      </c>
      <c r="L164" t="s">
        <v>8061</v>
      </c>
      <c r="M164" t="s">
        <v>8065</v>
      </c>
      <c r="N164" s="22" t="s">
        <v>8062</v>
      </c>
      <c r="O164" t="s">
        <v>8063</v>
      </c>
      <c r="Q164" t="s">
        <v>8064</v>
      </c>
    </row>
    <row r="165" spans="1:17" x14ac:dyDescent="0.25">
      <c r="A165" s="1" t="str">
        <f t="shared" si="2"/>
        <v>437-Frito Lay Inc.</v>
      </c>
      <c r="B165" s="1">
        <v>437</v>
      </c>
      <c r="C165" s="1" t="s">
        <v>2630</v>
      </c>
      <c r="D165" s="1" t="s">
        <v>2631</v>
      </c>
      <c r="E165" s="1"/>
      <c r="F165" s="1"/>
      <c r="G165" s="1" t="s">
        <v>2409</v>
      </c>
      <c r="H165" s="1" t="s">
        <v>904</v>
      </c>
      <c r="I165" s="1" t="s">
        <v>905</v>
      </c>
      <c r="J165" s="1" t="s">
        <v>906</v>
      </c>
      <c r="L165" t="s">
        <v>907</v>
      </c>
      <c r="M165" t="s">
        <v>14</v>
      </c>
      <c r="N165">
        <v>77471</v>
      </c>
      <c r="O165" t="s">
        <v>908</v>
      </c>
      <c r="P165" t="s">
        <v>909</v>
      </c>
      <c r="Q165" t="s">
        <v>910</v>
      </c>
    </row>
    <row r="166" spans="1:17" x14ac:dyDescent="0.25">
      <c r="A166" s="1" t="str">
        <f t="shared" si="2"/>
        <v>232-Frontier Testing</v>
      </c>
      <c r="B166" s="1">
        <v>232</v>
      </c>
      <c r="C166" s="1" t="s">
        <v>2632</v>
      </c>
      <c r="D166" s="1" t="s">
        <v>911</v>
      </c>
      <c r="E166" s="1"/>
      <c r="F166" s="1"/>
      <c r="G166" s="1" t="s">
        <v>911</v>
      </c>
      <c r="H166" s="1" t="s">
        <v>911</v>
      </c>
      <c r="I166" s="1" t="s">
        <v>911</v>
      </c>
      <c r="J166" s="1" t="s">
        <v>911</v>
      </c>
      <c r="L166" t="s">
        <v>911</v>
      </c>
      <c r="M166" t="s">
        <v>14</v>
      </c>
      <c r="N166">
        <v>12345</v>
      </c>
      <c r="O166" t="s">
        <v>912</v>
      </c>
      <c r="Q166" t="s">
        <v>913</v>
      </c>
    </row>
    <row r="167" spans="1:17" x14ac:dyDescent="0.25">
      <c r="A167" s="1" t="str">
        <f t="shared" si="2"/>
        <v>271-FSG Lighting</v>
      </c>
      <c r="B167" s="1">
        <v>271</v>
      </c>
      <c r="C167" s="1" t="s">
        <v>2633</v>
      </c>
      <c r="D167" s="1" t="s">
        <v>2634</v>
      </c>
      <c r="E167" s="1" t="s">
        <v>2273</v>
      </c>
      <c r="F167" s="1" t="s">
        <v>2633</v>
      </c>
      <c r="G167" s="1" t="s">
        <v>2635</v>
      </c>
      <c r="H167" s="1" t="s">
        <v>914</v>
      </c>
      <c r="I167" s="1" t="s">
        <v>176</v>
      </c>
      <c r="J167" s="1" t="s">
        <v>915</v>
      </c>
      <c r="K167" t="s">
        <v>916</v>
      </c>
      <c r="L167" t="s">
        <v>917</v>
      </c>
      <c r="M167" t="s">
        <v>14</v>
      </c>
      <c r="N167">
        <v>75229</v>
      </c>
      <c r="O167" t="s">
        <v>918</v>
      </c>
      <c r="P167" t="s">
        <v>919</v>
      </c>
      <c r="Q167" t="s">
        <v>920</v>
      </c>
    </row>
    <row r="168" spans="1:17" x14ac:dyDescent="0.25">
      <c r="A168" s="1" t="str">
        <f t="shared" si="2"/>
        <v>267-G&amp;R Electrical Construction, Inc.</v>
      </c>
      <c r="B168" s="1">
        <v>267</v>
      </c>
      <c r="C168" s="1" t="s">
        <v>2636</v>
      </c>
      <c r="D168" s="1" t="s">
        <v>2637</v>
      </c>
      <c r="E168" s="1"/>
      <c r="F168" s="1"/>
      <c r="G168" s="1" t="s">
        <v>2638</v>
      </c>
      <c r="H168" s="1" t="s">
        <v>921</v>
      </c>
      <c r="I168" s="1" t="s">
        <v>922</v>
      </c>
      <c r="J168" s="1" t="s">
        <v>923</v>
      </c>
      <c r="L168" t="s">
        <v>13</v>
      </c>
      <c r="M168" t="s">
        <v>14</v>
      </c>
      <c r="N168">
        <v>77041</v>
      </c>
      <c r="O168" t="s">
        <v>924</v>
      </c>
      <c r="P168" t="s">
        <v>925</v>
      </c>
      <c r="Q168" t="s">
        <v>926</v>
      </c>
    </row>
    <row r="169" spans="1:17" x14ac:dyDescent="0.25">
      <c r="A169" s="1" t="str">
        <f t="shared" si="2"/>
        <v>563-Gap inc</v>
      </c>
      <c r="B169" s="1">
        <v>563</v>
      </c>
      <c r="C169" s="1" t="s">
        <v>2639</v>
      </c>
      <c r="D169" s="1" t="s">
        <v>2640</v>
      </c>
      <c r="E169" s="1"/>
      <c r="F169" s="1" t="s">
        <v>2641</v>
      </c>
      <c r="G169" s="1" t="s">
        <v>2642</v>
      </c>
      <c r="H169" s="1" t="s">
        <v>927</v>
      </c>
      <c r="I169" s="1" t="s">
        <v>928</v>
      </c>
      <c r="J169" s="1" t="s">
        <v>929</v>
      </c>
      <c r="L169" t="s">
        <v>930</v>
      </c>
      <c r="M169" t="s">
        <v>681</v>
      </c>
      <c r="N169">
        <v>28273</v>
      </c>
      <c r="O169" t="s">
        <v>931</v>
      </c>
      <c r="Q169" t="s">
        <v>932</v>
      </c>
    </row>
    <row r="170" spans="1:17" x14ac:dyDescent="0.25">
      <c r="A170" s="1" t="str">
        <f t="shared" si="2"/>
        <v>375-Garden Ridge LP</v>
      </c>
      <c r="B170" s="1">
        <v>375</v>
      </c>
      <c r="C170" s="1" t="s">
        <v>2643</v>
      </c>
      <c r="D170" s="1" t="s">
        <v>2644</v>
      </c>
      <c r="E170" s="1"/>
      <c r="F170" s="1"/>
      <c r="G170" s="1" t="s">
        <v>2645</v>
      </c>
      <c r="H170" s="1" t="s">
        <v>933</v>
      </c>
      <c r="I170" s="1" t="s">
        <v>934</v>
      </c>
      <c r="J170" s="1" t="s">
        <v>935</v>
      </c>
      <c r="K170" t="s">
        <v>936</v>
      </c>
      <c r="L170" t="s">
        <v>730</v>
      </c>
      <c r="M170" t="s">
        <v>14</v>
      </c>
      <c r="N170">
        <v>77057</v>
      </c>
      <c r="O170" t="s">
        <v>937</v>
      </c>
      <c r="Q170" t="s">
        <v>938</v>
      </c>
    </row>
    <row r="171" spans="1:17" x14ac:dyDescent="0.25">
      <c r="A171" s="1" t="str">
        <f t="shared" si="2"/>
        <v>424-General Supply &amp; Services dba Gexpro</v>
      </c>
      <c r="B171" s="1">
        <v>424</v>
      </c>
      <c r="C171" s="1" t="s">
        <v>2646</v>
      </c>
      <c r="D171" s="1" t="s">
        <v>2647</v>
      </c>
      <c r="E171" s="1"/>
      <c r="F171" s="1"/>
      <c r="G171" s="1" t="s">
        <v>2648</v>
      </c>
      <c r="H171" s="1" t="s">
        <v>939</v>
      </c>
      <c r="I171" s="1" t="s">
        <v>940</v>
      </c>
      <c r="J171" s="1" t="s">
        <v>941</v>
      </c>
      <c r="L171" t="s">
        <v>13</v>
      </c>
      <c r="M171" t="s">
        <v>14</v>
      </c>
      <c r="N171">
        <v>77092</v>
      </c>
      <c r="O171" t="s">
        <v>942</v>
      </c>
      <c r="Q171" t="s">
        <v>943</v>
      </c>
    </row>
    <row r="172" spans="1:17" x14ac:dyDescent="0.25">
      <c r="A172" s="1" t="str">
        <f t="shared" si="2"/>
        <v>499-Goodrum Investments</v>
      </c>
      <c r="B172" s="1">
        <v>499</v>
      </c>
      <c r="C172" s="1" t="s">
        <v>2649</v>
      </c>
      <c r="D172" s="1" t="s">
        <v>2650</v>
      </c>
      <c r="E172" s="1"/>
      <c r="F172" s="1"/>
      <c r="G172" s="1" t="s">
        <v>2651</v>
      </c>
      <c r="H172" s="1" t="s">
        <v>944</v>
      </c>
      <c r="I172" s="1" t="s">
        <v>290</v>
      </c>
      <c r="J172" s="1" t="s">
        <v>945</v>
      </c>
      <c r="L172" t="s">
        <v>946</v>
      </c>
      <c r="M172" t="s">
        <v>14</v>
      </c>
      <c r="N172">
        <v>77562</v>
      </c>
      <c r="O172" t="s">
        <v>947</v>
      </c>
      <c r="P172" t="s">
        <v>948</v>
      </c>
      <c r="Q172" t="s">
        <v>949</v>
      </c>
    </row>
    <row r="173" spans="1:17" x14ac:dyDescent="0.25">
      <c r="A173" s="1" t="str">
        <f t="shared" si="2"/>
        <v>641-Graybar</v>
      </c>
      <c r="B173">
        <v>641</v>
      </c>
      <c r="D173" t="s">
        <v>8053</v>
      </c>
      <c r="G173" t="s">
        <v>2215</v>
      </c>
      <c r="H173" t="s">
        <v>7970</v>
      </c>
      <c r="J173" t="s">
        <v>952</v>
      </c>
      <c r="L173" t="s">
        <v>13</v>
      </c>
      <c r="M173" t="s">
        <v>14</v>
      </c>
      <c r="N173" s="22" t="s">
        <v>8054</v>
      </c>
      <c r="O173" t="s">
        <v>8055</v>
      </c>
      <c r="Q173" t="s">
        <v>8056</v>
      </c>
    </row>
    <row r="174" spans="1:17" x14ac:dyDescent="0.25">
      <c r="A174" s="1" t="str">
        <f t="shared" si="2"/>
        <v>510-Graybar Electric Company</v>
      </c>
      <c r="B174" s="1">
        <v>510</v>
      </c>
      <c r="C174" s="1" t="s">
        <v>2652</v>
      </c>
      <c r="D174" s="1" t="s">
        <v>2653</v>
      </c>
      <c r="E174" s="1"/>
      <c r="F174" s="1"/>
      <c r="G174" s="1" t="s">
        <v>1897</v>
      </c>
      <c r="H174" s="1" t="s">
        <v>950</v>
      </c>
      <c r="I174" s="1" t="s">
        <v>951</v>
      </c>
      <c r="J174" s="1" t="s">
        <v>952</v>
      </c>
      <c r="L174" t="s">
        <v>13</v>
      </c>
      <c r="M174" t="s">
        <v>14</v>
      </c>
      <c r="N174">
        <v>77092</v>
      </c>
      <c r="O174" t="s">
        <v>953</v>
      </c>
      <c r="Q174" t="s">
        <v>954</v>
      </c>
    </row>
    <row r="175" spans="1:17" x14ac:dyDescent="0.25">
      <c r="A175" s="1" t="str">
        <f t="shared" si="2"/>
        <v>500-GREEN BUILDING SCIENCE NETWORK</v>
      </c>
      <c r="B175" s="1">
        <v>500</v>
      </c>
      <c r="C175" s="1" t="s">
        <v>2654</v>
      </c>
      <c r="D175" s="1" t="s">
        <v>2655</v>
      </c>
      <c r="E175" s="1"/>
      <c r="F175" s="1"/>
      <c r="G175" s="1" t="s">
        <v>2656</v>
      </c>
      <c r="H175" s="1" t="s">
        <v>955</v>
      </c>
      <c r="I175" s="1" t="s">
        <v>956</v>
      </c>
      <c r="J175" s="1" t="s">
        <v>957</v>
      </c>
      <c r="L175" t="s">
        <v>958</v>
      </c>
      <c r="M175" t="s">
        <v>14</v>
      </c>
      <c r="N175">
        <v>77710</v>
      </c>
      <c r="O175" t="s">
        <v>959</v>
      </c>
      <c r="Q175" t="s">
        <v>960</v>
      </c>
    </row>
    <row r="176" spans="1:17" x14ac:dyDescent="0.25">
      <c r="A176" s="1" t="str">
        <f t="shared" si="2"/>
        <v>495-Green Generation Solutions LLC</v>
      </c>
      <c r="B176" s="1">
        <v>495</v>
      </c>
      <c r="C176" s="1" t="s">
        <v>2657</v>
      </c>
      <c r="D176" s="1" t="s">
        <v>2658</v>
      </c>
      <c r="E176" s="1"/>
      <c r="F176" s="1"/>
      <c r="G176" s="1" t="s">
        <v>2659</v>
      </c>
      <c r="H176" s="1" t="s">
        <v>961</v>
      </c>
      <c r="I176" s="1" t="s">
        <v>657</v>
      </c>
      <c r="J176" s="1" t="s">
        <v>962</v>
      </c>
      <c r="L176" t="s">
        <v>963</v>
      </c>
      <c r="M176" t="s">
        <v>964</v>
      </c>
      <c r="N176">
        <v>20814</v>
      </c>
      <c r="O176" t="s">
        <v>965</v>
      </c>
      <c r="P176">
        <v>3016563701</v>
      </c>
      <c r="Q176" t="s">
        <v>966</v>
      </c>
    </row>
    <row r="177" spans="1:17" x14ac:dyDescent="0.25">
      <c r="A177" s="1" t="str">
        <f t="shared" si="2"/>
        <v>493-Green Light Midwest</v>
      </c>
      <c r="B177" s="1">
        <v>493</v>
      </c>
      <c r="C177" s="1" t="s">
        <v>2660</v>
      </c>
      <c r="D177" s="1" t="s">
        <v>2661</v>
      </c>
      <c r="E177" s="1"/>
      <c r="F177" s="1"/>
      <c r="G177" s="1" t="s">
        <v>2662</v>
      </c>
      <c r="H177" s="1" t="s">
        <v>967</v>
      </c>
      <c r="I177" s="1" t="s">
        <v>290</v>
      </c>
      <c r="J177" s="1" t="s">
        <v>968</v>
      </c>
      <c r="K177" t="s">
        <v>969</v>
      </c>
      <c r="L177" t="s">
        <v>346</v>
      </c>
      <c r="M177" t="s">
        <v>236</v>
      </c>
      <c r="N177">
        <v>60616</v>
      </c>
      <c r="O177">
        <v>7736333250</v>
      </c>
      <c r="Q177" t="s">
        <v>970</v>
      </c>
    </row>
    <row r="178" spans="1:17" x14ac:dyDescent="0.25">
      <c r="A178" s="1" t="str">
        <f t="shared" si="2"/>
        <v>263-GreenLight Energy Services LLC</v>
      </c>
      <c r="B178" s="1">
        <v>263</v>
      </c>
      <c r="C178" s="1" t="s">
        <v>2663</v>
      </c>
      <c r="D178" s="1" t="s">
        <v>2664</v>
      </c>
      <c r="E178" s="1"/>
      <c r="F178" s="1"/>
      <c r="G178" s="1" t="s">
        <v>2357</v>
      </c>
      <c r="H178" s="1" t="s">
        <v>971</v>
      </c>
      <c r="I178" s="1" t="s">
        <v>49</v>
      </c>
      <c r="J178" s="1" t="s">
        <v>972</v>
      </c>
      <c r="L178" t="s">
        <v>107</v>
      </c>
      <c r="M178" t="s">
        <v>14</v>
      </c>
      <c r="N178">
        <v>78767</v>
      </c>
      <c r="O178" t="s">
        <v>973</v>
      </c>
      <c r="Q178" t="s">
        <v>974</v>
      </c>
    </row>
    <row r="179" spans="1:17" x14ac:dyDescent="0.25">
      <c r="A179" s="1" t="str">
        <f t="shared" si="2"/>
        <v>600-GreenSave</v>
      </c>
      <c r="B179" s="1">
        <v>600</v>
      </c>
      <c r="C179" s="1" t="s">
        <v>2665</v>
      </c>
      <c r="D179" s="1" t="s">
        <v>2666</v>
      </c>
      <c r="E179" s="1"/>
      <c r="F179" s="1"/>
      <c r="G179" s="1" t="s">
        <v>1702</v>
      </c>
      <c r="H179" s="1" t="s">
        <v>975</v>
      </c>
      <c r="I179" s="1" t="s">
        <v>868</v>
      </c>
      <c r="J179" s="1" t="s">
        <v>976</v>
      </c>
      <c r="L179" t="s">
        <v>977</v>
      </c>
      <c r="M179" t="s">
        <v>100</v>
      </c>
      <c r="N179">
        <v>94939</v>
      </c>
      <c r="O179" t="s">
        <v>978</v>
      </c>
      <c r="Q179" t="s">
        <v>979</v>
      </c>
    </row>
    <row r="180" spans="1:17" x14ac:dyDescent="0.25">
      <c r="A180" s="1" t="str">
        <f t="shared" si="2"/>
        <v>485-Greif, LLC</v>
      </c>
      <c r="B180" s="1">
        <v>485</v>
      </c>
      <c r="C180" s="1" t="s">
        <v>2667</v>
      </c>
      <c r="D180" s="1" t="s">
        <v>2668</v>
      </c>
      <c r="E180" s="1"/>
      <c r="F180" s="1"/>
      <c r="G180" s="1" t="s">
        <v>2669</v>
      </c>
      <c r="H180" s="1" t="s">
        <v>980</v>
      </c>
      <c r="I180" s="1" t="s">
        <v>981</v>
      </c>
      <c r="J180" s="1" t="s">
        <v>982</v>
      </c>
      <c r="L180" t="s">
        <v>13</v>
      </c>
      <c r="M180" t="s">
        <v>14</v>
      </c>
      <c r="N180">
        <v>77041</v>
      </c>
      <c r="O180" t="s">
        <v>983</v>
      </c>
      <c r="Q180" t="s">
        <v>984</v>
      </c>
    </row>
    <row r="181" spans="1:17" x14ac:dyDescent="0.25">
      <c r="A181" s="1" t="str">
        <f t="shared" si="2"/>
        <v>362-Groom Energy Solutions</v>
      </c>
      <c r="B181" s="1">
        <v>362</v>
      </c>
      <c r="C181" s="1" t="s">
        <v>2670</v>
      </c>
      <c r="D181" s="1" t="s">
        <v>2671</v>
      </c>
      <c r="E181" s="1"/>
      <c r="F181" s="1"/>
      <c r="G181" s="1" t="s">
        <v>2672</v>
      </c>
      <c r="H181" s="1" t="s">
        <v>985</v>
      </c>
      <c r="I181" s="1" t="s">
        <v>986</v>
      </c>
      <c r="J181" s="1" t="s">
        <v>987</v>
      </c>
      <c r="L181" t="s">
        <v>988</v>
      </c>
      <c r="M181" t="s">
        <v>217</v>
      </c>
      <c r="N181">
        <v>1970</v>
      </c>
      <c r="O181" t="s">
        <v>989</v>
      </c>
      <c r="P181" t="s">
        <v>990</v>
      </c>
      <c r="Q181" t="s">
        <v>991</v>
      </c>
    </row>
    <row r="182" spans="1:17" x14ac:dyDescent="0.25">
      <c r="A182" s="1" t="str">
        <f t="shared" si="2"/>
        <v>640-Groom Energy Solutions</v>
      </c>
      <c r="B182">
        <v>640</v>
      </c>
      <c r="D182" t="s">
        <v>2671</v>
      </c>
      <c r="G182" t="s">
        <v>8036</v>
      </c>
      <c r="H182" t="s">
        <v>8037</v>
      </c>
      <c r="J182" t="s">
        <v>987</v>
      </c>
      <c r="L182" t="s">
        <v>988</v>
      </c>
      <c r="M182" t="s">
        <v>217</v>
      </c>
      <c r="N182" s="22" t="s">
        <v>8038</v>
      </c>
      <c r="O182" t="s">
        <v>8039</v>
      </c>
      <c r="Q182" t="s">
        <v>8040</v>
      </c>
    </row>
    <row r="183" spans="1:17" x14ac:dyDescent="0.25">
      <c r="A183" s="1" t="str">
        <f t="shared" si="2"/>
        <v>491-GROUP-S LLC d/b/a EN-POWER GROUP</v>
      </c>
      <c r="B183" s="1">
        <v>491</v>
      </c>
      <c r="C183" s="1" t="s">
        <v>2673</v>
      </c>
      <c r="D183" s="1" t="s">
        <v>2674</v>
      </c>
      <c r="E183" s="1"/>
      <c r="F183" s="1"/>
      <c r="G183" s="1" t="s">
        <v>2662</v>
      </c>
      <c r="H183" s="1" t="s">
        <v>992</v>
      </c>
      <c r="I183" s="1" t="s">
        <v>698</v>
      </c>
      <c r="J183" s="1" t="s">
        <v>993</v>
      </c>
      <c r="L183" t="s">
        <v>994</v>
      </c>
      <c r="M183" t="s">
        <v>300</v>
      </c>
      <c r="N183">
        <v>10536</v>
      </c>
      <c r="O183" t="s">
        <v>995</v>
      </c>
      <c r="Q183" t="s">
        <v>996</v>
      </c>
    </row>
    <row r="184" spans="1:17" x14ac:dyDescent="0.25">
      <c r="A184" s="1" t="str">
        <f t="shared" si="2"/>
        <v>519-Hargrave Electric</v>
      </c>
      <c r="B184" s="1">
        <v>519</v>
      </c>
      <c r="C184" s="1" t="s">
        <v>2675</v>
      </c>
      <c r="D184" s="1" t="s">
        <v>2676</v>
      </c>
      <c r="E184" s="1"/>
      <c r="F184" s="1"/>
      <c r="G184" s="1" t="s">
        <v>2330</v>
      </c>
      <c r="H184" s="1" t="s">
        <v>997</v>
      </c>
      <c r="I184" s="1" t="s">
        <v>290</v>
      </c>
      <c r="J184" s="1" t="s">
        <v>998</v>
      </c>
      <c r="L184" t="s">
        <v>13</v>
      </c>
      <c r="M184" t="s">
        <v>14</v>
      </c>
      <c r="N184">
        <v>77070</v>
      </c>
      <c r="O184" t="s">
        <v>999</v>
      </c>
      <c r="P184" t="s">
        <v>1000</v>
      </c>
      <c r="Q184" t="s">
        <v>1001</v>
      </c>
    </row>
    <row r="185" spans="1:17" x14ac:dyDescent="0.25">
      <c r="A185" s="1" t="str">
        <f t="shared" si="2"/>
        <v>591-Havel</v>
      </c>
      <c r="B185" s="1">
        <v>591</v>
      </c>
      <c r="C185" s="1" t="s">
        <v>2677</v>
      </c>
      <c r="D185" s="1" t="s">
        <v>2678</v>
      </c>
      <c r="E185" s="1"/>
      <c r="F185" s="1"/>
      <c r="G185" s="1" t="s">
        <v>2679</v>
      </c>
      <c r="H185" s="1" t="s">
        <v>1002</v>
      </c>
      <c r="I185" s="1" t="s">
        <v>42</v>
      </c>
      <c r="J185" s="1" t="s">
        <v>1003</v>
      </c>
      <c r="L185" t="s">
        <v>764</v>
      </c>
      <c r="M185" t="s">
        <v>660</v>
      </c>
      <c r="N185">
        <v>46268</v>
      </c>
      <c r="O185" t="s">
        <v>1004</v>
      </c>
      <c r="Q185" t="s">
        <v>1005</v>
      </c>
    </row>
    <row r="186" spans="1:17" x14ac:dyDescent="0.25">
      <c r="A186" s="1" t="str">
        <f t="shared" si="2"/>
        <v>371-HC Energy LLC.</v>
      </c>
      <c r="B186" s="1">
        <v>371</v>
      </c>
      <c r="C186" s="1" t="s">
        <v>2680</v>
      </c>
      <c r="D186" s="1" t="s">
        <v>2681</v>
      </c>
      <c r="E186" s="1"/>
      <c r="F186" s="1"/>
      <c r="G186" s="1" t="s">
        <v>2682</v>
      </c>
      <c r="H186" s="1" t="s">
        <v>1006</v>
      </c>
      <c r="I186" s="1" t="s">
        <v>119</v>
      </c>
      <c r="J186" s="1" t="s">
        <v>1007</v>
      </c>
      <c r="L186" t="s">
        <v>107</v>
      </c>
      <c r="M186" t="s">
        <v>14</v>
      </c>
      <c r="N186">
        <v>78731</v>
      </c>
      <c r="O186" t="s">
        <v>1008</v>
      </c>
      <c r="Q186" t="s">
        <v>1009</v>
      </c>
    </row>
    <row r="187" spans="1:17" x14ac:dyDescent="0.25">
      <c r="A187" s="1" t="str">
        <f t="shared" si="2"/>
        <v>372-HC Energy LLC.</v>
      </c>
      <c r="B187" s="1">
        <v>372</v>
      </c>
      <c r="C187" s="1" t="s">
        <v>2680</v>
      </c>
      <c r="D187" s="1" t="s">
        <v>2681</v>
      </c>
      <c r="E187" s="1"/>
      <c r="F187" s="1"/>
      <c r="G187" s="1" t="s">
        <v>2682</v>
      </c>
      <c r="H187" s="1" t="s">
        <v>1006</v>
      </c>
      <c r="I187" s="1" t="s">
        <v>119</v>
      </c>
      <c r="J187" s="1" t="s">
        <v>1010</v>
      </c>
      <c r="L187" t="s">
        <v>1011</v>
      </c>
      <c r="M187" t="s">
        <v>14</v>
      </c>
      <c r="N187">
        <v>78613</v>
      </c>
      <c r="O187" t="s">
        <v>1008</v>
      </c>
      <c r="Q187" t="s">
        <v>1009</v>
      </c>
    </row>
    <row r="188" spans="1:17" x14ac:dyDescent="0.25">
      <c r="A188" s="1" t="str">
        <f t="shared" si="2"/>
        <v>235-HEB Grocery</v>
      </c>
      <c r="B188" s="1">
        <v>235</v>
      </c>
      <c r="C188" s="1" t="s">
        <v>2683</v>
      </c>
      <c r="D188" s="1" t="s">
        <v>2684</v>
      </c>
      <c r="E188" s="1"/>
      <c r="F188" s="1"/>
      <c r="G188" s="1" t="s">
        <v>2685</v>
      </c>
      <c r="H188" s="1" t="s">
        <v>1012</v>
      </c>
      <c r="I188" s="1" t="s">
        <v>1013</v>
      </c>
      <c r="J188" s="1" t="s">
        <v>1014</v>
      </c>
      <c r="L188" t="s">
        <v>92</v>
      </c>
      <c r="M188" t="s">
        <v>14</v>
      </c>
      <c r="N188">
        <v>78204</v>
      </c>
      <c r="O188" t="s">
        <v>1015</v>
      </c>
      <c r="P188" t="s">
        <v>1016</v>
      </c>
      <c r="Q188" t="s">
        <v>1017</v>
      </c>
    </row>
    <row r="189" spans="1:17" x14ac:dyDescent="0.25">
      <c r="A189" s="1" t="str">
        <f t="shared" si="2"/>
        <v>534-Henderson Engineers</v>
      </c>
      <c r="B189" s="1">
        <v>534</v>
      </c>
      <c r="C189" s="1" t="s">
        <v>2686</v>
      </c>
      <c r="D189" s="1" t="s">
        <v>2687</v>
      </c>
      <c r="E189" s="1"/>
      <c r="F189" s="1"/>
      <c r="G189" s="1" t="s">
        <v>2638</v>
      </c>
      <c r="H189" s="1" t="s">
        <v>1018</v>
      </c>
      <c r="I189" s="1" t="s">
        <v>1019</v>
      </c>
      <c r="J189" s="1" t="s">
        <v>1020</v>
      </c>
      <c r="L189" t="s">
        <v>1021</v>
      </c>
      <c r="M189" t="s">
        <v>185</v>
      </c>
      <c r="N189">
        <v>66215</v>
      </c>
      <c r="O189" t="s">
        <v>1022</v>
      </c>
      <c r="Q189" t="s">
        <v>1023</v>
      </c>
    </row>
    <row r="190" spans="1:17" x14ac:dyDescent="0.25">
      <c r="A190" s="1" t="str">
        <f t="shared" si="2"/>
        <v>376-Hewlett-Packard Company</v>
      </c>
      <c r="B190" s="1">
        <v>376</v>
      </c>
      <c r="C190" s="1" t="s">
        <v>2688</v>
      </c>
      <c r="D190" s="1" t="s">
        <v>2689</v>
      </c>
      <c r="E190" s="1" t="s">
        <v>2689</v>
      </c>
      <c r="F190" s="1" t="s">
        <v>2688</v>
      </c>
      <c r="G190" s="1" t="s">
        <v>2690</v>
      </c>
      <c r="H190" s="1" t="s">
        <v>1024</v>
      </c>
      <c r="I190" s="1" t="s">
        <v>1025</v>
      </c>
      <c r="J190" s="1" t="s">
        <v>1026</v>
      </c>
      <c r="L190" t="s">
        <v>1027</v>
      </c>
      <c r="M190" t="s">
        <v>1028</v>
      </c>
      <c r="N190">
        <v>97330</v>
      </c>
      <c r="O190" t="s">
        <v>1029</v>
      </c>
      <c r="P190" t="s">
        <v>1030</v>
      </c>
      <c r="Q190" t="s">
        <v>1031</v>
      </c>
    </row>
    <row r="191" spans="1:17" x14ac:dyDescent="0.25">
      <c r="A191" s="1" t="str">
        <f t="shared" si="2"/>
        <v>239-Highlights Electrical</v>
      </c>
      <c r="B191" s="1">
        <v>239</v>
      </c>
      <c r="C191" s="1" t="s">
        <v>2691</v>
      </c>
      <c r="D191" s="1" t="s">
        <v>2692</v>
      </c>
      <c r="E191" s="1" t="s">
        <v>2693</v>
      </c>
      <c r="F191" s="1"/>
      <c r="G191" s="1" t="s">
        <v>2694</v>
      </c>
      <c r="H191" s="1" t="s">
        <v>1032</v>
      </c>
      <c r="I191" s="1" t="s">
        <v>182</v>
      </c>
      <c r="J191" s="1" t="s">
        <v>1033</v>
      </c>
      <c r="L191" t="s">
        <v>13</v>
      </c>
      <c r="M191" t="s">
        <v>14</v>
      </c>
      <c r="N191">
        <v>77080</v>
      </c>
      <c r="O191" t="s">
        <v>1034</v>
      </c>
      <c r="P191">
        <v>7136909922</v>
      </c>
      <c r="Q191" t="s">
        <v>1035</v>
      </c>
    </row>
    <row r="192" spans="1:17" x14ac:dyDescent="0.25">
      <c r="A192" s="1" t="str">
        <f t="shared" si="2"/>
        <v>392-Hillhouse Power Solutions, Inc.</v>
      </c>
      <c r="B192" s="1">
        <v>392</v>
      </c>
      <c r="C192" s="1" t="s">
        <v>2695</v>
      </c>
      <c r="D192" s="1" t="s">
        <v>2696</v>
      </c>
      <c r="E192" s="1"/>
      <c r="F192" s="1"/>
      <c r="G192" s="1" t="s">
        <v>2662</v>
      </c>
      <c r="H192" s="1" t="s">
        <v>1036</v>
      </c>
      <c r="I192" s="1" t="s">
        <v>290</v>
      </c>
      <c r="J192" s="1" t="s">
        <v>1037</v>
      </c>
      <c r="L192" t="s">
        <v>1038</v>
      </c>
      <c r="M192" t="s">
        <v>14</v>
      </c>
      <c r="N192">
        <v>76182</v>
      </c>
      <c r="O192" t="s">
        <v>1039</v>
      </c>
      <c r="P192" t="s">
        <v>1040</v>
      </c>
      <c r="Q192" t="s">
        <v>1041</v>
      </c>
    </row>
    <row r="193" spans="1:17" x14ac:dyDescent="0.25">
      <c r="A193" s="1" t="str">
        <f t="shared" si="2"/>
        <v>577-HK Capital Management</v>
      </c>
      <c r="B193" s="1">
        <v>577</v>
      </c>
      <c r="C193" s="1" t="s">
        <v>2697</v>
      </c>
      <c r="D193" s="1" t="s">
        <v>2698</v>
      </c>
      <c r="E193" s="1"/>
      <c r="F193" s="1" t="s">
        <v>2699</v>
      </c>
      <c r="G193" s="1" t="s">
        <v>2700</v>
      </c>
      <c r="H193" s="1" t="s">
        <v>1042</v>
      </c>
      <c r="I193" s="1" t="s">
        <v>1043</v>
      </c>
      <c r="J193" s="1" t="s">
        <v>1044</v>
      </c>
      <c r="K193" t="s">
        <v>1045</v>
      </c>
      <c r="L193" t="s">
        <v>13</v>
      </c>
      <c r="M193" t="s">
        <v>14</v>
      </c>
      <c r="N193">
        <v>77074</v>
      </c>
      <c r="O193">
        <v>7137742354</v>
      </c>
      <c r="Q193" t="s">
        <v>1046</v>
      </c>
    </row>
    <row r="194" spans="1:17" x14ac:dyDescent="0.25">
      <c r="A194" s="1" t="str">
        <f t="shared" ref="A194:A257" si="3">IF(B194="","",B194&amp;"-"&amp;D194)</f>
        <v>252-Hob-Lob, LP</v>
      </c>
      <c r="B194" s="1">
        <v>252</v>
      </c>
      <c r="C194" s="1" t="s">
        <v>2701</v>
      </c>
      <c r="D194" s="1" t="s">
        <v>2702</v>
      </c>
      <c r="E194" s="1"/>
      <c r="F194" s="1"/>
      <c r="G194" s="1" t="s">
        <v>2703</v>
      </c>
      <c r="H194" s="1" t="s">
        <v>1047</v>
      </c>
      <c r="I194" s="1" t="s">
        <v>1048</v>
      </c>
      <c r="J194" s="1" t="s">
        <v>1049</v>
      </c>
      <c r="L194" t="s">
        <v>1050</v>
      </c>
      <c r="M194" t="s">
        <v>1051</v>
      </c>
      <c r="N194">
        <v>73179</v>
      </c>
      <c r="O194" t="s">
        <v>1052</v>
      </c>
      <c r="Q194" t="s">
        <v>1053</v>
      </c>
    </row>
    <row r="195" spans="1:17" x14ac:dyDescent="0.25">
      <c r="A195" s="1" t="str">
        <f t="shared" si="3"/>
        <v>469-Houston Ballet</v>
      </c>
      <c r="B195" s="1">
        <v>469</v>
      </c>
      <c r="C195" s="1" t="s">
        <v>2704</v>
      </c>
      <c r="D195" s="1" t="s">
        <v>2705</v>
      </c>
      <c r="E195" s="1"/>
      <c r="F195" s="1"/>
      <c r="G195" s="1" t="s">
        <v>2706</v>
      </c>
      <c r="H195" s="1" t="s">
        <v>1054</v>
      </c>
      <c r="I195" s="1" t="s">
        <v>42</v>
      </c>
      <c r="J195" s="1" t="s">
        <v>1055</v>
      </c>
      <c r="L195" t="s">
        <v>13</v>
      </c>
      <c r="M195" t="s">
        <v>14</v>
      </c>
      <c r="N195">
        <v>77002</v>
      </c>
      <c r="O195" t="s">
        <v>1056</v>
      </c>
      <c r="Q195" t="s">
        <v>1057</v>
      </c>
    </row>
    <row r="196" spans="1:17" x14ac:dyDescent="0.25">
      <c r="A196" s="1" t="str">
        <f t="shared" si="3"/>
        <v>637-Houston Chronicle Media Group</v>
      </c>
      <c r="B196">
        <v>637</v>
      </c>
      <c r="D196" t="s">
        <v>8020</v>
      </c>
      <c r="G196" t="s">
        <v>8021</v>
      </c>
      <c r="H196" t="s">
        <v>1142</v>
      </c>
      <c r="J196" t="s">
        <v>8022</v>
      </c>
      <c r="L196" t="s">
        <v>13</v>
      </c>
      <c r="M196" t="s">
        <v>14</v>
      </c>
      <c r="N196" s="22" t="s">
        <v>8023</v>
      </c>
      <c r="O196" t="s">
        <v>8024</v>
      </c>
      <c r="Q196" t="s">
        <v>8025</v>
      </c>
    </row>
    <row r="197" spans="1:17" x14ac:dyDescent="0.25">
      <c r="A197" s="1" t="str">
        <f t="shared" si="3"/>
        <v>520-Houston First Corporation</v>
      </c>
      <c r="B197" s="1">
        <v>520</v>
      </c>
      <c r="C197" s="1" t="s">
        <v>2707</v>
      </c>
      <c r="D197" s="1" t="s">
        <v>2708</v>
      </c>
      <c r="E197" s="1"/>
      <c r="F197" s="1"/>
      <c r="G197" s="1" t="s">
        <v>2520</v>
      </c>
      <c r="H197" s="1" t="s">
        <v>1058</v>
      </c>
      <c r="I197" s="1" t="s">
        <v>1059</v>
      </c>
      <c r="J197" s="1" t="s">
        <v>1060</v>
      </c>
      <c r="K197" t="s">
        <v>1061</v>
      </c>
      <c r="L197" t="s">
        <v>13</v>
      </c>
      <c r="M197" t="s">
        <v>14</v>
      </c>
      <c r="N197">
        <v>77010</v>
      </c>
      <c r="O197" t="s">
        <v>1062</v>
      </c>
      <c r="P197" t="s">
        <v>1063</v>
      </c>
      <c r="Q197" t="s">
        <v>1064</v>
      </c>
    </row>
    <row r="198" spans="1:17" x14ac:dyDescent="0.25">
      <c r="A198" s="1" t="str">
        <f t="shared" si="3"/>
        <v>527-Houston Grand Parkway LP</v>
      </c>
      <c r="B198" s="1">
        <v>527</v>
      </c>
      <c r="C198" s="1" t="s">
        <v>2709</v>
      </c>
      <c r="D198" s="1" t="s">
        <v>2710</v>
      </c>
      <c r="E198" s="1"/>
      <c r="F198" s="1"/>
      <c r="G198" s="1" t="s">
        <v>2215</v>
      </c>
      <c r="H198" s="1" t="s">
        <v>1065</v>
      </c>
      <c r="I198" s="1" t="s">
        <v>1066</v>
      </c>
      <c r="J198" s="1" t="s">
        <v>1067</v>
      </c>
      <c r="L198" t="s">
        <v>885</v>
      </c>
      <c r="M198" t="s">
        <v>14</v>
      </c>
      <c r="N198">
        <v>77450</v>
      </c>
      <c r="O198" t="s">
        <v>1068</v>
      </c>
      <c r="Q198" t="s">
        <v>1069</v>
      </c>
    </row>
    <row r="199" spans="1:17" x14ac:dyDescent="0.25">
      <c r="A199" s="1" t="str">
        <f t="shared" si="3"/>
        <v>630-HTS Texas</v>
      </c>
      <c r="B199">
        <v>630</v>
      </c>
      <c r="D199" t="s">
        <v>3384</v>
      </c>
      <c r="G199" t="s">
        <v>2912</v>
      </c>
      <c r="H199" t="s">
        <v>2265</v>
      </c>
      <c r="J199" t="s">
        <v>3385</v>
      </c>
      <c r="L199" t="s">
        <v>13</v>
      </c>
      <c r="M199" t="s">
        <v>14</v>
      </c>
      <c r="N199">
        <v>77018</v>
      </c>
      <c r="O199" t="s">
        <v>3386</v>
      </c>
      <c r="Q199" t="s">
        <v>3387</v>
      </c>
    </row>
    <row r="200" spans="1:17" x14ac:dyDescent="0.25">
      <c r="A200" s="1" t="str">
        <f t="shared" si="3"/>
        <v>635-Hunton Trane</v>
      </c>
      <c r="B200">
        <v>635</v>
      </c>
      <c r="D200" t="s">
        <v>7993</v>
      </c>
      <c r="G200" t="s">
        <v>3115</v>
      </c>
      <c r="H200" t="s">
        <v>7994</v>
      </c>
      <c r="J200" t="s">
        <v>555</v>
      </c>
      <c r="L200" t="s">
        <v>13</v>
      </c>
      <c r="M200" t="s">
        <v>14</v>
      </c>
      <c r="N200" s="22" t="s">
        <v>7995</v>
      </c>
      <c r="O200" t="s">
        <v>7996</v>
      </c>
      <c r="Q200" t="s">
        <v>7997</v>
      </c>
    </row>
    <row r="201" spans="1:17" x14ac:dyDescent="0.25">
      <c r="A201" s="1" t="str">
        <f t="shared" si="3"/>
        <v>343-Hunton Trane CSG 2006</v>
      </c>
      <c r="B201" s="1">
        <v>343</v>
      </c>
      <c r="C201" s="1" t="s">
        <v>2711</v>
      </c>
      <c r="D201" s="1" t="s">
        <v>2712</v>
      </c>
      <c r="E201" s="1"/>
      <c r="F201" s="1"/>
      <c r="G201" s="1" t="s">
        <v>2400</v>
      </c>
      <c r="H201" s="1" t="s">
        <v>1070</v>
      </c>
      <c r="I201" s="1" t="s">
        <v>986</v>
      </c>
      <c r="J201" s="1" t="s">
        <v>1071</v>
      </c>
      <c r="L201" t="s">
        <v>13</v>
      </c>
      <c r="M201" t="s">
        <v>14</v>
      </c>
      <c r="N201">
        <v>77042</v>
      </c>
      <c r="O201" t="s">
        <v>1072</v>
      </c>
      <c r="Q201" t="s">
        <v>1073</v>
      </c>
    </row>
    <row r="202" spans="1:17" x14ac:dyDescent="0.25">
      <c r="A202" s="1" t="str">
        <f t="shared" si="3"/>
        <v>244-Hunton Trane Services</v>
      </c>
      <c r="B202" s="1">
        <v>244</v>
      </c>
      <c r="C202" s="1" t="s">
        <v>2713</v>
      </c>
      <c r="D202" s="1" t="s">
        <v>2714</v>
      </c>
      <c r="E202" s="1"/>
      <c r="F202" s="1"/>
      <c r="G202" s="1" t="s">
        <v>2520</v>
      </c>
      <c r="H202" s="1" t="s">
        <v>1074</v>
      </c>
      <c r="I202" s="1" t="s">
        <v>321</v>
      </c>
      <c r="J202" s="1" t="s">
        <v>1075</v>
      </c>
      <c r="L202" t="s">
        <v>13</v>
      </c>
      <c r="M202" t="s">
        <v>14</v>
      </c>
      <c r="N202">
        <v>77087</v>
      </c>
      <c r="O202" t="s">
        <v>1076</v>
      </c>
      <c r="Q202" t="s">
        <v>1077</v>
      </c>
    </row>
    <row r="203" spans="1:17" x14ac:dyDescent="0.25">
      <c r="A203" s="1" t="str">
        <f t="shared" si="3"/>
        <v>307-Hunton Trane Services</v>
      </c>
      <c r="B203" s="1">
        <v>307</v>
      </c>
      <c r="C203" s="1" t="s">
        <v>2715</v>
      </c>
      <c r="D203" s="1" t="s">
        <v>2714</v>
      </c>
      <c r="E203" s="1"/>
      <c r="F203" s="1"/>
      <c r="G203" s="1" t="s">
        <v>2716</v>
      </c>
      <c r="H203" s="1" t="s">
        <v>1078</v>
      </c>
      <c r="I203" s="1" t="s">
        <v>321</v>
      </c>
      <c r="J203" s="1" t="s">
        <v>1075</v>
      </c>
      <c r="L203" t="s">
        <v>13</v>
      </c>
      <c r="M203" t="s">
        <v>14</v>
      </c>
      <c r="N203">
        <v>77087</v>
      </c>
      <c r="O203" t="s">
        <v>1079</v>
      </c>
      <c r="Q203" t="s">
        <v>1080</v>
      </c>
    </row>
    <row r="204" spans="1:17" x14ac:dyDescent="0.25">
      <c r="A204" s="1" t="str">
        <f t="shared" si="3"/>
        <v xml:space="preserve">459-Huper optik usa </v>
      </c>
      <c r="B204" s="1">
        <v>459</v>
      </c>
      <c r="C204" s="1" t="s">
        <v>2717</v>
      </c>
      <c r="D204" s="1" t="s">
        <v>2718</v>
      </c>
      <c r="E204" s="1"/>
      <c r="F204" s="1"/>
      <c r="G204" s="1" t="s">
        <v>2546</v>
      </c>
      <c r="H204" s="1" t="s">
        <v>734</v>
      </c>
      <c r="I204" s="1" t="s">
        <v>1081</v>
      </c>
      <c r="J204" s="1" t="s">
        <v>1082</v>
      </c>
      <c r="L204" t="s">
        <v>1083</v>
      </c>
      <c r="M204" t="s">
        <v>14</v>
      </c>
      <c r="N204">
        <v>77041</v>
      </c>
      <c r="O204" t="s">
        <v>1084</v>
      </c>
      <c r="P204">
        <v>8324671190</v>
      </c>
      <c r="Q204" t="s">
        <v>1085</v>
      </c>
    </row>
    <row r="205" spans="1:17" x14ac:dyDescent="0.25">
      <c r="A205" s="1" t="str">
        <f t="shared" si="3"/>
        <v>423-I. A. Naman + Associates, Inc.</v>
      </c>
      <c r="B205" s="1">
        <v>423</v>
      </c>
      <c r="C205" s="1" t="s">
        <v>2719</v>
      </c>
      <c r="D205" s="1" t="s">
        <v>2720</v>
      </c>
      <c r="E205" s="1"/>
      <c r="F205" s="1"/>
      <c r="G205" s="1" t="s">
        <v>1702</v>
      </c>
      <c r="H205" s="1" t="s">
        <v>1086</v>
      </c>
      <c r="I205" s="1" t="s">
        <v>290</v>
      </c>
      <c r="J205" s="1" t="s">
        <v>1087</v>
      </c>
      <c r="L205" t="s">
        <v>13</v>
      </c>
      <c r="M205" t="s">
        <v>14</v>
      </c>
      <c r="N205">
        <v>77046</v>
      </c>
      <c r="O205" t="s">
        <v>1088</v>
      </c>
      <c r="P205" t="s">
        <v>1089</v>
      </c>
      <c r="Q205" t="s">
        <v>1090</v>
      </c>
    </row>
    <row r="206" spans="1:17" x14ac:dyDescent="0.25">
      <c r="A206" s="1" t="str">
        <f t="shared" si="3"/>
        <v>224-I-45 N. Professional Bldg.</v>
      </c>
      <c r="B206" s="1">
        <v>224</v>
      </c>
      <c r="C206" s="1" t="s">
        <v>2721</v>
      </c>
      <c r="D206" s="1" t="s">
        <v>2722</v>
      </c>
      <c r="E206" s="1" t="s">
        <v>2723</v>
      </c>
      <c r="F206" s="1" t="s">
        <v>2721</v>
      </c>
      <c r="G206" s="1" t="s">
        <v>2724</v>
      </c>
      <c r="H206" s="1" t="s">
        <v>1091</v>
      </c>
      <c r="I206" s="1" t="s">
        <v>1092</v>
      </c>
      <c r="J206" s="1" t="s">
        <v>1093</v>
      </c>
      <c r="L206" t="s">
        <v>13</v>
      </c>
      <c r="M206" t="s">
        <v>14</v>
      </c>
      <c r="N206">
        <v>77022</v>
      </c>
      <c r="O206" t="s">
        <v>1094</v>
      </c>
      <c r="P206" t="s">
        <v>1095</v>
      </c>
      <c r="Q206" t="s">
        <v>1096</v>
      </c>
    </row>
    <row r="207" spans="1:17" x14ac:dyDescent="0.25">
      <c r="A207" s="1" t="str">
        <f t="shared" si="3"/>
        <v>462-ILLUMETEK CORP</v>
      </c>
      <c r="B207" s="1">
        <v>462</v>
      </c>
      <c r="C207" s="1" t="s">
        <v>2725</v>
      </c>
      <c r="D207" s="1" t="s">
        <v>2726</v>
      </c>
      <c r="E207" s="1"/>
      <c r="F207" s="1"/>
      <c r="G207" s="1" t="s">
        <v>2727</v>
      </c>
      <c r="H207" s="1" t="s">
        <v>1097</v>
      </c>
      <c r="I207" s="1" t="s">
        <v>1098</v>
      </c>
      <c r="J207" s="1" t="s">
        <v>1099</v>
      </c>
      <c r="L207" t="s">
        <v>1100</v>
      </c>
      <c r="M207" t="s">
        <v>652</v>
      </c>
      <c r="N207">
        <v>44223</v>
      </c>
      <c r="O207" t="s">
        <v>1101</v>
      </c>
      <c r="P207" t="s">
        <v>1102</v>
      </c>
      <c r="Q207" t="s">
        <v>1103</v>
      </c>
    </row>
    <row r="208" spans="1:17" x14ac:dyDescent="0.25">
      <c r="A208" s="1" t="str">
        <f t="shared" si="3"/>
        <v>621-Imperial Utilities &amp; Sustainability, Inc</v>
      </c>
      <c r="B208" s="1">
        <v>621</v>
      </c>
      <c r="C208" s="1" t="s">
        <v>2728</v>
      </c>
      <c r="D208" s="1" t="s">
        <v>2729</v>
      </c>
      <c r="E208" s="1"/>
      <c r="F208" s="1"/>
      <c r="G208" s="1" t="s">
        <v>2730</v>
      </c>
      <c r="H208" s="1" t="s">
        <v>1104</v>
      </c>
      <c r="I208" s="1" t="s">
        <v>1105</v>
      </c>
      <c r="J208" s="35" t="s">
        <v>8012</v>
      </c>
      <c r="L208" t="s">
        <v>13</v>
      </c>
      <c r="M208" t="s">
        <v>14</v>
      </c>
      <c r="N208">
        <v>77096</v>
      </c>
      <c r="O208" t="s">
        <v>1106</v>
      </c>
      <c r="Q208" t="s">
        <v>1107</v>
      </c>
    </row>
    <row r="209" spans="1:17" x14ac:dyDescent="0.25">
      <c r="A209" s="1" t="str">
        <f t="shared" si="3"/>
        <v xml:space="preserve">353-ING Clarion </v>
      </c>
      <c r="B209" s="1">
        <v>353</v>
      </c>
      <c r="C209" s="1" t="s">
        <v>2731</v>
      </c>
      <c r="D209" s="1" t="s">
        <v>2732</v>
      </c>
      <c r="E209" s="1"/>
      <c r="F209" s="1"/>
      <c r="G209" s="1" t="s">
        <v>2426</v>
      </c>
      <c r="H209" s="1" t="s">
        <v>531</v>
      </c>
      <c r="I209" s="1" t="s">
        <v>376</v>
      </c>
      <c r="J209" s="1" t="s">
        <v>1108</v>
      </c>
      <c r="K209" t="s">
        <v>1109</v>
      </c>
      <c r="L209" t="s">
        <v>1110</v>
      </c>
      <c r="M209" t="s">
        <v>129</v>
      </c>
      <c r="N209">
        <v>19103</v>
      </c>
      <c r="O209" t="s">
        <v>1111</v>
      </c>
      <c r="P209" t="s">
        <v>1112</v>
      </c>
      <c r="Q209" t="s">
        <v>1113</v>
      </c>
    </row>
    <row r="210" spans="1:17" x14ac:dyDescent="0.25">
      <c r="A210" s="1" t="str">
        <f t="shared" si="3"/>
        <v>254-Innovative Performance Contracting, Inc</v>
      </c>
      <c r="B210" s="1">
        <v>254</v>
      </c>
      <c r="C210" s="1" t="s">
        <v>2733</v>
      </c>
      <c r="D210" s="1" t="s">
        <v>2734</v>
      </c>
      <c r="E210" s="1"/>
      <c r="F210" s="1"/>
      <c r="G210" s="1" t="s">
        <v>2735</v>
      </c>
      <c r="H210" s="1" t="s">
        <v>1114</v>
      </c>
      <c r="I210" s="1" t="s">
        <v>1115</v>
      </c>
      <c r="J210" s="1" t="s">
        <v>1116</v>
      </c>
      <c r="K210" t="s">
        <v>1117</v>
      </c>
      <c r="L210" t="s">
        <v>293</v>
      </c>
      <c r="M210" t="s">
        <v>14</v>
      </c>
      <c r="N210">
        <v>75287</v>
      </c>
      <c r="O210" t="s">
        <v>1118</v>
      </c>
      <c r="P210" t="s">
        <v>1119</v>
      </c>
      <c r="Q210" t="s">
        <v>1120</v>
      </c>
    </row>
    <row r="211" spans="1:17" x14ac:dyDescent="0.25">
      <c r="A211" s="1" t="str">
        <f t="shared" si="3"/>
        <v>454-Innovative Power Solutions, LLC</v>
      </c>
      <c r="B211" s="1">
        <v>454</v>
      </c>
      <c r="C211" s="1" t="s">
        <v>2736</v>
      </c>
      <c r="D211" s="1" t="s">
        <v>2737</v>
      </c>
      <c r="E211" s="1"/>
      <c r="F211" s="1"/>
      <c r="G211" s="1" t="s">
        <v>2738</v>
      </c>
      <c r="H211" s="1" t="s">
        <v>1121</v>
      </c>
      <c r="I211" s="1" t="s">
        <v>49</v>
      </c>
      <c r="J211" s="1" t="s">
        <v>1122</v>
      </c>
      <c r="L211" t="s">
        <v>1123</v>
      </c>
      <c r="M211" t="s">
        <v>1124</v>
      </c>
      <c r="N211">
        <v>72113</v>
      </c>
      <c r="O211" t="s">
        <v>1125</v>
      </c>
      <c r="P211" t="s">
        <v>1126</v>
      </c>
      <c r="Q211" t="s">
        <v>1127</v>
      </c>
    </row>
    <row r="212" spans="1:17" x14ac:dyDescent="0.25">
      <c r="A212" s="1" t="str">
        <f t="shared" si="3"/>
        <v>476-INTEC Controls</v>
      </c>
      <c r="B212" s="1">
        <v>476</v>
      </c>
      <c r="C212" s="1" t="s">
        <v>2739</v>
      </c>
      <c r="D212" s="1" t="s">
        <v>2740</v>
      </c>
      <c r="E212" s="1" t="s">
        <v>2741</v>
      </c>
      <c r="F212" s="1" t="s">
        <v>2742</v>
      </c>
      <c r="G212" s="1" t="s">
        <v>2520</v>
      </c>
      <c r="H212" s="1" t="s">
        <v>1128</v>
      </c>
      <c r="I212" s="1" t="s">
        <v>1129</v>
      </c>
      <c r="J212" s="1" t="s">
        <v>1130</v>
      </c>
      <c r="L212" t="s">
        <v>1131</v>
      </c>
      <c r="M212" t="s">
        <v>14</v>
      </c>
      <c r="N212">
        <v>77478</v>
      </c>
      <c r="O212" t="s">
        <v>1132</v>
      </c>
      <c r="Q212" t="s">
        <v>1133</v>
      </c>
    </row>
    <row r="213" spans="1:17" x14ac:dyDescent="0.25">
      <c r="A213" s="1" t="str">
        <f t="shared" si="3"/>
        <v>455-Internap Network Services Corporation</v>
      </c>
      <c r="B213" s="1">
        <v>455</v>
      </c>
      <c r="C213" s="1" t="s">
        <v>2743</v>
      </c>
      <c r="D213" s="1" t="s">
        <v>2744</v>
      </c>
      <c r="E213" s="1"/>
      <c r="F213" s="1"/>
      <c r="G213" s="1" t="s">
        <v>2520</v>
      </c>
      <c r="H213" s="1" t="s">
        <v>1134</v>
      </c>
      <c r="I213" s="1" t="s">
        <v>1135</v>
      </c>
      <c r="J213" s="1" t="s">
        <v>1136</v>
      </c>
      <c r="L213" t="s">
        <v>1137</v>
      </c>
      <c r="M213" t="s">
        <v>129</v>
      </c>
      <c r="N213">
        <v>15090</v>
      </c>
      <c r="O213" t="s">
        <v>1138</v>
      </c>
      <c r="Q213" t="s">
        <v>1139</v>
      </c>
    </row>
    <row r="214" spans="1:17" x14ac:dyDescent="0.25">
      <c r="A214" s="1" t="str">
        <f t="shared" si="3"/>
        <v>332-IT'Z Texas, L. P.</v>
      </c>
      <c r="B214" s="1">
        <v>332</v>
      </c>
      <c r="C214" s="1" t="s">
        <v>2745</v>
      </c>
      <c r="D214" s="1" t="s">
        <v>2746</v>
      </c>
      <c r="E214" s="1"/>
      <c r="F214" s="1"/>
      <c r="G214" s="1" t="s">
        <v>2747</v>
      </c>
      <c r="H214" s="1" t="s">
        <v>1140</v>
      </c>
      <c r="I214" s="1" t="s">
        <v>42</v>
      </c>
      <c r="J214" s="1" t="s">
        <v>1109</v>
      </c>
      <c r="L214" t="s">
        <v>1110</v>
      </c>
      <c r="M214" t="s">
        <v>129</v>
      </c>
      <c r="N214">
        <v>19103</v>
      </c>
      <c r="O214" t="s">
        <v>1111</v>
      </c>
      <c r="Q214" t="s">
        <v>1141</v>
      </c>
    </row>
    <row r="215" spans="1:17" x14ac:dyDescent="0.25">
      <c r="A215" s="1" t="str">
        <f t="shared" si="3"/>
        <v>259-J L Wood Electric Co Inc</v>
      </c>
      <c r="B215" s="1">
        <v>259</v>
      </c>
      <c r="C215" s="1" t="s">
        <v>2748</v>
      </c>
      <c r="D215" s="1" t="s">
        <v>2749</v>
      </c>
      <c r="E215" s="1"/>
      <c r="F215" s="1"/>
      <c r="G215" s="1" t="s">
        <v>2750</v>
      </c>
      <c r="H215" s="1" t="s">
        <v>1142</v>
      </c>
      <c r="I215" s="1" t="s">
        <v>290</v>
      </c>
      <c r="J215" s="1" t="s">
        <v>1143</v>
      </c>
      <c r="L215" t="s">
        <v>13</v>
      </c>
      <c r="M215" t="s">
        <v>14</v>
      </c>
      <c r="N215">
        <v>77091</v>
      </c>
      <c r="O215" t="s">
        <v>1144</v>
      </c>
      <c r="P215" t="s">
        <v>1145</v>
      </c>
      <c r="Q215" t="s">
        <v>1146</v>
      </c>
    </row>
    <row r="216" spans="1:17" x14ac:dyDescent="0.25">
      <c r="A216" s="1" t="str">
        <f t="shared" si="3"/>
        <v>553-J&amp;V ELECTRIC COMPANY</v>
      </c>
      <c r="B216" s="1">
        <v>553</v>
      </c>
      <c r="C216" s="1" t="s">
        <v>2751</v>
      </c>
      <c r="D216" s="1" t="s">
        <v>2752</v>
      </c>
      <c r="E216" s="1"/>
      <c r="F216" s="1" t="s">
        <v>2753</v>
      </c>
      <c r="G216" s="1" t="s">
        <v>2754</v>
      </c>
      <c r="H216" s="1" t="s">
        <v>1147</v>
      </c>
      <c r="I216" s="1" t="s">
        <v>1148</v>
      </c>
      <c r="J216" s="1" t="s">
        <v>1149</v>
      </c>
      <c r="L216" t="s">
        <v>13</v>
      </c>
      <c r="M216" t="s">
        <v>14</v>
      </c>
      <c r="N216">
        <v>77032</v>
      </c>
      <c r="O216">
        <v>2815904313</v>
      </c>
      <c r="P216">
        <v>2812194776</v>
      </c>
      <c r="Q216" t="s">
        <v>1150</v>
      </c>
    </row>
    <row r="217" spans="1:17" x14ac:dyDescent="0.25">
      <c r="A217" s="1" t="str">
        <f t="shared" si="3"/>
        <v>328-J. C. Penney Corporation, Inc.</v>
      </c>
      <c r="B217" s="1">
        <v>328</v>
      </c>
      <c r="C217" s="1" t="s">
        <v>2755</v>
      </c>
      <c r="D217" s="1" t="s">
        <v>2756</v>
      </c>
      <c r="E217" s="1"/>
      <c r="F217" s="1"/>
      <c r="G217" s="1" t="s">
        <v>2747</v>
      </c>
      <c r="H217" s="1" t="s">
        <v>1140</v>
      </c>
      <c r="I217" s="1" t="s">
        <v>42</v>
      </c>
      <c r="J217" s="1" t="s">
        <v>1109</v>
      </c>
      <c r="L217" t="s">
        <v>1110</v>
      </c>
      <c r="M217" t="s">
        <v>129</v>
      </c>
      <c r="N217">
        <v>19103</v>
      </c>
      <c r="O217" t="s">
        <v>1111</v>
      </c>
      <c r="Q217" t="s">
        <v>1141</v>
      </c>
    </row>
    <row r="218" spans="1:17" x14ac:dyDescent="0.25">
      <c r="A218" s="1" t="str">
        <f t="shared" si="3"/>
        <v>365-Jacob White Construction Company</v>
      </c>
      <c r="B218" s="1">
        <v>365</v>
      </c>
      <c r="C218" s="1" t="s">
        <v>2757</v>
      </c>
      <c r="D218" s="1" t="s">
        <v>2758</v>
      </c>
      <c r="E218" s="1"/>
      <c r="F218" s="1"/>
      <c r="G218" s="1" t="s">
        <v>2432</v>
      </c>
      <c r="H218" s="1" t="s">
        <v>1151</v>
      </c>
      <c r="I218" s="1" t="s">
        <v>363</v>
      </c>
      <c r="J218" s="1" t="s">
        <v>1152</v>
      </c>
      <c r="K218" t="s">
        <v>178</v>
      </c>
      <c r="L218" t="s">
        <v>1153</v>
      </c>
      <c r="M218" t="s">
        <v>14</v>
      </c>
      <c r="N218">
        <v>77546</v>
      </c>
      <c r="O218" t="s">
        <v>1154</v>
      </c>
      <c r="P218" t="s">
        <v>1155</v>
      </c>
      <c r="Q218" t="s">
        <v>1156</v>
      </c>
    </row>
    <row r="219" spans="1:17" x14ac:dyDescent="0.25">
      <c r="A219" s="1" t="str">
        <f t="shared" si="3"/>
        <v>612-Jake Marshall Service Inc</v>
      </c>
      <c r="B219" s="1">
        <v>612</v>
      </c>
      <c r="C219" s="1" t="s">
        <v>2759</v>
      </c>
      <c r="D219" s="1" t="s">
        <v>2760</v>
      </c>
      <c r="E219" s="1"/>
      <c r="F219" s="1"/>
      <c r="G219" s="1" t="s">
        <v>2761</v>
      </c>
      <c r="H219" s="1" t="s">
        <v>1157</v>
      </c>
      <c r="I219" s="1" t="s">
        <v>1158</v>
      </c>
      <c r="J219" s="1" t="s">
        <v>1159</v>
      </c>
      <c r="L219" t="s">
        <v>1160</v>
      </c>
      <c r="M219" t="s">
        <v>841</v>
      </c>
      <c r="N219">
        <v>37405</v>
      </c>
      <c r="O219" t="s">
        <v>1161</v>
      </c>
      <c r="Q219" t="s">
        <v>1162</v>
      </c>
    </row>
    <row r="220" spans="1:17" x14ac:dyDescent="0.25">
      <c r="A220" s="1" t="str">
        <f t="shared" si="3"/>
        <v>483-JBI Electrical Systems Inc.</v>
      </c>
      <c r="B220" s="1">
        <v>483</v>
      </c>
      <c r="C220" s="1" t="s">
        <v>2762</v>
      </c>
      <c r="D220" s="1" t="s">
        <v>2763</v>
      </c>
      <c r="E220" s="1"/>
      <c r="F220" s="1"/>
      <c r="G220" s="1" t="s">
        <v>2330</v>
      </c>
      <c r="H220" s="1" t="s">
        <v>1163</v>
      </c>
      <c r="I220" s="1" t="s">
        <v>333</v>
      </c>
      <c r="J220" s="1" t="s">
        <v>1164</v>
      </c>
      <c r="L220" t="s">
        <v>312</v>
      </c>
      <c r="M220" t="s">
        <v>14</v>
      </c>
      <c r="N220">
        <v>76137</v>
      </c>
      <c r="O220" t="s">
        <v>1165</v>
      </c>
      <c r="P220">
        <v>8172894134</v>
      </c>
      <c r="Q220" t="s">
        <v>1166</v>
      </c>
    </row>
    <row r="221" spans="1:17" x14ac:dyDescent="0.25">
      <c r="A221" s="1" t="str">
        <f t="shared" si="3"/>
        <v>532-JDM Associates</v>
      </c>
      <c r="B221" s="1">
        <v>532</v>
      </c>
      <c r="C221" s="1" t="s">
        <v>2764</v>
      </c>
      <c r="D221" s="1" t="s">
        <v>2765</v>
      </c>
      <c r="E221" s="1"/>
      <c r="F221" s="1" t="s">
        <v>2766</v>
      </c>
      <c r="G221" s="1" t="s">
        <v>2767</v>
      </c>
      <c r="H221" s="1" t="s">
        <v>1167</v>
      </c>
      <c r="I221" s="1" t="s">
        <v>1168</v>
      </c>
      <c r="J221" s="1" t="s">
        <v>1169</v>
      </c>
      <c r="K221" t="s">
        <v>1170</v>
      </c>
      <c r="L221" t="s">
        <v>711</v>
      </c>
      <c r="M221" t="s">
        <v>449</v>
      </c>
      <c r="N221">
        <v>22046</v>
      </c>
      <c r="O221" t="s">
        <v>1171</v>
      </c>
      <c r="Q221" t="s">
        <v>1172</v>
      </c>
    </row>
    <row r="222" spans="1:17" x14ac:dyDescent="0.25">
      <c r="A222" s="1" t="str">
        <f t="shared" si="3"/>
        <v xml:space="preserve">599-Jim Whitten Roof Consultants, LLCM </v>
      </c>
      <c r="B222" s="1">
        <v>599</v>
      </c>
      <c r="C222" s="1" t="s">
        <v>2768</v>
      </c>
      <c r="D222" s="1" t="s">
        <v>2769</v>
      </c>
      <c r="E222" s="1"/>
      <c r="F222" s="1"/>
      <c r="G222" s="1" t="s">
        <v>2348</v>
      </c>
      <c r="H222" s="1" t="s">
        <v>1173</v>
      </c>
      <c r="I222" s="1" t="s">
        <v>290</v>
      </c>
      <c r="J222" s="1" t="s">
        <v>1174</v>
      </c>
      <c r="L222" t="s">
        <v>107</v>
      </c>
      <c r="M222" t="s">
        <v>14</v>
      </c>
      <c r="N222">
        <v>78729</v>
      </c>
      <c r="O222" t="s">
        <v>1175</v>
      </c>
      <c r="P222" t="s">
        <v>1176</v>
      </c>
      <c r="Q222" t="s">
        <v>1177</v>
      </c>
    </row>
    <row r="223" spans="1:17" x14ac:dyDescent="0.25">
      <c r="A223" s="1" t="str">
        <f t="shared" si="3"/>
        <v>596-K &amp; L Facility Advisors, LLC</v>
      </c>
      <c r="B223" s="1">
        <v>596</v>
      </c>
      <c r="C223" s="1" t="s">
        <v>2770</v>
      </c>
      <c r="D223" s="1" t="s">
        <v>2771</v>
      </c>
      <c r="E223" s="1"/>
      <c r="F223" s="1"/>
      <c r="G223" s="1" t="s">
        <v>2772</v>
      </c>
      <c r="H223" s="1" t="s">
        <v>1178</v>
      </c>
      <c r="I223" s="1" t="s">
        <v>72</v>
      </c>
      <c r="J223" s="1" t="s">
        <v>1179</v>
      </c>
      <c r="L223" t="s">
        <v>885</v>
      </c>
      <c r="M223" t="s">
        <v>14</v>
      </c>
      <c r="N223">
        <v>77450</v>
      </c>
      <c r="O223" t="s">
        <v>1180</v>
      </c>
      <c r="Q223" t="s">
        <v>1181</v>
      </c>
    </row>
    <row r="224" spans="1:17" x14ac:dyDescent="0.25">
      <c r="A224" s="1" t="str">
        <f t="shared" si="3"/>
        <v>290-KATOEN NATIE GULF COAST INC.</v>
      </c>
      <c r="B224" s="1">
        <v>290</v>
      </c>
      <c r="C224" s="1" t="s">
        <v>2773</v>
      </c>
      <c r="D224" s="1" t="s">
        <v>2774</v>
      </c>
      <c r="E224" s="1"/>
      <c r="F224" s="1"/>
      <c r="G224" s="1" t="s">
        <v>2775</v>
      </c>
      <c r="H224" s="1" t="s">
        <v>1182</v>
      </c>
      <c r="I224" s="1" t="s">
        <v>1183</v>
      </c>
      <c r="J224" s="1" t="s">
        <v>1184</v>
      </c>
      <c r="L224" t="s">
        <v>1185</v>
      </c>
      <c r="M224" t="s">
        <v>14</v>
      </c>
      <c r="N224">
        <v>77572</v>
      </c>
      <c r="O224" t="s">
        <v>1186</v>
      </c>
      <c r="Q224" t="s">
        <v>1187</v>
      </c>
    </row>
    <row r="225" spans="1:17" x14ac:dyDescent="0.25">
      <c r="A225" s="1" t="str">
        <f t="shared" si="3"/>
        <v>582-Kim Neal &amp; Associates, LLC</v>
      </c>
      <c r="B225" s="1">
        <v>582</v>
      </c>
      <c r="C225" s="1" t="s">
        <v>2776</v>
      </c>
      <c r="D225" s="1" t="s">
        <v>2777</v>
      </c>
      <c r="E225" s="1"/>
      <c r="F225" s="1"/>
      <c r="G225" s="1" t="s">
        <v>2778</v>
      </c>
      <c r="H225" s="1" t="s">
        <v>1188</v>
      </c>
      <c r="I225" s="1" t="s">
        <v>1189</v>
      </c>
      <c r="J225" s="1" t="s">
        <v>1190</v>
      </c>
      <c r="L225" t="s">
        <v>1191</v>
      </c>
      <c r="M225" t="s">
        <v>14</v>
      </c>
      <c r="N225">
        <v>75035</v>
      </c>
      <c r="O225" t="s">
        <v>1192</v>
      </c>
      <c r="P225" t="s">
        <v>1193</v>
      </c>
      <c r="Q225" t="s">
        <v>1194</v>
      </c>
    </row>
    <row r="226" spans="1:17" x14ac:dyDescent="0.25">
      <c r="A226" s="1" t="str">
        <f t="shared" si="3"/>
        <v>606-Kingsgate Energy</v>
      </c>
      <c r="B226" s="1">
        <v>606</v>
      </c>
      <c r="C226" s="1" t="s">
        <v>2779</v>
      </c>
      <c r="D226" s="1" t="s">
        <v>2780</v>
      </c>
      <c r="E226" s="1"/>
      <c r="F226" s="1"/>
      <c r="G226" s="1" t="s">
        <v>2781</v>
      </c>
      <c r="H226" s="1" t="s">
        <v>1121</v>
      </c>
      <c r="I226" s="1" t="s">
        <v>1195</v>
      </c>
      <c r="J226" s="1" t="s">
        <v>1196</v>
      </c>
      <c r="L226" t="s">
        <v>312</v>
      </c>
      <c r="M226" t="s">
        <v>14</v>
      </c>
      <c r="N226">
        <v>76109</v>
      </c>
      <c r="O226" t="s">
        <v>1197</v>
      </c>
      <c r="Q226" t="s">
        <v>1198</v>
      </c>
    </row>
    <row r="227" spans="1:17" x14ac:dyDescent="0.25">
      <c r="A227" s="1" t="str">
        <f t="shared" si="3"/>
        <v>501-KirEnergy Services LLC</v>
      </c>
      <c r="B227" s="1">
        <v>501</v>
      </c>
      <c r="C227" s="1" t="s">
        <v>2782</v>
      </c>
      <c r="D227" s="1" t="s">
        <v>2783</v>
      </c>
      <c r="E227" s="1"/>
      <c r="F227" s="1"/>
      <c r="G227" s="1" t="s">
        <v>2662</v>
      </c>
      <c r="H227" s="1" t="s">
        <v>1199</v>
      </c>
      <c r="I227" s="1" t="s">
        <v>290</v>
      </c>
      <c r="J227" s="1" t="s">
        <v>1200</v>
      </c>
      <c r="L227" t="s">
        <v>1201</v>
      </c>
      <c r="M227" t="s">
        <v>14</v>
      </c>
      <c r="N227">
        <v>75070</v>
      </c>
      <c r="O227" t="s">
        <v>1202</v>
      </c>
      <c r="P227" t="s">
        <v>1203</v>
      </c>
      <c r="Q227" t="s">
        <v>1204</v>
      </c>
    </row>
    <row r="228" spans="1:17" x14ac:dyDescent="0.25">
      <c r="A228" s="1" t="str">
        <f t="shared" si="3"/>
        <v>385-KIRKSEY</v>
      </c>
      <c r="B228" s="1">
        <v>385</v>
      </c>
      <c r="C228" s="1" t="s">
        <v>2784</v>
      </c>
      <c r="D228" s="1" t="s">
        <v>2785</v>
      </c>
      <c r="E228" s="1" t="s">
        <v>2785</v>
      </c>
      <c r="F228" s="1" t="s">
        <v>2784</v>
      </c>
      <c r="G228" s="1" t="s">
        <v>2786</v>
      </c>
      <c r="H228" s="1" t="s">
        <v>1205</v>
      </c>
      <c r="I228" s="1" t="s">
        <v>1206</v>
      </c>
      <c r="J228" s="1" t="s">
        <v>1207</v>
      </c>
      <c r="L228" t="s">
        <v>56</v>
      </c>
      <c r="M228" t="s">
        <v>14</v>
      </c>
      <c r="N228">
        <v>77024</v>
      </c>
      <c r="O228" t="s">
        <v>1208</v>
      </c>
      <c r="P228">
        <v>7138507308</v>
      </c>
      <c r="Q228" t="s">
        <v>1209</v>
      </c>
    </row>
    <row r="229" spans="1:17" x14ac:dyDescent="0.25">
      <c r="A229" s="1" t="str">
        <f t="shared" si="3"/>
        <v>291-Klein Independent School District</v>
      </c>
      <c r="B229" s="1">
        <v>291</v>
      </c>
      <c r="C229" s="1" t="s">
        <v>2787</v>
      </c>
      <c r="D229" s="1" t="s">
        <v>2788</v>
      </c>
      <c r="E229" s="1"/>
      <c r="F229" s="1"/>
      <c r="G229" s="1" t="s">
        <v>2294</v>
      </c>
      <c r="H229" s="1" t="s">
        <v>1210</v>
      </c>
      <c r="I229" s="1" t="s">
        <v>432</v>
      </c>
      <c r="J229" s="1" t="s">
        <v>1211</v>
      </c>
      <c r="L229" t="s">
        <v>398</v>
      </c>
      <c r="M229" t="s">
        <v>14</v>
      </c>
      <c r="N229">
        <v>77379</v>
      </c>
      <c r="O229" t="s">
        <v>1212</v>
      </c>
      <c r="Q229" t="s">
        <v>1213</v>
      </c>
    </row>
    <row r="230" spans="1:17" x14ac:dyDescent="0.25">
      <c r="A230" s="1" t="str">
        <f t="shared" si="3"/>
        <v>337-Kroger</v>
      </c>
      <c r="B230" s="1">
        <v>337</v>
      </c>
      <c r="C230" s="1" t="s">
        <v>2789</v>
      </c>
      <c r="D230" s="1" t="s">
        <v>2790</v>
      </c>
      <c r="E230" s="1"/>
      <c r="F230" s="1"/>
      <c r="G230" s="1" t="s">
        <v>2791</v>
      </c>
      <c r="H230" s="1" t="s">
        <v>1214</v>
      </c>
      <c r="I230" s="1" t="s">
        <v>42</v>
      </c>
      <c r="J230" s="1" t="s">
        <v>1215</v>
      </c>
      <c r="L230" t="s">
        <v>352</v>
      </c>
      <c r="M230" t="s">
        <v>353</v>
      </c>
      <c r="N230">
        <v>40223</v>
      </c>
      <c r="O230" t="s">
        <v>1216</v>
      </c>
      <c r="P230" t="s">
        <v>1217</v>
      </c>
      <c r="Q230" t="s">
        <v>1218</v>
      </c>
    </row>
    <row r="231" spans="1:17" x14ac:dyDescent="0.25">
      <c r="A231" s="1" t="str">
        <f t="shared" si="3"/>
        <v>345-Kroger</v>
      </c>
      <c r="B231" s="1">
        <v>345</v>
      </c>
      <c r="C231" s="1" t="s">
        <v>2792</v>
      </c>
      <c r="D231" s="1" t="s">
        <v>2790</v>
      </c>
      <c r="E231" s="1"/>
      <c r="F231" s="1"/>
      <c r="G231" s="1" t="s">
        <v>2793</v>
      </c>
      <c r="H231" s="1" t="s">
        <v>1219</v>
      </c>
      <c r="I231" s="1" t="s">
        <v>1220</v>
      </c>
      <c r="J231" s="1" t="s">
        <v>1221</v>
      </c>
      <c r="L231" t="s">
        <v>352</v>
      </c>
      <c r="M231" t="s">
        <v>353</v>
      </c>
      <c r="N231">
        <v>40223</v>
      </c>
      <c r="O231" t="s">
        <v>354</v>
      </c>
      <c r="P231" t="s">
        <v>355</v>
      </c>
      <c r="Q231" t="s">
        <v>1222</v>
      </c>
    </row>
    <row r="232" spans="1:17" x14ac:dyDescent="0.25">
      <c r="A232" s="1" t="str">
        <f t="shared" si="3"/>
        <v>461-Kroger</v>
      </c>
      <c r="B232" s="1">
        <v>461</v>
      </c>
      <c r="C232" s="1" t="s">
        <v>2794</v>
      </c>
      <c r="D232" s="1" t="s">
        <v>2790</v>
      </c>
      <c r="E232" s="1" t="s">
        <v>2795</v>
      </c>
      <c r="F232" s="1" t="s">
        <v>2794</v>
      </c>
      <c r="G232" s="1" t="s">
        <v>2796</v>
      </c>
      <c r="H232" s="1" t="s">
        <v>1223</v>
      </c>
      <c r="I232" s="1" t="s">
        <v>1224</v>
      </c>
      <c r="J232" s="1" t="s">
        <v>1225</v>
      </c>
      <c r="L232" t="s">
        <v>651</v>
      </c>
      <c r="M232" t="s">
        <v>652</v>
      </c>
      <c r="N232">
        <v>45202</v>
      </c>
      <c r="O232" t="s">
        <v>1226</v>
      </c>
      <c r="P232" t="s">
        <v>1227</v>
      </c>
      <c r="Q232" t="s">
        <v>1228</v>
      </c>
    </row>
    <row r="233" spans="1:17" x14ac:dyDescent="0.25">
      <c r="A233" s="1" t="str">
        <f t="shared" si="3"/>
        <v>460-L&amp;G Energy Solutions</v>
      </c>
      <c r="B233" s="1">
        <v>460</v>
      </c>
      <c r="C233" s="1" t="s">
        <v>2797</v>
      </c>
      <c r="D233" s="1" t="s">
        <v>2798</v>
      </c>
      <c r="E233" s="1"/>
      <c r="F233" s="1"/>
      <c r="G233" s="1" t="s">
        <v>2799</v>
      </c>
      <c r="H233" s="1" t="s">
        <v>1229</v>
      </c>
      <c r="I233" s="1" t="s">
        <v>544</v>
      </c>
      <c r="J233" s="1" t="s">
        <v>1230</v>
      </c>
      <c r="L233" t="s">
        <v>1231</v>
      </c>
      <c r="M233" t="s">
        <v>14</v>
      </c>
      <c r="N233">
        <v>78664</v>
      </c>
      <c r="O233" t="s">
        <v>1232</v>
      </c>
      <c r="Q233" t="s">
        <v>1233</v>
      </c>
    </row>
    <row r="234" spans="1:17" x14ac:dyDescent="0.25">
      <c r="A234" s="1" t="str">
        <f t="shared" si="3"/>
        <v>611-Landmark Industries</v>
      </c>
      <c r="B234" s="1">
        <v>611</v>
      </c>
      <c r="C234" s="1" t="s">
        <v>2800</v>
      </c>
      <c r="D234" s="1" t="s">
        <v>2801</v>
      </c>
      <c r="E234" s="1"/>
      <c r="F234" s="1"/>
      <c r="G234" s="1" t="s">
        <v>2662</v>
      </c>
      <c r="H234" s="1" t="s">
        <v>1234</v>
      </c>
      <c r="I234" s="1" t="s">
        <v>42</v>
      </c>
      <c r="J234" s="1" t="s">
        <v>1235</v>
      </c>
      <c r="L234" t="s">
        <v>13</v>
      </c>
      <c r="M234" t="s">
        <v>14</v>
      </c>
      <c r="N234">
        <v>77042</v>
      </c>
      <c r="O234" t="s">
        <v>1236</v>
      </c>
      <c r="P234" t="s">
        <v>1237</v>
      </c>
      <c r="Q234" t="s">
        <v>1238</v>
      </c>
    </row>
    <row r="235" spans="1:17" x14ac:dyDescent="0.25">
      <c r="A235" s="1" t="str">
        <f t="shared" si="3"/>
        <v>311-Lange Mechanical Services, LP</v>
      </c>
      <c r="B235" s="1">
        <v>311</v>
      </c>
      <c r="C235" s="1" t="s">
        <v>2802</v>
      </c>
      <c r="D235" s="1" t="s">
        <v>2803</v>
      </c>
      <c r="E235" s="1"/>
      <c r="F235" s="1"/>
      <c r="G235" s="1" t="s">
        <v>2804</v>
      </c>
      <c r="H235" s="1" t="s">
        <v>1239</v>
      </c>
      <c r="I235" s="1" t="s">
        <v>151</v>
      </c>
      <c r="J235" s="1" t="s">
        <v>1240</v>
      </c>
      <c r="L235" t="s">
        <v>13</v>
      </c>
      <c r="M235" t="s">
        <v>14</v>
      </c>
      <c r="N235">
        <v>77018</v>
      </c>
      <c r="O235" t="s">
        <v>1241</v>
      </c>
      <c r="P235">
        <v>7136887048</v>
      </c>
      <c r="Q235" t="s">
        <v>1242</v>
      </c>
    </row>
    <row r="236" spans="1:17" x14ac:dyDescent="0.25">
      <c r="A236" s="1" t="str">
        <f t="shared" si="3"/>
        <v>615-LED Lighting of Houston</v>
      </c>
      <c r="B236" s="1">
        <v>615</v>
      </c>
      <c r="C236" s="1" t="s">
        <v>2805</v>
      </c>
      <c r="D236" s="1" t="s">
        <v>2806</v>
      </c>
      <c r="E236" s="1"/>
      <c r="F236" s="1"/>
      <c r="G236" s="1" t="s">
        <v>2807</v>
      </c>
      <c r="H236" s="1" t="s">
        <v>1243</v>
      </c>
      <c r="I236" s="1" t="s">
        <v>1244</v>
      </c>
      <c r="J236" s="1" t="s">
        <v>1245</v>
      </c>
      <c r="L236" t="s">
        <v>1246</v>
      </c>
      <c r="M236" t="s">
        <v>14</v>
      </c>
      <c r="N236">
        <v>77004</v>
      </c>
      <c r="O236" t="s">
        <v>1247</v>
      </c>
      <c r="Q236" t="s">
        <v>1248</v>
      </c>
    </row>
    <row r="237" spans="1:17" x14ac:dyDescent="0.25">
      <c r="A237" s="1" t="str">
        <f t="shared" si="3"/>
        <v>496-LEDi2 Inc</v>
      </c>
      <c r="B237" s="1">
        <v>496</v>
      </c>
      <c r="C237" s="1" t="s">
        <v>2808</v>
      </c>
      <c r="D237" s="1" t="s">
        <v>2809</v>
      </c>
      <c r="E237" s="1"/>
      <c r="F237" s="1"/>
      <c r="G237" s="1" t="s">
        <v>2662</v>
      </c>
      <c r="H237" s="1" t="s">
        <v>1249</v>
      </c>
      <c r="I237" s="1" t="s">
        <v>1250</v>
      </c>
      <c r="J237" s="1" t="s">
        <v>1251</v>
      </c>
      <c r="L237" t="s">
        <v>13</v>
      </c>
      <c r="M237" t="s">
        <v>14</v>
      </c>
      <c r="N237">
        <v>77036</v>
      </c>
      <c r="O237" t="s">
        <v>1252</v>
      </c>
      <c r="Q237" t="s">
        <v>1253</v>
      </c>
    </row>
    <row r="238" spans="1:17" x14ac:dyDescent="0.25">
      <c r="A238" s="1" t="str">
        <f t="shared" si="3"/>
        <v>514-Letsos Company</v>
      </c>
      <c r="B238" s="1">
        <v>514</v>
      </c>
      <c r="C238" s="1" t="s">
        <v>2810</v>
      </c>
      <c r="D238" s="1" t="s">
        <v>2811</v>
      </c>
      <c r="E238" s="1"/>
      <c r="F238" s="1"/>
      <c r="G238" s="1" t="s">
        <v>2750</v>
      </c>
      <c r="H238" s="1" t="s">
        <v>1254</v>
      </c>
      <c r="I238" s="1" t="s">
        <v>1255</v>
      </c>
      <c r="J238" s="1" t="s">
        <v>1256</v>
      </c>
      <c r="K238" t="s">
        <v>1257</v>
      </c>
      <c r="L238" t="s">
        <v>13</v>
      </c>
      <c r="M238" t="s">
        <v>14</v>
      </c>
      <c r="N238">
        <v>77236</v>
      </c>
      <c r="O238" t="s">
        <v>1258</v>
      </c>
      <c r="P238" t="s">
        <v>1259</v>
      </c>
      <c r="Q238" t="s">
        <v>1260</v>
      </c>
    </row>
    <row r="239" spans="1:17" x14ac:dyDescent="0.25">
      <c r="A239" s="1" t="str">
        <f t="shared" si="3"/>
        <v>521-Level 3 Communications</v>
      </c>
      <c r="B239" s="1">
        <v>521</v>
      </c>
      <c r="C239" s="1" t="s">
        <v>2812</v>
      </c>
      <c r="D239" s="1" t="s">
        <v>2813</v>
      </c>
      <c r="E239" s="1"/>
      <c r="F239" s="1"/>
      <c r="G239" s="1" t="s">
        <v>2814</v>
      </c>
      <c r="H239" s="1" t="s">
        <v>1261</v>
      </c>
      <c r="I239" s="1" t="s">
        <v>1262</v>
      </c>
      <c r="J239" s="1" t="s">
        <v>1263</v>
      </c>
      <c r="L239" t="s">
        <v>13</v>
      </c>
      <c r="M239" t="s">
        <v>14</v>
      </c>
      <c r="N239">
        <v>77060</v>
      </c>
      <c r="O239" t="s">
        <v>1264</v>
      </c>
      <c r="Q239" t="s">
        <v>1265</v>
      </c>
    </row>
    <row r="240" spans="1:17" x14ac:dyDescent="0.25">
      <c r="A240" s="1" t="str">
        <f t="shared" si="3"/>
        <v>367-Lighting network</v>
      </c>
      <c r="B240" s="1">
        <v>367</v>
      </c>
      <c r="C240" s="1" t="s">
        <v>2815</v>
      </c>
      <c r="D240" s="1" t="s">
        <v>2816</v>
      </c>
      <c r="E240" s="1"/>
      <c r="F240" s="1"/>
      <c r="G240" s="1" t="s">
        <v>2817</v>
      </c>
      <c r="H240" s="1" t="s">
        <v>1266</v>
      </c>
      <c r="I240" s="1" t="s">
        <v>49</v>
      </c>
      <c r="J240" s="1" t="s">
        <v>1267</v>
      </c>
      <c r="L240" t="s">
        <v>13</v>
      </c>
      <c r="M240" t="s">
        <v>14</v>
      </c>
      <c r="N240">
        <v>77053</v>
      </c>
      <c r="O240" t="s">
        <v>1268</v>
      </c>
      <c r="P240" t="s">
        <v>1269</v>
      </c>
      <c r="Q240" t="s">
        <v>1270</v>
      </c>
    </row>
    <row r="241" spans="1:17" x14ac:dyDescent="0.25">
      <c r="A241" s="1" t="str">
        <f t="shared" si="3"/>
        <v>256-LIGHTING NETWORK, LLC</v>
      </c>
      <c r="B241" s="1">
        <v>256</v>
      </c>
      <c r="C241" s="1" t="s">
        <v>2818</v>
      </c>
      <c r="D241" s="1" t="s">
        <v>2819</v>
      </c>
      <c r="E241" s="1"/>
      <c r="F241" s="1" t="s">
        <v>2815</v>
      </c>
      <c r="G241" s="1" t="s">
        <v>2820</v>
      </c>
      <c r="H241" s="1" t="s">
        <v>1271</v>
      </c>
      <c r="I241" s="1" t="s">
        <v>54</v>
      </c>
      <c r="J241" s="1" t="s">
        <v>1272</v>
      </c>
      <c r="L241" t="s">
        <v>56</v>
      </c>
      <c r="M241" t="s">
        <v>14</v>
      </c>
      <c r="N241">
        <v>77053</v>
      </c>
      <c r="O241" t="s">
        <v>1273</v>
      </c>
      <c r="P241" t="s">
        <v>1269</v>
      </c>
      <c r="Q241" t="s">
        <v>1274</v>
      </c>
    </row>
    <row r="242" spans="1:17" x14ac:dyDescent="0.25">
      <c r="A242" s="1" t="str">
        <f t="shared" si="3"/>
        <v>548-Lime Energy Services Company</v>
      </c>
      <c r="B242" s="1">
        <v>548</v>
      </c>
      <c r="C242" s="1" t="s">
        <v>2821</v>
      </c>
      <c r="D242" s="1" t="s">
        <v>2822</v>
      </c>
      <c r="E242" s="1" t="s">
        <v>2823</v>
      </c>
      <c r="F242" s="1" t="s">
        <v>2824</v>
      </c>
      <c r="G242" s="1" t="s">
        <v>2202</v>
      </c>
      <c r="H242" s="1" t="s">
        <v>1275</v>
      </c>
      <c r="I242" s="1" t="s">
        <v>1276</v>
      </c>
      <c r="J242" s="1" t="s">
        <v>1277</v>
      </c>
      <c r="L242" t="s">
        <v>1278</v>
      </c>
      <c r="M242" t="s">
        <v>681</v>
      </c>
      <c r="N242">
        <v>27407</v>
      </c>
      <c r="O242" t="s">
        <v>1279</v>
      </c>
      <c r="Q242" t="s">
        <v>1280</v>
      </c>
    </row>
    <row r="243" spans="1:17" x14ac:dyDescent="0.25">
      <c r="A243" s="1" t="str">
        <f t="shared" si="3"/>
        <v>270-Lime Energy, Inc.</v>
      </c>
      <c r="B243" s="1">
        <v>270</v>
      </c>
      <c r="C243" s="1" t="s">
        <v>2825</v>
      </c>
      <c r="D243" s="1" t="s">
        <v>2826</v>
      </c>
      <c r="E243" s="1"/>
      <c r="F243" s="1"/>
      <c r="G243" s="1" t="s">
        <v>2827</v>
      </c>
      <c r="H243" s="1" t="s">
        <v>1281</v>
      </c>
      <c r="I243" s="1" t="s">
        <v>72</v>
      </c>
      <c r="J243" s="1" t="s">
        <v>1282</v>
      </c>
      <c r="L243" t="s">
        <v>107</v>
      </c>
      <c r="M243" t="s">
        <v>14</v>
      </c>
      <c r="N243">
        <v>78752</v>
      </c>
      <c r="O243" t="s">
        <v>1283</v>
      </c>
      <c r="P243" t="s">
        <v>1284</v>
      </c>
      <c r="Q243" t="s">
        <v>1285</v>
      </c>
    </row>
    <row r="244" spans="1:17" x14ac:dyDescent="0.25">
      <c r="A244" s="1" t="str">
        <f t="shared" si="3"/>
        <v>249-Linc Lighting and Electric</v>
      </c>
      <c r="B244" s="1">
        <v>249</v>
      </c>
      <c r="C244" s="1" t="s">
        <v>2828</v>
      </c>
      <c r="D244" s="1" t="s">
        <v>2829</v>
      </c>
      <c r="E244" s="1" t="s">
        <v>2830</v>
      </c>
      <c r="F244" s="1"/>
      <c r="G244" s="1" t="s">
        <v>2432</v>
      </c>
      <c r="H244" s="1" t="s">
        <v>1286</v>
      </c>
      <c r="I244" s="1" t="s">
        <v>72</v>
      </c>
      <c r="J244" s="1" t="s">
        <v>1287</v>
      </c>
      <c r="L244" t="s">
        <v>1288</v>
      </c>
      <c r="M244" t="s">
        <v>100</v>
      </c>
      <c r="N244">
        <v>90703</v>
      </c>
      <c r="O244" t="s">
        <v>1289</v>
      </c>
      <c r="P244" t="s">
        <v>1290</v>
      </c>
      <c r="Q244" t="s">
        <v>1291</v>
      </c>
    </row>
    <row r="245" spans="1:17" x14ac:dyDescent="0.25">
      <c r="A245" s="1" t="str">
        <f t="shared" si="3"/>
        <v>280-Linc Service, LLC</v>
      </c>
      <c r="B245" s="1">
        <v>280</v>
      </c>
      <c r="C245" s="1" t="s">
        <v>2831</v>
      </c>
      <c r="D245" s="1" t="s">
        <v>2832</v>
      </c>
      <c r="E245" s="1" t="s">
        <v>2830</v>
      </c>
      <c r="F245" s="1" t="s">
        <v>2831</v>
      </c>
      <c r="G245" s="1" t="s">
        <v>2716</v>
      </c>
      <c r="H245" s="1" t="s">
        <v>1292</v>
      </c>
      <c r="I245" s="1" t="s">
        <v>1293</v>
      </c>
      <c r="J245" s="1" t="s">
        <v>1294</v>
      </c>
      <c r="L245" t="s">
        <v>13</v>
      </c>
      <c r="M245" t="s">
        <v>14</v>
      </c>
      <c r="N245">
        <v>77060</v>
      </c>
      <c r="O245" t="s">
        <v>1295</v>
      </c>
      <c r="P245" t="s">
        <v>1296</v>
      </c>
      <c r="Q245" t="s">
        <v>1297</v>
      </c>
    </row>
    <row r="246" spans="1:17" x14ac:dyDescent="0.25">
      <c r="A246" s="1" t="str">
        <f t="shared" si="3"/>
        <v>282-Lowe''s Home Centers, Inc.</v>
      </c>
      <c r="B246" s="1">
        <v>282</v>
      </c>
      <c r="C246" s="1" t="s">
        <v>2833</v>
      </c>
      <c r="D246" s="1" t="s">
        <v>2834</v>
      </c>
      <c r="E246" s="1"/>
      <c r="F246" s="1"/>
      <c r="G246" s="1" t="s">
        <v>2835</v>
      </c>
      <c r="H246" s="1" t="s">
        <v>1298</v>
      </c>
      <c r="I246" s="1" t="s">
        <v>1299</v>
      </c>
      <c r="J246" s="1" t="s">
        <v>1300</v>
      </c>
      <c r="L246" t="s">
        <v>1301</v>
      </c>
      <c r="M246" t="s">
        <v>681</v>
      </c>
      <c r="N246">
        <v>28656</v>
      </c>
      <c r="O246" t="s">
        <v>1302</v>
      </c>
      <c r="Q246" t="s">
        <v>1303</v>
      </c>
    </row>
    <row r="247" spans="1:17" x14ac:dyDescent="0.25">
      <c r="A247" s="1" t="str">
        <f t="shared" si="3"/>
        <v>361-LQ Management LLC.</v>
      </c>
      <c r="B247" s="1">
        <v>361</v>
      </c>
      <c r="C247" s="1" t="s">
        <v>2836</v>
      </c>
      <c r="D247" s="1" t="s">
        <v>2837</v>
      </c>
      <c r="E247" s="1"/>
      <c r="F247" s="1"/>
      <c r="G247" s="1" t="s">
        <v>2838</v>
      </c>
      <c r="H247" s="1" t="s">
        <v>1304</v>
      </c>
      <c r="I247" s="1" t="s">
        <v>1305</v>
      </c>
      <c r="J247" s="1" t="s">
        <v>1306</v>
      </c>
      <c r="K247" t="s">
        <v>1307</v>
      </c>
      <c r="L247" t="s">
        <v>68</v>
      </c>
      <c r="M247" t="s">
        <v>14</v>
      </c>
      <c r="N247">
        <v>75038</v>
      </c>
      <c r="O247" t="s">
        <v>1308</v>
      </c>
      <c r="Q247" t="s">
        <v>1309</v>
      </c>
    </row>
    <row r="248" spans="1:17" x14ac:dyDescent="0.25">
      <c r="A248" s="1" t="str">
        <f t="shared" si="3"/>
        <v>456-Lutron Electronics</v>
      </c>
      <c r="B248" s="1">
        <v>456</v>
      </c>
      <c r="C248" s="1" t="s">
        <v>2839</v>
      </c>
      <c r="D248" s="1" t="s">
        <v>2840</v>
      </c>
      <c r="E248" s="1"/>
      <c r="F248" s="1"/>
      <c r="G248" s="1" t="s">
        <v>2841</v>
      </c>
      <c r="H248" s="1" t="s">
        <v>402</v>
      </c>
      <c r="I248" s="1" t="s">
        <v>1310</v>
      </c>
      <c r="J248" s="1" t="s">
        <v>1311</v>
      </c>
      <c r="L248" t="s">
        <v>1312</v>
      </c>
      <c r="M248" t="s">
        <v>14</v>
      </c>
      <c r="N248">
        <v>77356</v>
      </c>
      <c r="O248" t="s">
        <v>1313</v>
      </c>
      <c r="Q248" t="s">
        <v>1314</v>
      </c>
    </row>
    <row r="249" spans="1:17" x14ac:dyDescent="0.25">
      <c r="A249" s="1" t="str">
        <f t="shared" si="3"/>
        <v>598-LVI ENERGY</v>
      </c>
      <c r="B249" s="1">
        <v>598</v>
      </c>
      <c r="C249" s="1" t="s">
        <v>2842</v>
      </c>
      <c r="D249" s="1" t="s">
        <v>2843</v>
      </c>
      <c r="E249" s="1"/>
      <c r="F249" s="1"/>
      <c r="G249" s="1" t="s">
        <v>2294</v>
      </c>
      <c r="H249" s="1" t="s">
        <v>1315</v>
      </c>
      <c r="I249" s="1" t="s">
        <v>1316</v>
      </c>
      <c r="J249" s="1" t="s">
        <v>1317</v>
      </c>
      <c r="L249" t="s">
        <v>1318</v>
      </c>
      <c r="M249" t="s">
        <v>300</v>
      </c>
      <c r="N249">
        <v>11716</v>
      </c>
      <c r="O249" t="s">
        <v>1319</v>
      </c>
      <c r="P249">
        <v>8887366450</v>
      </c>
      <c r="Q249" t="s">
        <v>1320</v>
      </c>
    </row>
    <row r="250" spans="1:17" x14ac:dyDescent="0.25">
      <c r="A250" s="1" t="str">
        <f t="shared" si="3"/>
        <v>492-M S International Inc</v>
      </c>
      <c r="B250" s="1">
        <v>492</v>
      </c>
      <c r="C250" s="1" t="s">
        <v>2844</v>
      </c>
      <c r="D250" s="1" t="s">
        <v>2845</v>
      </c>
      <c r="E250" s="1"/>
      <c r="F250" s="1"/>
      <c r="G250" s="1" t="s">
        <v>2846</v>
      </c>
      <c r="H250" s="1" t="s">
        <v>181</v>
      </c>
      <c r="I250" s="1" t="s">
        <v>1321</v>
      </c>
      <c r="J250" s="1" t="s">
        <v>1322</v>
      </c>
      <c r="K250" t="s">
        <v>1323</v>
      </c>
      <c r="L250" t="s">
        <v>1324</v>
      </c>
      <c r="M250" t="s">
        <v>14</v>
      </c>
      <c r="N250">
        <v>77039</v>
      </c>
      <c r="O250" t="s">
        <v>1325</v>
      </c>
      <c r="P250" t="s">
        <v>1326</v>
      </c>
      <c r="Q250" t="s">
        <v>1327</v>
      </c>
    </row>
    <row r="251" spans="1:17" x14ac:dyDescent="0.25">
      <c r="A251" s="1" t="str">
        <f t="shared" si="3"/>
        <v>236-M.C. LIGHTING MAINTENANCE, LLC</v>
      </c>
      <c r="B251" s="1">
        <v>236</v>
      </c>
      <c r="C251" s="1" t="s">
        <v>2847</v>
      </c>
      <c r="D251" s="1" t="s">
        <v>2848</v>
      </c>
      <c r="E251" s="1"/>
      <c r="F251" s="1"/>
      <c r="G251" s="1" t="s">
        <v>2849</v>
      </c>
      <c r="H251" s="1" t="s">
        <v>1328</v>
      </c>
      <c r="I251" s="1" t="s">
        <v>54</v>
      </c>
      <c r="J251" s="1" t="s">
        <v>1329</v>
      </c>
      <c r="L251" t="s">
        <v>448</v>
      </c>
      <c r="M251" t="s">
        <v>14</v>
      </c>
      <c r="N251">
        <v>77406</v>
      </c>
      <c r="O251" t="s">
        <v>1330</v>
      </c>
      <c r="Q251" t="s">
        <v>1331</v>
      </c>
    </row>
    <row r="252" spans="1:17" x14ac:dyDescent="0.25">
      <c r="A252" s="1" t="str">
        <f t="shared" si="3"/>
        <v>593-Macy''s</v>
      </c>
      <c r="B252" s="1">
        <v>593</v>
      </c>
      <c r="C252" s="1" t="s">
        <v>2850</v>
      </c>
      <c r="D252" s="1" t="s">
        <v>2851</v>
      </c>
      <c r="E252" s="1"/>
      <c r="F252" s="1"/>
      <c r="G252" s="1" t="s">
        <v>2852</v>
      </c>
      <c r="H252" s="1" t="s">
        <v>1332</v>
      </c>
      <c r="I252" s="1" t="s">
        <v>1333</v>
      </c>
      <c r="J252" s="1" t="s">
        <v>1334</v>
      </c>
      <c r="L252" t="s">
        <v>651</v>
      </c>
      <c r="M252" t="s">
        <v>652</v>
      </c>
      <c r="N252">
        <v>45202</v>
      </c>
      <c r="O252" t="s">
        <v>1335</v>
      </c>
      <c r="Q252" t="s">
        <v>1336</v>
      </c>
    </row>
    <row r="253" spans="1:17" x14ac:dyDescent="0.25">
      <c r="A253" s="1" t="str">
        <f t="shared" si="3"/>
        <v xml:space="preserve">633-Manco Electric </v>
      </c>
      <c r="B253">
        <v>633</v>
      </c>
      <c r="D253" t="s">
        <v>7962</v>
      </c>
      <c r="G253" t="s">
        <v>7963</v>
      </c>
      <c r="H253" t="s">
        <v>7964</v>
      </c>
      <c r="J253" t="s">
        <v>7965</v>
      </c>
      <c r="L253" t="s">
        <v>365</v>
      </c>
      <c r="M253" t="s">
        <v>14</v>
      </c>
      <c r="N253" s="22" t="s">
        <v>7966</v>
      </c>
      <c r="O253" t="s">
        <v>7967</v>
      </c>
      <c r="Q253" t="s">
        <v>7968</v>
      </c>
    </row>
    <row r="254" spans="1:17" x14ac:dyDescent="0.25">
      <c r="A254" s="1" t="str">
        <f t="shared" si="3"/>
        <v>241-Maneri Agraz, LLC.</v>
      </c>
      <c r="B254" s="1">
        <v>241</v>
      </c>
      <c r="C254" s="1" t="s">
        <v>2853</v>
      </c>
      <c r="D254" s="1" t="s">
        <v>2854</v>
      </c>
      <c r="E254" s="1" t="s">
        <v>2855</v>
      </c>
      <c r="F254" s="1" t="s">
        <v>2856</v>
      </c>
      <c r="G254" s="1" t="s">
        <v>2291</v>
      </c>
      <c r="H254" s="1" t="s">
        <v>1337</v>
      </c>
      <c r="I254" s="1" t="s">
        <v>290</v>
      </c>
      <c r="J254" s="1" t="s">
        <v>1338</v>
      </c>
      <c r="L254" t="s">
        <v>13</v>
      </c>
      <c r="M254" t="s">
        <v>14</v>
      </c>
      <c r="N254">
        <v>77043</v>
      </c>
      <c r="O254" t="s">
        <v>1339</v>
      </c>
      <c r="P254" t="s">
        <v>1340</v>
      </c>
      <c r="Q254" t="s">
        <v>1341</v>
      </c>
    </row>
    <row r="255" spans="1:17" x14ac:dyDescent="0.25">
      <c r="A255" s="1" t="str">
        <f t="shared" si="3"/>
        <v>530-Mantua Manufacturing</v>
      </c>
      <c r="B255" s="1">
        <v>530</v>
      </c>
      <c r="C255" s="1" t="s">
        <v>2857</v>
      </c>
      <c r="D255" s="1" t="s">
        <v>2858</v>
      </c>
      <c r="E255" s="1"/>
      <c r="F255" s="1"/>
      <c r="G255" s="1" t="s">
        <v>2859</v>
      </c>
      <c r="H255" s="1" t="s">
        <v>1342</v>
      </c>
      <c r="I255" s="1" t="s">
        <v>1293</v>
      </c>
      <c r="J255" s="1" t="s">
        <v>1343</v>
      </c>
      <c r="L255" t="s">
        <v>13</v>
      </c>
      <c r="M255" t="s">
        <v>14</v>
      </c>
      <c r="N255">
        <v>77020</v>
      </c>
      <c r="O255" t="s">
        <v>1344</v>
      </c>
      <c r="Q255" t="s">
        <v>1345</v>
      </c>
    </row>
    <row r="256" spans="1:17" x14ac:dyDescent="0.25">
      <c r="A256" s="1" t="str">
        <f t="shared" si="3"/>
        <v>275-Marlin Environmental Products, Inc</v>
      </c>
      <c r="B256" s="1">
        <v>275</v>
      </c>
      <c r="C256" s="1" t="s">
        <v>2860</v>
      </c>
      <c r="D256" s="1" t="s">
        <v>2861</v>
      </c>
      <c r="E256" s="1"/>
      <c r="F256" s="1"/>
      <c r="G256" s="1" t="s">
        <v>2215</v>
      </c>
      <c r="H256" s="1" t="s">
        <v>715</v>
      </c>
      <c r="I256" s="1" t="s">
        <v>290</v>
      </c>
      <c r="J256" s="1" t="s">
        <v>1346</v>
      </c>
      <c r="L256" t="s">
        <v>398</v>
      </c>
      <c r="M256" t="s">
        <v>14</v>
      </c>
      <c r="N256">
        <v>77383</v>
      </c>
      <c r="O256" t="s">
        <v>717</v>
      </c>
      <c r="Q256" t="s">
        <v>1347</v>
      </c>
    </row>
    <row r="257" spans="1:17" x14ac:dyDescent="0.25">
      <c r="A257" s="1" t="str">
        <f t="shared" si="3"/>
        <v>477-Matheson Trigas</v>
      </c>
      <c r="B257" s="1">
        <v>477</v>
      </c>
      <c r="C257" s="1" t="s">
        <v>2862</v>
      </c>
      <c r="D257" s="1" t="s">
        <v>2863</v>
      </c>
      <c r="E257" s="1"/>
      <c r="F257" s="1"/>
      <c r="G257" s="1" t="s">
        <v>2864</v>
      </c>
      <c r="H257" s="1" t="s">
        <v>1348</v>
      </c>
      <c r="I257" s="1" t="s">
        <v>1349</v>
      </c>
      <c r="J257" s="1" t="s">
        <v>1350</v>
      </c>
      <c r="L257" t="s">
        <v>262</v>
      </c>
      <c r="M257" t="s">
        <v>14</v>
      </c>
      <c r="N257">
        <v>77477</v>
      </c>
      <c r="O257" t="s">
        <v>1351</v>
      </c>
      <c r="P257">
        <v>2815308907</v>
      </c>
      <c r="Q257" t="s">
        <v>1352</v>
      </c>
    </row>
    <row r="258" spans="1:17" x14ac:dyDescent="0.25">
      <c r="A258" s="1" t="str">
        <f t="shared" ref="A258:A321" si="4">IF(B258="","",B258&amp;"-"&amp;D258)</f>
        <v>320-Maximus Coffee Group</v>
      </c>
      <c r="B258" s="1">
        <v>320</v>
      </c>
      <c r="C258" s="1" t="s">
        <v>2865</v>
      </c>
      <c r="D258" s="1" t="s">
        <v>2866</v>
      </c>
      <c r="E258" s="1"/>
      <c r="F258" s="1"/>
      <c r="G258" s="1" t="s">
        <v>2867</v>
      </c>
      <c r="H258" s="1" t="s">
        <v>1353</v>
      </c>
      <c r="I258" s="1" t="s">
        <v>1354</v>
      </c>
      <c r="J258" s="1" t="s">
        <v>1355</v>
      </c>
      <c r="L258" t="s">
        <v>13</v>
      </c>
      <c r="M258" t="s">
        <v>14</v>
      </c>
      <c r="N258">
        <v>77003</v>
      </c>
      <c r="O258" t="s">
        <v>1356</v>
      </c>
      <c r="P258" t="s">
        <v>1357</v>
      </c>
      <c r="Q258" t="s">
        <v>1358</v>
      </c>
    </row>
    <row r="259" spans="1:17" x14ac:dyDescent="0.25">
      <c r="A259" s="1" t="str">
        <f t="shared" si="4"/>
        <v>524-Mazzetti Nash Lipsey Burch</v>
      </c>
      <c r="B259" s="1">
        <v>524</v>
      </c>
      <c r="C259" s="1" t="s">
        <v>2868</v>
      </c>
      <c r="D259" s="1" t="s">
        <v>2869</v>
      </c>
      <c r="E259" s="1"/>
      <c r="F259" s="1"/>
      <c r="G259" s="1" t="s">
        <v>2287</v>
      </c>
      <c r="H259" s="1" t="s">
        <v>1359</v>
      </c>
      <c r="I259" s="1" t="s">
        <v>1360</v>
      </c>
      <c r="J259" s="1" t="s">
        <v>1361</v>
      </c>
      <c r="K259" t="s">
        <v>1362</v>
      </c>
      <c r="L259" t="s">
        <v>1363</v>
      </c>
      <c r="M259" t="s">
        <v>841</v>
      </c>
      <c r="N259">
        <v>37027</v>
      </c>
      <c r="O259" t="s">
        <v>1364</v>
      </c>
      <c r="Q259" t="s">
        <v>1365</v>
      </c>
    </row>
    <row r="260" spans="1:17" x14ac:dyDescent="0.25">
      <c r="A260" s="1" t="str">
        <f t="shared" si="4"/>
        <v>237-McBride Electric</v>
      </c>
      <c r="B260" s="1">
        <v>237</v>
      </c>
      <c r="C260" s="1" t="s">
        <v>2870</v>
      </c>
      <c r="D260" s="1" t="s">
        <v>2871</v>
      </c>
      <c r="E260" s="1" t="s">
        <v>2872</v>
      </c>
      <c r="F260" s="1" t="s">
        <v>2870</v>
      </c>
      <c r="G260" s="1" t="s">
        <v>2391</v>
      </c>
      <c r="H260" s="1" t="s">
        <v>440</v>
      </c>
      <c r="I260" s="1" t="s">
        <v>1366</v>
      </c>
      <c r="J260" s="1" t="s">
        <v>1367</v>
      </c>
      <c r="L260" t="s">
        <v>13</v>
      </c>
      <c r="M260" t="s">
        <v>14</v>
      </c>
      <c r="N260">
        <v>77018</v>
      </c>
      <c r="O260" t="s">
        <v>1368</v>
      </c>
      <c r="P260" t="s">
        <v>1369</v>
      </c>
      <c r="Q260" t="s">
        <v>1370</v>
      </c>
    </row>
    <row r="261" spans="1:17" x14ac:dyDescent="0.25">
      <c r="A261" s="1" t="str">
        <f t="shared" si="4"/>
        <v>576-McKinstry Co.</v>
      </c>
      <c r="B261" s="1">
        <v>576</v>
      </c>
      <c r="C261" s="1" t="s">
        <v>2873</v>
      </c>
      <c r="D261" s="1" t="s">
        <v>2874</v>
      </c>
      <c r="E261" s="1"/>
      <c r="F261" s="1"/>
      <c r="G261" s="1" t="s">
        <v>2875</v>
      </c>
      <c r="H261" s="1" t="s">
        <v>1371</v>
      </c>
      <c r="I261" s="1" t="s">
        <v>1372</v>
      </c>
      <c r="J261" s="1" t="s">
        <v>1373</v>
      </c>
      <c r="L261" t="s">
        <v>1374</v>
      </c>
      <c r="M261" t="s">
        <v>562</v>
      </c>
      <c r="N261">
        <v>98134</v>
      </c>
      <c r="O261" t="s">
        <v>1375</v>
      </c>
      <c r="Q261" t="s">
        <v>1376</v>
      </c>
    </row>
    <row r="262" spans="1:17" x14ac:dyDescent="0.25">
      <c r="A262" s="1" t="str">
        <f t="shared" si="4"/>
        <v>302-MD Anderson Cancer Center</v>
      </c>
      <c r="B262" s="1">
        <v>302</v>
      </c>
      <c r="C262" s="1" t="s">
        <v>2876</v>
      </c>
      <c r="D262" s="1" t="s">
        <v>2877</v>
      </c>
      <c r="E262" s="1"/>
      <c r="F262" s="1"/>
      <c r="G262" s="1" t="s">
        <v>2878</v>
      </c>
      <c r="H262" s="1" t="s">
        <v>1377</v>
      </c>
      <c r="I262" s="1" t="s">
        <v>1378</v>
      </c>
      <c r="J262" s="1" t="s">
        <v>1379</v>
      </c>
      <c r="K262" t="s">
        <v>1380</v>
      </c>
      <c r="L262" t="s">
        <v>1246</v>
      </c>
      <c r="M262" t="s">
        <v>14</v>
      </c>
      <c r="N262">
        <v>77230</v>
      </c>
      <c r="O262" t="s">
        <v>1381</v>
      </c>
      <c r="P262" t="s">
        <v>1382</v>
      </c>
      <c r="Q262" t="s">
        <v>1383</v>
      </c>
    </row>
    <row r="263" spans="1:17" x14ac:dyDescent="0.25">
      <c r="A263" s="1" t="str">
        <f t="shared" si="4"/>
        <v>450-Mechanical Systems and Services</v>
      </c>
      <c r="B263" s="1">
        <v>450</v>
      </c>
      <c r="C263" s="1" t="s">
        <v>2879</v>
      </c>
      <c r="D263" s="1" t="s">
        <v>2880</v>
      </c>
      <c r="E263" s="1"/>
      <c r="F263" s="1"/>
      <c r="G263" s="1" t="s">
        <v>1157</v>
      </c>
      <c r="H263" s="1" t="s">
        <v>1384</v>
      </c>
      <c r="I263" s="1" t="s">
        <v>42</v>
      </c>
      <c r="J263" s="1" t="s">
        <v>1385</v>
      </c>
      <c r="L263" t="s">
        <v>1386</v>
      </c>
      <c r="M263" t="s">
        <v>681</v>
      </c>
      <c r="N263">
        <v>28232</v>
      </c>
      <c r="O263" t="s">
        <v>1387</v>
      </c>
      <c r="P263" t="s">
        <v>1388</v>
      </c>
      <c r="Q263" t="s">
        <v>1389</v>
      </c>
    </row>
    <row r="264" spans="1:17" x14ac:dyDescent="0.25">
      <c r="A264" s="1" t="str">
        <f t="shared" si="4"/>
        <v>575-Melink Corporation</v>
      </c>
      <c r="B264" s="1">
        <v>575</v>
      </c>
      <c r="C264" s="1" t="s">
        <v>2881</v>
      </c>
      <c r="D264" s="1" t="s">
        <v>2882</v>
      </c>
      <c r="E264" s="1"/>
      <c r="F264" s="1"/>
      <c r="G264" s="1" t="s">
        <v>2750</v>
      </c>
      <c r="H264" s="1" t="s">
        <v>1390</v>
      </c>
      <c r="I264" s="1" t="s">
        <v>246</v>
      </c>
      <c r="J264" s="1" t="s">
        <v>1391</v>
      </c>
      <c r="L264" t="s">
        <v>1392</v>
      </c>
      <c r="M264" t="s">
        <v>652</v>
      </c>
      <c r="N264">
        <v>45150</v>
      </c>
      <c r="O264" t="s">
        <v>1393</v>
      </c>
      <c r="Q264" t="s">
        <v>1394</v>
      </c>
    </row>
    <row r="265" spans="1:17" x14ac:dyDescent="0.25">
      <c r="A265" s="1" t="str">
        <f t="shared" si="4"/>
        <v>330-Memorial Drive Prebyterian Church</v>
      </c>
      <c r="B265" s="1">
        <v>330</v>
      </c>
      <c r="C265" s="1" t="s">
        <v>2883</v>
      </c>
      <c r="D265" s="1" t="s">
        <v>2884</v>
      </c>
      <c r="E265" s="1"/>
      <c r="F265" s="1"/>
      <c r="G265" s="1" t="s">
        <v>2885</v>
      </c>
      <c r="H265" s="1" t="s">
        <v>1395</v>
      </c>
      <c r="I265" s="1" t="s">
        <v>1396</v>
      </c>
      <c r="J265" s="1" t="s">
        <v>1397</v>
      </c>
      <c r="L265" t="s">
        <v>13</v>
      </c>
      <c r="M265" t="s">
        <v>14</v>
      </c>
      <c r="N265">
        <v>77024</v>
      </c>
      <c r="O265" t="s">
        <v>1398</v>
      </c>
      <c r="P265" t="s">
        <v>1399</v>
      </c>
      <c r="Q265" t="s">
        <v>1400</v>
      </c>
    </row>
    <row r="266" spans="1:17" x14ac:dyDescent="0.25">
      <c r="A266" s="1" t="str">
        <f t="shared" si="4"/>
        <v>379-Mi</v>
      </c>
      <c r="B266" s="1">
        <v>379</v>
      </c>
      <c r="C266" s="1" t="s">
        <v>2886</v>
      </c>
      <c r="D266" s="1" t="s">
        <v>2887</v>
      </c>
      <c r="E266" s="1"/>
      <c r="F266" s="1"/>
      <c r="G266" s="1" t="s">
        <v>255</v>
      </c>
      <c r="H266" s="1" t="s">
        <v>1401</v>
      </c>
      <c r="I266" s="1" t="s">
        <v>1402</v>
      </c>
      <c r="J266" s="1" t="s">
        <v>1403</v>
      </c>
      <c r="L266" t="s">
        <v>293</v>
      </c>
      <c r="M266" t="s">
        <v>14</v>
      </c>
      <c r="N266">
        <v>77001</v>
      </c>
      <c r="O266" t="s">
        <v>1404</v>
      </c>
      <c r="Q266" t="s">
        <v>1405</v>
      </c>
    </row>
    <row r="267" spans="1:17" x14ac:dyDescent="0.25">
      <c r="A267" s="1" t="str">
        <f t="shared" si="4"/>
        <v>347-Michael's Store Inc</v>
      </c>
      <c r="B267" s="1">
        <v>347</v>
      </c>
      <c r="C267" s="1" t="s">
        <v>2888</v>
      </c>
      <c r="D267" s="1" t="s">
        <v>2889</v>
      </c>
      <c r="E267" s="1"/>
      <c r="F267" s="1"/>
      <c r="G267" s="1" t="s">
        <v>2890</v>
      </c>
      <c r="H267" s="1" t="s">
        <v>1406</v>
      </c>
      <c r="I267" s="1" t="s">
        <v>432</v>
      </c>
      <c r="J267" s="1" t="s">
        <v>1407</v>
      </c>
      <c r="L267" t="s">
        <v>68</v>
      </c>
      <c r="M267" t="s">
        <v>14</v>
      </c>
      <c r="N267">
        <v>75063</v>
      </c>
      <c r="O267" t="s">
        <v>1408</v>
      </c>
      <c r="P267" t="s">
        <v>1409</v>
      </c>
      <c r="Q267" t="s">
        <v>1410</v>
      </c>
    </row>
    <row r="268" spans="1:17" x14ac:dyDescent="0.25">
      <c r="A268" s="1" t="str">
        <f t="shared" si="4"/>
        <v>386-MIROR Lighting, Inc.</v>
      </c>
      <c r="B268" s="1">
        <v>386</v>
      </c>
      <c r="C268" s="1" t="s">
        <v>2891</v>
      </c>
      <c r="D268" s="1" t="s">
        <v>2892</v>
      </c>
      <c r="E268" s="1"/>
      <c r="F268" s="1"/>
      <c r="G268" s="1" t="s">
        <v>2893</v>
      </c>
      <c r="H268" s="1" t="s">
        <v>1411</v>
      </c>
      <c r="I268" s="1" t="s">
        <v>1412</v>
      </c>
      <c r="J268" s="1" t="s">
        <v>1413</v>
      </c>
      <c r="L268" t="s">
        <v>1021</v>
      </c>
      <c r="M268" t="s">
        <v>185</v>
      </c>
      <c r="N268">
        <v>66215</v>
      </c>
      <c r="O268" t="s">
        <v>1414</v>
      </c>
      <c r="P268" t="s">
        <v>1415</v>
      </c>
      <c r="Q268" t="s">
        <v>1416</v>
      </c>
    </row>
    <row r="269" spans="1:17" x14ac:dyDescent="0.25">
      <c r="A269" s="1" t="str">
        <f t="shared" si="4"/>
        <v>624-Mitsubishi Power Systems Americas</v>
      </c>
      <c r="B269" s="1">
        <v>624</v>
      </c>
      <c r="C269" s="1" t="s">
        <v>2894</v>
      </c>
      <c r="D269" s="1" t="s">
        <v>2895</v>
      </c>
      <c r="E269" s="1"/>
      <c r="F269" s="1"/>
      <c r="G269" s="1" t="s">
        <v>2896</v>
      </c>
      <c r="H269" s="1" t="s">
        <v>1417</v>
      </c>
      <c r="I269" s="1" t="s">
        <v>1418</v>
      </c>
      <c r="J269" s="1" t="s">
        <v>1419</v>
      </c>
      <c r="L269" t="s">
        <v>13</v>
      </c>
      <c r="M269" t="s">
        <v>14</v>
      </c>
      <c r="N269">
        <v>77049</v>
      </c>
      <c r="O269" t="s">
        <v>1420</v>
      </c>
      <c r="Q269" t="s">
        <v>8030</v>
      </c>
    </row>
    <row r="270" spans="1:17" x14ac:dyDescent="0.25">
      <c r="A270" s="1" t="str">
        <f t="shared" si="4"/>
        <v>518-MODULIGHT USA LLC</v>
      </c>
      <c r="B270" s="1">
        <v>518</v>
      </c>
      <c r="C270" s="1" t="s">
        <v>2897</v>
      </c>
      <c r="D270" s="1" t="s">
        <v>2898</v>
      </c>
      <c r="E270" s="1"/>
      <c r="F270" s="1" t="s">
        <v>2897</v>
      </c>
      <c r="G270" s="1" t="s">
        <v>2899</v>
      </c>
      <c r="H270" s="1" t="s">
        <v>1421</v>
      </c>
      <c r="I270" s="1" t="s">
        <v>363</v>
      </c>
      <c r="J270" s="1" t="s">
        <v>1422</v>
      </c>
      <c r="L270" t="s">
        <v>56</v>
      </c>
      <c r="M270" t="s">
        <v>14</v>
      </c>
      <c r="N270">
        <v>77041</v>
      </c>
      <c r="O270" t="s">
        <v>1423</v>
      </c>
      <c r="Q270" t="s">
        <v>1424</v>
      </c>
    </row>
    <row r="271" spans="1:17" x14ac:dyDescent="0.25">
      <c r="A271" s="1" t="str">
        <f t="shared" si="4"/>
        <v>644-Monterey Energy, Inc</v>
      </c>
      <c r="B271">
        <v>644</v>
      </c>
      <c r="D271" t="s">
        <v>8073</v>
      </c>
      <c r="G271" t="s">
        <v>8077</v>
      </c>
      <c r="H271" t="s">
        <v>8078</v>
      </c>
      <c r="J271" t="s">
        <v>8074</v>
      </c>
      <c r="L271" t="s">
        <v>1479</v>
      </c>
      <c r="M271" t="s">
        <v>100</v>
      </c>
      <c r="N271" s="22" t="s">
        <v>8075</v>
      </c>
      <c r="O271" t="s">
        <v>8076</v>
      </c>
      <c r="Q271" s="2" t="s">
        <v>8079</v>
      </c>
    </row>
    <row r="272" spans="1:17" x14ac:dyDescent="0.25">
      <c r="A272" s="1" t="str">
        <f t="shared" si="4"/>
        <v>397-Monterey Lighting Solutions</v>
      </c>
      <c r="B272" s="1">
        <v>397</v>
      </c>
      <c r="C272" s="1" t="s">
        <v>2900</v>
      </c>
      <c r="D272" s="1" t="s">
        <v>2901</v>
      </c>
      <c r="E272" s="1"/>
      <c r="F272" s="1"/>
      <c r="G272" s="1" t="s">
        <v>2902</v>
      </c>
      <c r="H272" s="1" t="s">
        <v>1425</v>
      </c>
      <c r="I272" s="1" t="s">
        <v>1426</v>
      </c>
      <c r="J272" s="1" t="s">
        <v>1427</v>
      </c>
      <c r="L272" t="s">
        <v>1428</v>
      </c>
      <c r="M272" t="s">
        <v>14</v>
      </c>
      <c r="N272">
        <v>91768</v>
      </c>
      <c r="O272" t="s">
        <v>1429</v>
      </c>
      <c r="Q272" t="s">
        <v>1430</v>
      </c>
    </row>
    <row r="273" spans="1:17" x14ac:dyDescent="0.25">
      <c r="A273" s="1" t="str">
        <f t="shared" si="4"/>
        <v>364-MRT Lighting</v>
      </c>
      <c r="B273" s="1">
        <v>364</v>
      </c>
      <c r="C273" s="1" t="s">
        <v>2903</v>
      </c>
      <c r="D273" s="1" t="s">
        <v>2904</v>
      </c>
      <c r="E273" s="1" t="s">
        <v>2905</v>
      </c>
      <c r="F273" s="1" t="s">
        <v>2903</v>
      </c>
      <c r="G273" s="1" t="s">
        <v>2906</v>
      </c>
      <c r="H273" s="1" t="s">
        <v>1431</v>
      </c>
      <c r="I273" s="1" t="s">
        <v>708</v>
      </c>
      <c r="J273" s="1" t="s">
        <v>1432</v>
      </c>
      <c r="K273" t="s">
        <v>1433</v>
      </c>
      <c r="L273" t="s">
        <v>13</v>
      </c>
      <c r="M273" t="s">
        <v>14</v>
      </c>
      <c r="N273">
        <v>77022</v>
      </c>
      <c r="O273" t="s">
        <v>1434</v>
      </c>
      <c r="P273" t="s">
        <v>1435</v>
      </c>
      <c r="Q273" t="s">
        <v>1436</v>
      </c>
    </row>
    <row r="274" spans="1:17" x14ac:dyDescent="0.25">
      <c r="A274" s="1" t="str">
        <f t="shared" si="4"/>
        <v>292-National Energy Services, Inc.</v>
      </c>
      <c r="B274" s="1">
        <v>292</v>
      </c>
      <c r="C274" s="1" t="s">
        <v>2907</v>
      </c>
      <c r="D274" s="1" t="s">
        <v>2908</v>
      </c>
      <c r="E274" s="1"/>
      <c r="F274" s="1"/>
      <c r="G274" s="1" t="s">
        <v>2909</v>
      </c>
      <c r="H274" s="1" t="s">
        <v>1437</v>
      </c>
      <c r="I274" s="1" t="s">
        <v>1438</v>
      </c>
      <c r="J274" s="1" t="s">
        <v>1439</v>
      </c>
      <c r="K274" t="s">
        <v>1440</v>
      </c>
      <c r="L274" t="s">
        <v>1441</v>
      </c>
      <c r="M274" t="s">
        <v>1442</v>
      </c>
      <c r="N274">
        <v>30076</v>
      </c>
      <c r="O274" t="s">
        <v>1443</v>
      </c>
      <c r="P274" t="s">
        <v>1444</v>
      </c>
    </row>
    <row r="275" spans="1:17" x14ac:dyDescent="0.25">
      <c r="A275" s="1" t="str">
        <f t="shared" si="4"/>
        <v>468-National Energy Solutions, Inc</v>
      </c>
      <c r="B275" s="1">
        <v>468</v>
      </c>
      <c r="C275" s="1" t="s">
        <v>2910</v>
      </c>
      <c r="D275" s="1" t="s">
        <v>2911</v>
      </c>
      <c r="E275" s="1" t="s">
        <v>2911</v>
      </c>
      <c r="F275" s="1"/>
      <c r="G275" s="1" t="s">
        <v>2912</v>
      </c>
      <c r="H275" s="1" t="s">
        <v>1445</v>
      </c>
      <c r="I275" s="1" t="s">
        <v>42</v>
      </c>
      <c r="J275" s="1" t="s">
        <v>1446</v>
      </c>
      <c r="L275" t="s">
        <v>1447</v>
      </c>
      <c r="M275" t="s">
        <v>129</v>
      </c>
      <c r="N275">
        <v>19054</v>
      </c>
      <c r="O275" t="s">
        <v>1448</v>
      </c>
      <c r="P275" t="s">
        <v>1449</v>
      </c>
      <c r="Q275" t="s">
        <v>1450</v>
      </c>
    </row>
    <row r="276" spans="1:17" x14ac:dyDescent="0.25">
      <c r="A276" s="1" t="str">
        <f t="shared" si="4"/>
        <v>538-National Resource Management</v>
      </c>
      <c r="B276" s="1">
        <v>538</v>
      </c>
      <c r="C276" s="1" t="s">
        <v>2913</v>
      </c>
      <c r="D276" s="1" t="s">
        <v>2914</v>
      </c>
      <c r="E276" s="1"/>
      <c r="F276" s="1"/>
      <c r="G276" s="1" t="s">
        <v>2915</v>
      </c>
      <c r="H276" s="1" t="s">
        <v>1451</v>
      </c>
      <c r="I276" s="1" t="s">
        <v>246</v>
      </c>
      <c r="J276" s="1" t="s">
        <v>1452</v>
      </c>
      <c r="L276" t="s">
        <v>1453</v>
      </c>
      <c r="M276" t="s">
        <v>217</v>
      </c>
      <c r="N276">
        <v>2021</v>
      </c>
      <c r="O276" t="s">
        <v>1454</v>
      </c>
      <c r="P276" t="s">
        <v>1455</v>
      </c>
      <c r="Q276" t="s">
        <v>1456</v>
      </c>
    </row>
    <row r="277" spans="1:17" x14ac:dyDescent="0.25">
      <c r="A277" s="1" t="str">
        <f t="shared" si="4"/>
        <v>639-Neighborhood Centers</v>
      </c>
      <c r="B277">
        <v>639</v>
      </c>
      <c r="D277" t="s">
        <v>8028</v>
      </c>
      <c r="G277" t="s">
        <v>8045</v>
      </c>
      <c r="H277" t="s">
        <v>8046</v>
      </c>
      <c r="J277" t="s">
        <v>8047</v>
      </c>
      <c r="L277" t="s">
        <v>209</v>
      </c>
      <c r="M277" t="s">
        <v>14</v>
      </c>
      <c r="N277">
        <v>77401</v>
      </c>
      <c r="O277" t="s">
        <v>8049</v>
      </c>
      <c r="Q277" s="2" t="s">
        <v>8048</v>
      </c>
    </row>
    <row r="278" spans="1:17" x14ac:dyDescent="0.25">
      <c r="A278" s="1" t="str">
        <f t="shared" si="4"/>
        <v>408-NES, A Johnson Controls Company</v>
      </c>
      <c r="B278" s="1">
        <v>408</v>
      </c>
      <c r="C278" s="1" t="s">
        <v>2916</v>
      </c>
      <c r="D278" s="1" t="s">
        <v>2917</v>
      </c>
      <c r="E278" s="1"/>
      <c r="F278" s="1"/>
      <c r="G278" s="1" t="s">
        <v>2918</v>
      </c>
      <c r="H278" s="1" t="s">
        <v>1457</v>
      </c>
      <c r="I278" s="1" t="s">
        <v>833</v>
      </c>
      <c r="J278" s="1" t="s">
        <v>1439</v>
      </c>
      <c r="K278" t="s">
        <v>1440</v>
      </c>
      <c r="L278" t="s">
        <v>1441</v>
      </c>
      <c r="M278" t="s">
        <v>1442</v>
      </c>
      <c r="N278">
        <v>30076</v>
      </c>
      <c r="O278" t="s">
        <v>1458</v>
      </c>
      <c r="P278" t="s">
        <v>1459</v>
      </c>
      <c r="Q278" t="s">
        <v>1460</v>
      </c>
    </row>
    <row r="279" spans="1:17" x14ac:dyDescent="0.25">
      <c r="A279" s="1" t="str">
        <f t="shared" si="4"/>
        <v>528-netLiNK Controls</v>
      </c>
      <c r="B279" s="1">
        <v>528</v>
      </c>
      <c r="C279" s="1" t="s">
        <v>2919</v>
      </c>
      <c r="D279" s="1" t="s">
        <v>2920</v>
      </c>
      <c r="E279" s="1" t="s">
        <v>2921</v>
      </c>
      <c r="F279" s="1" t="s">
        <v>2919</v>
      </c>
      <c r="G279" s="1" t="s">
        <v>2339</v>
      </c>
      <c r="H279" s="1" t="s">
        <v>1461</v>
      </c>
      <c r="I279" s="1" t="s">
        <v>42</v>
      </c>
      <c r="J279" s="1" t="s">
        <v>1462</v>
      </c>
      <c r="L279" t="s">
        <v>312</v>
      </c>
      <c r="M279" t="s">
        <v>14</v>
      </c>
      <c r="N279">
        <v>76110</v>
      </c>
      <c r="O279" t="s">
        <v>1463</v>
      </c>
      <c r="P279" t="s">
        <v>1464</v>
      </c>
      <c r="Q279" t="s">
        <v>1465</v>
      </c>
    </row>
    <row r="280" spans="1:17" x14ac:dyDescent="0.25">
      <c r="A280" s="1" t="str">
        <f t="shared" si="4"/>
        <v>325-New England Energy Management, Inc</v>
      </c>
      <c r="B280" s="1">
        <v>325</v>
      </c>
      <c r="C280" s="1" t="s">
        <v>2922</v>
      </c>
      <c r="D280" s="1" t="s">
        <v>2923</v>
      </c>
      <c r="E280" s="1"/>
      <c r="F280" s="1"/>
      <c r="G280" s="1" t="s">
        <v>2594</v>
      </c>
      <c r="H280" s="1" t="s">
        <v>1466</v>
      </c>
      <c r="I280" s="1" t="s">
        <v>290</v>
      </c>
      <c r="J280" s="1" t="s">
        <v>1467</v>
      </c>
      <c r="L280" t="s">
        <v>1468</v>
      </c>
      <c r="M280" t="s">
        <v>547</v>
      </c>
      <c r="N280">
        <v>6810</v>
      </c>
      <c r="O280" t="s">
        <v>1469</v>
      </c>
      <c r="P280" t="s">
        <v>1470</v>
      </c>
      <c r="Q280" t="s">
        <v>1471</v>
      </c>
    </row>
    <row r="281" spans="1:17" x14ac:dyDescent="0.25">
      <c r="A281" s="1" t="str">
        <f t="shared" si="4"/>
        <v>426-New England Energy Management, Inc</v>
      </c>
      <c r="B281" s="1">
        <v>426</v>
      </c>
      <c r="C281" s="1" t="s">
        <v>2924</v>
      </c>
      <c r="D281" s="1" t="s">
        <v>2923</v>
      </c>
      <c r="E281" s="1"/>
      <c r="F281" s="1"/>
      <c r="G281" s="1" t="s">
        <v>2547</v>
      </c>
      <c r="H281" s="1" t="s">
        <v>1472</v>
      </c>
      <c r="I281" s="1" t="s">
        <v>1473</v>
      </c>
      <c r="J281" s="1" t="s">
        <v>1474</v>
      </c>
      <c r="K281" t="s">
        <v>1475</v>
      </c>
      <c r="L281" t="s">
        <v>1468</v>
      </c>
      <c r="M281" t="s">
        <v>547</v>
      </c>
      <c r="N281">
        <v>6810</v>
      </c>
      <c r="O281" t="s">
        <v>1469</v>
      </c>
      <c r="P281" t="s">
        <v>1470</v>
      </c>
      <c r="Q281" t="s">
        <v>1476</v>
      </c>
    </row>
    <row r="282" spans="1:17" x14ac:dyDescent="0.25">
      <c r="A282" s="1" t="str">
        <f t="shared" si="4"/>
        <v>543-Niagara Bottling, LLC</v>
      </c>
      <c r="B282" s="1">
        <v>543</v>
      </c>
      <c r="C282" s="1" t="s">
        <v>2925</v>
      </c>
      <c r="D282" s="1" t="s">
        <v>2926</v>
      </c>
      <c r="E282" s="1"/>
      <c r="F282" s="1"/>
      <c r="G282" s="1" t="s">
        <v>2835</v>
      </c>
      <c r="H282" s="1" t="s">
        <v>1477</v>
      </c>
      <c r="I282" s="1" t="s">
        <v>321</v>
      </c>
      <c r="J282" s="1" t="s">
        <v>1478</v>
      </c>
      <c r="L282" t="s">
        <v>1479</v>
      </c>
      <c r="M282" t="s">
        <v>100</v>
      </c>
      <c r="N282">
        <v>91761</v>
      </c>
      <c r="O282" t="s">
        <v>1480</v>
      </c>
      <c r="Q282" t="s">
        <v>1481</v>
      </c>
    </row>
    <row r="283" spans="1:17" x14ac:dyDescent="0.25">
      <c r="A283" s="1" t="str">
        <f t="shared" si="4"/>
        <v>393-Noble Conservation Solutions, Inc.</v>
      </c>
      <c r="B283" s="1">
        <v>393</v>
      </c>
      <c r="C283" s="1" t="s">
        <v>2927</v>
      </c>
      <c r="D283" s="1" t="s">
        <v>2928</v>
      </c>
      <c r="E283" s="1"/>
      <c r="F283" s="1"/>
      <c r="G283" s="1" t="s">
        <v>2280</v>
      </c>
      <c r="H283" s="1" t="s">
        <v>1482</v>
      </c>
      <c r="I283" s="1" t="s">
        <v>1043</v>
      </c>
      <c r="J283" s="1" t="s">
        <v>1483</v>
      </c>
      <c r="L283" t="s">
        <v>756</v>
      </c>
      <c r="M283" t="s">
        <v>411</v>
      </c>
      <c r="N283">
        <v>55441</v>
      </c>
      <c r="O283" t="s">
        <v>1484</v>
      </c>
      <c r="Q283" t="s">
        <v>1485</v>
      </c>
    </row>
    <row r="284" spans="1:17" x14ac:dyDescent="0.25">
      <c r="A284" s="1" t="str">
        <f t="shared" si="4"/>
        <v>218-Nordco, Inc</v>
      </c>
      <c r="B284" s="1">
        <v>218</v>
      </c>
      <c r="C284" s="1" t="s">
        <v>2929</v>
      </c>
      <c r="D284" s="1" t="s">
        <v>2930</v>
      </c>
      <c r="E284" s="1" t="s">
        <v>2930</v>
      </c>
      <c r="F284" s="1" t="s">
        <v>2929</v>
      </c>
      <c r="G284" s="1" t="s">
        <v>2931</v>
      </c>
      <c r="H284" s="1" t="s">
        <v>1486</v>
      </c>
      <c r="I284" s="1" t="s">
        <v>1487</v>
      </c>
      <c r="J284" s="1" t="s">
        <v>1488</v>
      </c>
      <c r="L284" t="s">
        <v>293</v>
      </c>
      <c r="M284" t="s">
        <v>14</v>
      </c>
      <c r="N284">
        <v>75382</v>
      </c>
      <c r="O284" t="s">
        <v>1489</v>
      </c>
      <c r="P284" t="s">
        <v>1490</v>
      </c>
      <c r="Q284" t="s">
        <v>1491</v>
      </c>
    </row>
    <row r="285" spans="1:17" x14ac:dyDescent="0.25">
      <c r="A285" s="1" t="str">
        <f t="shared" si="4"/>
        <v>278-NovaTech Energy Services Group</v>
      </c>
      <c r="B285" s="1">
        <v>278</v>
      </c>
      <c r="C285" s="1" t="s">
        <v>2932</v>
      </c>
      <c r="D285" s="1" t="s">
        <v>2933</v>
      </c>
      <c r="E285" s="1"/>
      <c r="F285" s="1"/>
      <c r="G285" s="1" t="s">
        <v>2526</v>
      </c>
      <c r="H285" s="1" t="s">
        <v>1492</v>
      </c>
      <c r="I285" s="1" t="s">
        <v>1493</v>
      </c>
      <c r="J285" s="1" t="s">
        <v>1494</v>
      </c>
      <c r="L285" t="s">
        <v>1495</v>
      </c>
      <c r="M285" t="s">
        <v>14</v>
      </c>
      <c r="N285">
        <v>76011</v>
      </c>
      <c r="O285" t="s">
        <v>1496</v>
      </c>
      <c r="P285" t="s">
        <v>1497</v>
      </c>
      <c r="Q285" t="s">
        <v>1498</v>
      </c>
    </row>
    <row r="286" spans="1:17" x14ac:dyDescent="0.25">
      <c r="A286" s="1" t="str">
        <f t="shared" si="4"/>
        <v>321-Novatech Energy Services Group, Inc.</v>
      </c>
      <c r="B286" s="1">
        <v>321</v>
      </c>
      <c r="C286" s="1" t="s">
        <v>2934</v>
      </c>
      <c r="D286" s="1" t="s">
        <v>2935</v>
      </c>
      <c r="E286" s="1"/>
      <c r="F286" s="1"/>
      <c r="G286" s="1" t="s">
        <v>2526</v>
      </c>
      <c r="H286" s="1" t="s">
        <v>1492</v>
      </c>
      <c r="I286" s="1" t="s">
        <v>1499</v>
      </c>
      <c r="J286" s="1" t="s">
        <v>1494</v>
      </c>
      <c r="L286" t="s">
        <v>1495</v>
      </c>
      <c r="M286" t="s">
        <v>14</v>
      </c>
      <c r="N286">
        <v>76011</v>
      </c>
      <c r="O286" t="s">
        <v>1496</v>
      </c>
      <c r="Q286" t="s">
        <v>1498</v>
      </c>
    </row>
    <row r="287" spans="1:17" x14ac:dyDescent="0.25">
      <c r="A287" s="1" t="str">
        <f t="shared" si="4"/>
        <v>533-Obtainable Energy</v>
      </c>
      <c r="B287" s="1">
        <v>533</v>
      </c>
      <c r="C287" s="1" t="s">
        <v>2936</v>
      </c>
      <c r="D287" s="1" t="s">
        <v>2937</v>
      </c>
      <c r="E287" s="1"/>
      <c r="F287" s="1"/>
      <c r="G287" s="1" t="s">
        <v>2938</v>
      </c>
      <c r="H287" s="1" t="s">
        <v>488</v>
      </c>
      <c r="I287" s="1" t="s">
        <v>290</v>
      </c>
      <c r="J287" s="1" t="s">
        <v>1500</v>
      </c>
      <c r="L287" t="s">
        <v>1153</v>
      </c>
      <c r="M287" t="s">
        <v>14</v>
      </c>
      <c r="N287">
        <v>77546</v>
      </c>
      <c r="O287" t="s">
        <v>1501</v>
      </c>
      <c r="Q287" t="s">
        <v>1502</v>
      </c>
    </row>
    <row r="288" spans="1:17" x14ac:dyDescent="0.25">
      <c r="A288" s="1" t="str">
        <f t="shared" si="4"/>
        <v>550-Oensol LLC</v>
      </c>
      <c r="B288" s="1">
        <v>550</v>
      </c>
      <c r="C288" s="1" t="s">
        <v>2939</v>
      </c>
      <c r="D288" s="1" t="s">
        <v>2940</v>
      </c>
      <c r="E288" s="1"/>
      <c r="F288" s="1"/>
      <c r="G288" s="1" t="s">
        <v>2941</v>
      </c>
      <c r="H288" s="1" t="s">
        <v>1503</v>
      </c>
      <c r="I288" s="1" t="s">
        <v>363</v>
      </c>
      <c r="J288" s="1" t="s">
        <v>1504</v>
      </c>
      <c r="L288" t="s">
        <v>1505</v>
      </c>
      <c r="M288" t="s">
        <v>14</v>
      </c>
      <c r="N288">
        <v>77598</v>
      </c>
      <c r="O288" t="s">
        <v>1506</v>
      </c>
      <c r="Q288" t="s">
        <v>1507</v>
      </c>
    </row>
    <row r="289" spans="1:17" x14ac:dyDescent="0.25">
      <c r="A289" s="1" t="str">
        <f t="shared" si="4"/>
        <v>329-OfficeMax</v>
      </c>
      <c r="B289" s="1">
        <v>329</v>
      </c>
      <c r="C289" s="1" t="s">
        <v>2942</v>
      </c>
      <c r="D289" s="1" t="s">
        <v>2943</v>
      </c>
      <c r="E289" s="1"/>
      <c r="F289" s="1"/>
      <c r="G289" s="1" t="s">
        <v>2747</v>
      </c>
      <c r="H289" s="1" t="s">
        <v>1140</v>
      </c>
      <c r="I289" s="1" t="s">
        <v>42</v>
      </c>
      <c r="J289" s="1" t="s">
        <v>1508</v>
      </c>
      <c r="L289" t="s">
        <v>1110</v>
      </c>
      <c r="M289" t="s">
        <v>129</v>
      </c>
      <c r="N289">
        <v>19103</v>
      </c>
      <c r="O289" t="s">
        <v>1111</v>
      </c>
      <c r="Q289" t="s">
        <v>1141</v>
      </c>
    </row>
    <row r="290" spans="1:17" x14ac:dyDescent="0.25">
      <c r="A290" s="1" t="str">
        <f t="shared" si="4"/>
        <v>403-Ok Light Guy</v>
      </c>
      <c r="B290" s="1">
        <v>403</v>
      </c>
      <c r="C290" s="1" t="s">
        <v>2944</v>
      </c>
      <c r="D290" s="1" t="s">
        <v>2945</v>
      </c>
      <c r="E290" s="1"/>
      <c r="F290" s="1"/>
      <c r="G290" s="1" t="s">
        <v>2946</v>
      </c>
      <c r="H290" s="1" t="s">
        <v>1461</v>
      </c>
      <c r="I290" s="1" t="s">
        <v>363</v>
      </c>
      <c r="J290" s="1" t="s">
        <v>1509</v>
      </c>
      <c r="L290" t="s">
        <v>1510</v>
      </c>
      <c r="M290" t="s">
        <v>1051</v>
      </c>
      <c r="N290">
        <v>73026</v>
      </c>
      <c r="O290" t="s">
        <v>1511</v>
      </c>
      <c r="Q290" t="s">
        <v>1512</v>
      </c>
    </row>
    <row r="291" spans="1:17" x14ac:dyDescent="0.25">
      <c r="A291" s="1" t="str">
        <f t="shared" si="4"/>
        <v>566-Oldcastle Inc</v>
      </c>
      <c r="B291" s="1">
        <v>566</v>
      </c>
      <c r="C291" s="1" t="s">
        <v>2947</v>
      </c>
      <c r="D291" s="1" t="s">
        <v>2948</v>
      </c>
      <c r="E291" s="1" t="s">
        <v>2949</v>
      </c>
      <c r="F291" s="1"/>
      <c r="G291" s="1" t="s">
        <v>2950</v>
      </c>
      <c r="H291" s="1" t="s">
        <v>1513</v>
      </c>
      <c r="I291" s="1" t="s">
        <v>1514</v>
      </c>
      <c r="J291" s="1" t="s">
        <v>1515</v>
      </c>
      <c r="L291" t="s">
        <v>398</v>
      </c>
      <c r="M291" t="s">
        <v>14</v>
      </c>
      <c r="N291">
        <v>77379</v>
      </c>
      <c r="O291" t="s">
        <v>1516</v>
      </c>
      <c r="Q291" t="s">
        <v>1517</v>
      </c>
    </row>
    <row r="292" spans="1:17" x14ac:dyDescent="0.25">
      <c r="A292" s="1" t="str">
        <f t="shared" si="4"/>
        <v>258-Onsite Energy Corporation</v>
      </c>
      <c r="B292" s="1">
        <v>258</v>
      </c>
      <c r="C292" s="1" t="s">
        <v>2951</v>
      </c>
      <c r="D292" s="1" t="s">
        <v>2952</v>
      </c>
      <c r="E292" s="1"/>
      <c r="F292" s="1" t="s">
        <v>2951</v>
      </c>
      <c r="G292" s="1" t="s">
        <v>2508</v>
      </c>
      <c r="H292" s="1" t="s">
        <v>1518</v>
      </c>
      <c r="I292" s="1" t="s">
        <v>376</v>
      </c>
      <c r="J292" s="1" t="s">
        <v>1519</v>
      </c>
      <c r="K292" t="s">
        <v>1520</v>
      </c>
      <c r="L292" t="s">
        <v>1521</v>
      </c>
      <c r="M292" t="s">
        <v>100</v>
      </c>
      <c r="N292">
        <v>92010</v>
      </c>
      <c r="O292" t="s">
        <v>1522</v>
      </c>
      <c r="P292" t="s">
        <v>1523</v>
      </c>
      <c r="Q292" t="s">
        <v>1524</v>
      </c>
    </row>
    <row r="293" spans="1:17" x14ac:dyDescent="0.25">
      <c r="A293" s="1" t="str">
        <f t="shared" si="4"/>
        <v>277-Optimum Lighting</v>
      </c>
      <c r="B293" s="1">
        <v>277</v>
      </c>
      <c r="C293" s="1" t="s">
        <v>2953</v>
      </c>
      <c r="D293" s="1" t="s">
        <v>2954</v>
      </c>
      <c r="E293" s="1"/>
      <c r="F293" s="1"/>
      <c r="G293" s="1" t="s">
        <v>2955</v>
      </c>
      <c r="H293" s="1" t="s">
        <v>1525</v>
      </c>
      <c r="I293" s="1" t="s">
        <v>754</v>
      </c>
      <c r="J293" s="1" t="s">
        <v>1526</v>
      </c>
      <c r="L293" t="s">
        <v>1527</v>
      </c>
      <c r="M293" t="s">
        <v>681</v>
      </c>
      <c r="N293">
        <v>27536</v>
      </c>
      <c r="O293" t="s">
        <v>1528</v>
      </c>
      <c r="P293">
        <v>9195509642</v>
      </c>
      <c r="Q293" t="s">
        <v>1529</v>
      </c>
    </row>
    <row r="294" spans="1:17" x14ac:dyDescent="0.25">
      <c r="A294" s="1" t="str">
        <f t="shared" si="4"/>
        <v>243-Orion Energy Systems</v>
      </c>
      <c r="B294" s="1">
        <v>243</v>
      </c>
      <c r="C294" s="1" t="s">
        <v>2956</v>
      </c>
      <c r="D294" s="1" t="s">
        <v>2957</v>
      </c>
      <c r="E294" s="1"/>
      <c r="F294" s="1"/>
      <c r="G294" s="1" t="s">
        <v>2958</v>
      </c>
      <c r="H294" s="1" t="s">
        <v>1530</v>
      </c>
      <c r="I294" s="1" t="s">
        <v>1531</v>
      </c>
      <c r="J294" s="1" t="s">
        <v>1532</v>
      </c>
      <c r="L294" t="s">
        <v>1533</v>
      </c>
      <c r="M294" t="s">
        <v>1534</v>
      </c>
      <c r="N294">
        <v>54220</v>
      </c>
      <c r="O294" t="s">
        <v>1535</v>
      </c>
      <c r="Q294" t="s">
        <v>1536</v>
      </c>
    </row>
    <row r="295" spans="1:17" x14ac:dyDescent="0.25">
      <c r="A295" s="1" t="str">
        <f t="shared" si="4"/>
        <v>281-Orion Energy Systems</v>
      </c>
      <c r="B295" s="1">
        <v>281</v>
      </c>
      <c r="C295" s="1" t="s">
        <v>2959</v>
      </c>
      <c r="D295" s="1" t="s">
        <v>2957</v>
      </c>
      <c r="E295" s="1"/>
      <c r="F295" s="1"/>
      <c r="G295" s="1" t="s">
        <v>2547</v>
      </c>
      <c r="H295" s="1" t="s">
        <v>1537</v>
      </c>
      <c r="I295" s="1" t="s">
        <v>1538</v>
      </c>
      <c r="J295" s="1" t="s">
        <v>1539</v>
      </c>
      <c r="L295" t="s">
        <v>756</v>
      </c>
      <c r="M295" t="s">
        <v>1534</v>
      </c>
      <c r="N295">
        <v>53073</v>
      </c>
      <c r="O295" t="s">
        <v>1540</v>
      </c>
      <c r="Q295" t="s">
        <v>1541</v>
      </c>
    </row>
    <row r="296" spans="1:17" x14ac:dyDescent="0.25">
      <c r="A296" s="1" t="str">
        <f t="shared" si="4"/>
        <v>482-Orion Southwest</v>
      </c>
      <c r="B296" s="1">
        <v>482</v>
      </c>
      <c r="C296" s="1" t="s">
        <v>2960</v>
      </c>
      <c r="D296" s="1" t="s">
        <v>2961</v>
      </c>
      <c r="E296" s="1"/>
      <c r="F296" s="1"/>
      <c r="G296" s="1" t="s">
        <v>2962</v>
      </c>
      <c r="H296" s="1" t="s">
        <v>1542</v>
      </c>
      <c r="I296" s="1" t="s">
        <v>42</v>
      </c>
      <c r="J296" s="1" t="s">
        <v>1543</v>
      </c>
      <c r="L296" t="s">
        <v>1544</v>
      </c>
      <c r="M296" t="s">
        <v>520</v>
      </c>
      <c r="N296">
        <v>85281</v>
      </c>
      <c r="O296" t="s">
        <v>1545</v>
      </c>
      <c r="P296" t="s">
        <v>1546</v>
      </c>
      <c r="Q296" t="s">
        <v>1547</v>
      </c>
    </row>
    <row r="297" spans="1:17" x14ac:dyDescent="0.25">
      <c r="A297" s="1" t="str">
        <f t="shared" si="4"/>
        <v>338-OxyVinyls, LP</v>
      </c>
      <c r="B297" s="1">
        <v>338</v>
      </c>
      <c r="C297" s="1" t="s">
        <v>2963</v>
      </c>
      <c r="D297" s="1" t="s">
        <v>2964</v>
      </c>
      <c r="E297" s="1"/>
      <c r="F297" s="1"/>
      <c r="G297" s="1" t="s">
        <v>2594</v>
      </c>
      <c r="H297" s="1" t="s">
        <v>1548</v>
      </c>
      <c r="I297" s="1" t="s">
        <v>1549</v>
      </c>
      <c r="J297" s="1" t="s">
        <v>1550</v>
      </c>
      <c r="L297" t="s">
        <v>13</v>
      </c>
      <c r="M297" t="s">
        <v>14</v>
      </c>
      <c r="N297">
        <v>77046</v>
      </c>
      <c r="O297" t="s">
        <v>1551</v>
      </c>
      <c r="P297" t="s">
        <v>1552</v>
      </c>
      <c r="Q297" t="s">
        <v>1553</v>
      </c>
    </row>
    <row r="298" spans="1:17" x14ac:dyDescent="0.25">
      <c r="A298" s="1" t="str">
        <f t="shared" si="4"/>
        <v>331-Parke Industries</v>
      </c>
      <c r="B298" s="1">
        <v>331</v>
      </c>
      <c r="C298" s="1" t="s">
        <v>2965</v>
      </c>
      <c r="D298" s="1" t="s">
        <v>2966</v>
      </c>
      <c r="E298" s="1" t="s">
        <v>2388</v>
      </c>
      <c r="F298" s="1"/>
      <c r="G298" s="1" t="s">
        <v>2967</v>
      </c>
      <c r="H298" s="1" t="s">
        <v>1554</v>
      </c>
      <c r="I298" s="1" t="s">
        <v>260</v>
      </c>
      <c r="J298" s="1" t="s">
        <v>1555</v>
      </c>
      <c r="L298" t="s">
        <v>1556</v>
      </c>
      <c r="M298" t="s">
        <v>14</v>
      </c>
      <c r="N298">
        <v>78746</v>
      </c>
      <c r="O298" t="s">
        <v>1557</v>
      </c>
      <c r="P298" t="s">
        <v>1558</v>
      </c>
      <c r="Q298" t="s">
        <v>1559</v>
      </c>
    </row>
    <row r="299" spans="1:17" x14ac:dyDescent="0.25">
      <c r="A299" s="1" t="str">
        <f t="shared" si="4"/>
        <v xml:space="preserve">608-Parkway Chevrolet </v>
      </c>
      <c r="B299" s="1">
        <v>608</v>
      </c>
      <c r="C299" s="1" t="s">
        <v>2968</v>
      </c>
      <c r="D299" s="1" t="s">
        <v>2969</v>
      </c>
      <c r="E299" s="1"/>
      <c r="F299" s="1"/>
      <c r="G299" s="1" t="s">
        <v>2970</v>
      </c>
      <c r="H299" s="1" t="s">
        <v>1560</v>
      </c>
      <c r="I299" s="1" t="s">
        <v>1561</v>
      </c>
      <c r="J299" s="1" t="s">
        <v>1562</v>
      </c>
      <c r="L299" t="s">
        <v>1563</v>
      </c>
      <c r="M299" t="s">
        <v>14</v>
      </c>
      <c r="N299">
        <v>77375</v>
      </c>
      <c r="O299" t="s">
        <v>1564</v>
      </c>
      <c r="Q299" t="s">
        <v>1565</v>
      </c>
    </row>
    <row r="300" spans="1:17" x14ac:dyDescent="0.25">
      <c r="A300" s="1" t="str">
        <f t="shared" si="4"/>
        <v>433-Parkway Electric &amp; Communications</v>
      </c>
      <c r="B300" s="1">
        <v>433</v>
      </c>
      <c r="C300" s="1" t="s">
        <v>2971</v>
      </c>
      <c r="D300" s="1" t="s">
        <v>2972</v>
      </c>
      <c r="E300" s="1"/>
      <c r="F300" s="1"/>
      <c r="G300" s="1" t="s">
        <v>2256</v>
      </c>
      <c r="H300" s="1" t="s">
        <v>1566</v>
      </c>
      <c r="I300" s="1" t="s">
        <v>878</v>
      </c>
      <c r="J300" s="1" t="s">
        <v>1567</v>
      </c>
      <c r="L300" t="s">
        <v>1568</v>
      </c>
      <c r="M300" t="s">
        <v>255</v>
      </c>
      <c r="N300">
        <v>49424</v>
      </c>
      <c r="O300" t="s">
        <v>1569</v>
      </c>
      <c r="P300" t="s">
        <v>1570</v>
      </c>
      <c r="Q300" t="s">
        <v>1571</v>
      </c>
    </row>
    <row r="301" spans="1:17" x14ac:dyDescent="0.25">
      <c r="A301" s="1" t="str">
        <f t="shared" si="4"/>
        <v>318-Parkway Properties</v>
      </c>
      <c r="B301" s="1">
        <v>318</v>
      </c>
      <c r="C301" s="1" t="s">
        <v>2973</v>
      </c>
      <c r="D301" s="1" t="s">
        <v>2974</v>
      </c>
      <c r="E301" s="1"/>
      <c r="F301" s="1"/>
      <c r="G301" s="1" t="s">
        <v>2975</v>
      </c>
      <c r="H301" s="1" t="s">
        <v>1572</v>
      </c>
      <c r="I301" s="1" t="s">
        <v>42</v>
      </c>
      <c r="J301" s="1" t="s">
        <v>1573</v>
      </c>
      <c r="L301" t="s">
        <v>1110</v>
      </c>
      <c r="M301" t="s">
        <v>129</v>
      </c>
      <c r="N301">
        <v>19103</v>
      </c>
      <c r="O301" t="s">
        <v>1111</v>
      </c>
      <c r="P301">
        <v>2157320477</v>
      </c>
      <c r="Q301" t="s">
        <v>1574</v>
      </c>
    </row>
    <row r="302" spans="1:17" x14ac:dyDescent="0.25">
      <c r="A302" s="1" t="str">
        <f t="shared" si="4"/>
        <v>257-Performance Consulting Group</v>
      </c>
      <c r="B302" s="1">
        <v>257</v>
      </c>
      <c r="C302" s="1" t="s">
        <v>2976</v>
      </c>
      <c r="D302" s="1" t="s">
        <v>2977</v>
      </c>
      <c r="E302" s="1"/>
      <c r="F302" s="1"/>
      <c r="G302" s="1" t="s">
        <v>2978</v>
      </c>
      <c r="H302" s="1" t="s">
        <v>1575</v>
      </c>
      <c r="I302" s="1" t="s">
        <v>838</v>
      </c>
      <c r="J302" s="1" t="s">
        <v>1576</v>
      </c>
      <c r="L302" t="s">
        <v>1510</v>
      </c>
      <c r="M302" t="s">
        <v>1051</v>
      </c>
      <c r="N302">
        <v>73069</v>
      </c>
      <c r="O302" t="s">
        <v>1577</v>
      </c>
      <c r="P302" t="s">
        <v>1578</v>
      </c>
    </row>
    <row r="303" spans="1:17" x14ac:dyDescent="0.25">
      <c r="A303" s="1" t="str">
        <f t="shared" si="4"/>
        <v>355-Performance Roof Systems</v>
      </c>
      <c r="B303" s="1">
        <v>355</v>
      </c>
      <c r="C303" s="1" t="s">
        <v>2979</v>
      </c>
      <c r="D303" s="1" t="s">
        <v>2980</v>
      </c>
      <c r="E303" s="1"/>
      <c r="F303" s="1"/>
      <c r="G303" s="1" t="s">
        <v>2981</v>
      </c>
      <c r="H303" s="1" t="s">
        <v>1579</v>
      </c>
      <c r="I303" s="1" t="s">
        <v>1580</v>
      </c>
      <c r="J303" s="1" t="s">
        <v>1581</v>
      </c>
      <c r="L303" t="s">
        <v>1582</v>
      </c>
      <c r="M303" t="s">
        <v>602</v>
      </c>
      <c r="N303">
        <v>64130</v>
      </c>
      <c r="O303" t="s">
        <v>1583</v>
      </c>
      <c r="Q303" t="s">
        <v>1584</v>
      </c>
    </row>
    <row r="304" spans="1:17" x14ac:dyDescent="0.25">
      <c r="A304" s="1" t="str">
        <f t="shared" si="4"/>
        <v>387-Piping Technology &amp; Products, Inc</v>
      </c>
      <c r="B304" s="1">
        <v>387</v>
      </c>
      <c r="C304" s="1" t="s">
        <v>2982</v>
      </c>
      <c r="D304" s="1" t="s">
        <v>2983</v>
      </c>
      <c r="E304" s="1" t="s">
        <v>2984</v>
      </c>
      <c r="F304" s="1">
        <v>1741986666</v>
      </c>
      <c r="G304" s="1" t="s">
        <v>2985</v>
      </c>
      <c r="H304" s="1" t="s">
        <v>1585</v>
      </c>
      <c r="I304" s="1" t="s">
        <v>1586</v>
      </c>
      <c r="J304" s="1" t="s">
        <v>1587</v>
      </c>
      <c r="K304" t="s">
        <v>1588</v>
      </c>
      <c r="L304" t="s">
        <v>13</v>
      </c>
      <c r="M304" t="s">
        <v>14</v>
      </c>
      <c r="N304">
        <v>77051</v>
      </c>
      <c r="O304" t="s">
        <v>1589</v>
      </c>
      <c r="P304" t="s">
        <v>1590</v>
      </c>
      <c r="Q304" t="s">
        <v>1591</v>
      </c>
    </row>
    <row r="305" spans="1:17" x14ac:dyDescent="0.25">
      <c r="A305" s="1" t="str">
        <f t="shared" si="4"/>
        <v>564-PMG Energy Solutions</v>
      </c>
      <c r="B305" s="1">
        <v>564</v>
      </c>
      <c r="C305" s="1" t="s">
        <v>2986</v>
      </c>
      <c r="D305" s="1" t="s">
        <v>2987</v>
      </c>
      <c r="E305" s="1" t="s">
        <v>2988</v>
      </c>
      <c r="F305" s="1" t="s">
        <v>2986</v>
      </c>
      <c r="G305" s="1" t="s">
        <v>2989</v>
      </c>
      <c r="H305" s="1" t="s">
        <v>1592</v>
      </c>
      <c r="I305" s="1" t="s">
        <v>72</v>
      </c>
      <c r="J305" s="1" t="s">
        <v>1593</v>
      </c>
      <c r="K305" t="s">
        <v>1594</v>
      </c>
      <c r="L305" t="s">
        <v>13</v>
      </c>
      <c r="M305" t="s">
        <v>14</v>
      </c>
      <c r="N305">
        <v>77009</v>
      </c>
      <c r="O305" t="s">
        <v>1595</v>
      </c>
      <c r="P305" t="s">
        <v>1596</v>
      </c>
      <c r="Q305" t="s">
        <v>1597</v>
      </c>
    </row>
    <row r="306" spans="1:17" x14ac:dyDescent="0.25">
      <c r="A306" s="1" t="str">
        <f t="shared" si="4"/>
        <v>395-Prism Electric</v>
      </c>
      <c r="B306" s="1">
        <v>395</v>
      </c>
      <c r="C306" s="1" t="s">
        <v>2990</v>
      </c>
      <c r="D306" s="1" t="s">
        <v>2991</v>
      </c>
      <c r="E306" s="1"/>
      <c r="F306" s="1" t="s">
        <v>2990</v>
      </c>
      <c r="G306" s="1" t="s">
        <v>2391</v>
      </c>
      <c r="H306" s="1" t="s">
        <v>440</v>
      </c>
      <c r="I306" s="1" t="s">
        <v>441</v>
      </c>
      <c r="J306" s="1" t="s">
        <v>1598</v>
      </c>
      <c r="L306" t="s">
        <v>13</v>
      </c>
      <c r="M306" t="s">
        <v>14</v>
      </c>
      <c r="N306">
        <v>77018</v>
      </c>
      <c r="O306" t="s">
        <v>1599</v>
      </c>
      <c r="P306" t="s">
        <v>1369</v>
      </c>
      <c r="Q306" t="s">
        <v>1600</v>
      </c>
    </row>
    <row r="307" spans="1:17" x14ac:dyDescent="0.25">
      <c r="A307" s="1" t="str">
        <f t="shared" si="4"/>
        <v>377-Project Solutions Companies</v>
      </c>
      <c r="B307" s="1">
        <v>377</v>
      </c>
      <c r="C307" s="1" t="s">
        <v>2992</v>
      </c>
      <c r="D307" s="1" t="s">
        <v>2993</v>
      </c>
      <c r="E307" s="1" t="s">
        <v>2264</v>
      </c>
      <c r="F307" s="1"/>
      <c r="G307" s="1" t="s">
        <v>2994</v>
      </c>
      <c r="H307" s="1" t="s">
        <v>206</v>
      </c>
      <c r="I307" s="1" t="s">
        <v>1601</v>
      </c>
      <c r="J307" s="1" t="s">
        <v>1602</v>
      </c>
      <c r="K307" t="s">
        <v>1603</v>
      </c>
      <c r="L307" t="s">
        <v>1604</v>
      </c>
      <c r="M307" t="s">
        <v>602</v>
      </c>
      <c r="N307">
        <v>65203</v>
      </c>
      <c r="O307" t="s">
        <v>1605</v>
      </c>
      <c r="P307" t="s">
        <v>1606</v>
      </c>
      <c r="Q307" t="s">
        <v>1607</v>
      </c>
    </row>
    <row r="308" spans="1:17" x14ac:dyDescent="0.25">
      <c r="A308" s="1" t="str">
        <f t="shared" si="4"/>
        <v>308-Pure Power Group</v>
      </c>
      <c r="B308" s="1">
        <v>308</v>
      </c>
      <c r="C308" s="1" t="s">
        <v>2995</v>
      </c>
      <c r="D308" s="1" t="s">
        <v>2996</v>
      </c>
      <c r="E308" s="1"/>
      <c r="F308" s="1"/>
      <c r="G308" s="1" t="s">
        <v>2941</v>
      </c>
      <c r="H308" s="1" t="s">
        <v>1608</v>
      </c>
      <c r="I308" s="1" t="s">
        <v>290</v>
      </c>
      <c r="J308" s="1" t="s">
        <v>1609</v>
      </c>
      <c r="K308" t="s">
        <v>1610</v>
      </c>
      <c r="L308" t="s">
        <v>1611</v>
      </c>
      <c r="M308" t="s">
        <v>14</v>
      </c>
      <c r="N308">
        <v>76092</v>
      </c>
      <c r="O308" t="s">
        <v>1612</v>
      </c>
      <c r="P308" t="s">
        <v>1613</v>
      </c>
      <c r="Q308" t="s">
        <v>1614</v>
      </c>
    </row>
    <row r="309" spans="1:17" x14ac:dyDescent="0.25">
      <c r="A309" s="1" t="str">
        <f t="shared" si="4"/>
        <v>629-Rapid Power Management</v>
      </c>
      <c r="B309" s="6">
        <v>629</v>
      </c>
      <c r="D309" s="6" t="s">
        <v>3373</v>
      </c>
      <c r="G309" t="s">
        <v>3374</v>
      </c>
      <c r="H309" t="s">
        <v>3375</v>
      </c>
      <c r="J309" t="s">
        <v>3376</v>
      </c>
      <c r="L309" t="s">
        <v>293</v>
      </c>
      <c r="M309" t="s">
        <v>14</v>
      </c>
      <c r="N309">
        <v>75287</v>
      </c>
      <c r="O309" s="17" t="s">
        <v>3377</v>
      </c>
      <c r="Q309" t="s">
        <v>3378</v>
      </c>
    </row>
    <row r="310" spans="1:17" x14ac:dyDescent="0.25">
      <c r="A310" s="1" t="str">
        <f t="shared" si="4"/>
        <v>373-raw electrical services llc</v>
      </c>
      <c r="B310" s="1">
        <v>373</v>
      </c>
      <c r="C310" s="1" t="s">
        <v>2997</v>
      </c>
      <c r="D310" s="1" t="s">
        <v>2998</v>
      </c>
      <c r="E310" s="1"/>
      <c r="F310" s="1"/>
      <c r="G310" s="1" t="s">
        <v>2999</v>
      </c>
      <c r="H310" s="1" t="s">
        <v>1615</v>
      </c>
      <c r="I310" s="1" t="s">
        <v>1616</v>
      </c>
      <c r="J310" s="1" t="s">
        <v>1617</v>
      </c>
      <c r="L310" t="s">
        <v>1618</v>
      </c>
      <c r="M310" t="s">
        <v>14</v>
      </c>
      <c r="N310">
        <v>77396</v>
      </c>
      <c r="O310" t="s">
        <v>1619</v>
      </c>
      <c r="P310">
        <v>7134331425</v>
      </c>
      <c r="Q310" t="s">
        <v>1620</v>
      </c>
    </row>
    <row r="311" spans="1:17" x14ac:dyDescent="0.25">
      <c r="A311" s="1" t="str">
        <f t="shared" si="4"/>
        <v>398-Reagan Quality Lamps, Inc.</v>
      </c>
      <c r="B311" s="1">
        <v>398</v>
      </c>
      <c r="C311" s="1" t="s">
        <v>3000</v>
      </c>
      <c r="D311" s="1" t="s">
        <v>3001</v>
      </c>
      <c r="E311" s="1" t="s">
        <v>3002</v>
      </c>
      <c r="F311" s="1" t="s">
        <v>3003</v>
      </c>
      <c r="G311" s="1" t="s">
        <v>3004</v>
      </c>
      <c r="H311" s="1" t="s">
        <v>1621</v>
      </c>
      <c r="I311" s="1" t="s">
        <v>1622</v>
      </c>
      <c r="J311" s="1" t="s">
        <v>1623</v>
      </c>
      <c r="L311" t="s">
        <v>1624</v>
      </c>
      <c r="M311" t="s">
        <v>14</v>
      </c>
      <c r="N311" t="s">
        <v>1625</v>
      </c>
      <c r="O311" t="s">
        <v>1626</v>
      </c>
      <c r="P311" t="s">
        <v>1627</v>
      </c>
      <c r="Q311" t="s">
        <v>1628</v>
      </c>
    </row>
    <row r="312" spans="1:17" x14ac:dyDescent="0.25">
      <c r="A312" s="1" t="str">
        <f t="shared" si="4"/>
        <v>233-RealWinWin, Inc.</v>
      </c>
      <c r="B312" s="1">
        <v>233</v>
      </c>
      <c r="C312" s="1" t="s">
        <v>2173</v>
      </c>
      <c r="D312" s="1" t="s">
        <v>2175</v>
      </c>
      <c r="E312" s="1"/>
      <c r="F312" s="1"/>
      <c r="G312" s="35" t="s">
        <v>8226</v>
      </c>
      <c r="H312" s="35" t="s">
        <v>8227</v>
      </c>
      <c r="I312" s="35" t="s">
        <v>8228</v>
      </c>
      <c r="J312" s="2" t="s">
        <v>1630</v>
      </c>
      <c r="K312" t="s">
        <v>1109</v>
      </c>
      <c r="L312" t="s">
        <v>1110</v>
      </c>
      <c r="M312" t="s">
        <v>129</v>
      </c>
      <c r="N312">
        <v>19103</v>
      </c>
      <c r="O312" t="s">
        <v>1111</v>
      </c>
      <c r="P312" t="s">
        <v>1631</v>
      </c>
      <c r="Q312" s="2" t="s">
        <v>8225</v>
      </c>
    </row>
    <row r="313" spans="1:17" x14ac:dyDescent="0.25">
      <c r="A313" s="1" t="str">
        <f t="shared" si="4"/>
        <v>221-Redding Linden Burr Consulting Engineers</v>
      </c>
      <c r="B313" s="1">
        <v>221</v>
      </c>
      <c r="C313" s="1" t="s">
        <v>3005</v>
      </c>
      <c r="D313" s="1" t="s">
        <v>3006</v>
      </c>
      <c r="E313" s="1"/>
      <c r="F313" s="1" t="s">
        <v>3005</v>
      </c>
      <c r="G313" s="1" t="s">
        <v>2814</v>
      </c>
      <c r="H313" s="1" t="s">
        <v>1633</v>
      </c>
      <c r="I313" s="1" t="s">
        <v>290</v>
      </c>
      <c r="J313" s="1" t="s">
        <v>43</v>
      </c>
      <c r="K313" t="s">
        <v>1634</v>
      </c>
      <c r="L313" t="s">
        <v>13</v>
      </c>
      <c r="M313" t="s">
        <v>14</v>
      </c>
      <c r="N313">
        <v>77002</v>
      </c>
      <c r="O313" t="s">
        <v>1635</v>
      </c>
      <c r="P313" t="s">
        <v>1636</v>
      </c>
      <c r="Q313" t="s">
        <v>1637</v>
      </c>
    </row>
    <row r="314" spans="1:17" x14ac:dyDescent="0.25">
      <c r="A314" s="1" t="str">
        <f t="shared" si="4"/>
        <v>428-Regency Lighting</v>
      </c>
      <c r="B314" s="1">
        <v>428</v>
      </c>
      <c r="C314" s="1" t="s">
        <v>3007</v>
      </c>
      <c r="D314" s="1" t="s">
        <v>3008</v>
      </c>
      <c r="E314" s="1"/>
      <c r="F314" s="1"/>
      <c r="G314" s="1" t="s">
        <v>3009</v>
      </c>
      <c r="H314" s="1" t="s">
        <v>1638</v>
      </c>
      <c r="I314" s="1" t="s">
        <v>685</v>
      </c>
      <c r="J314" s="1" t="s">
        <v>1639</v>
      </c>
      <c r="L314" t="s">
        <v>1640</v>
      </c>
      <c r="M314" t="s">
        <v>100</v>
      </c>
      <c r="N314">
        <v>91311</v>
      </c>
      <c r="O314" t="s">
        <v>1641</v>
      </c>
      <c r="Q314" t="s">
        <v>1642</v>
      </c>
    </row>
    <row r="315" spans="1:17" x14ac:dyDescent="0.25">
      <c r="A315" s="1" t="str">
        <f t="shared" si="4"/>
        <v>597-Reliable Energy Solutions</v>
      </c>
      <c r="B315" s="1">
        <v>597</v>
      </c>
      <c r="C315" s="1" t="s">
        <v>3010</v>
      </c>
      <c r="D315" s="1" t="s">
        <v>3011</v>
      </c>
      <c r="E315" s="1"/>
      <c r="F315" s="1"/>
      <c r="G315" s="1" t="s">
        <v>3012</v>
      </c>
      <c r="H315" s="1" t="s">
        <v>1643</v>
      </c>
      <c r="I315" s="1" t="s">
        <v>49</v>
      </c>
      <c r="J315" s="1" t="s">
        <v>1644</v>
      </c>
      <c r="L315" t="s">
        <v>1645</v>
      </c>
      <c r="M315" t="s">
        <v>100</v>
      </c>
      <c r="N315">
        <v>91702</v>
      </c>
      <c r="O315" t="s">
        <v>1646</v>
      </c>
      <c r="Q315" t="s">
        <v>1647</v>
      </c>
    </row>
    <row r="316" spans="1:17" x14ac:dyDescent="0.25">
      <c r="A316" s="1" t="str">
        <f t="shared" si="4"/>
        <v>505-Retro Lighting &amp; Conservation</v>
      </c>
      <c r="B316" s="1">
        <v>505</v>
      </c>
      <c r="C316" s="1" t="s">
        <v>3013</v>
      </c>
      <c r="D316" s="1" t="s">
        <v>3014</v>
      </c>
      <c r="E316" s="1"/>
      <c r="F316" s="1"/>
      <c r="G316" s="1" t="s">
        <v>2409</v>
      </c>
      <c r="H316" s="1" t="s">
        <v>1648</v>
      </c>
      <c r="I316" s="1" t="s">
        <v>1649</v>
      </c>
      <c r="J316" s="1" t="s">
        <v>1650</v>
      </c>
      <c r="L316" t="s">
        <v>1131</v>
      </c>
      <c r="M316" t="s">
        <v>14</v>
      </c>
      <c r="N316">
        <v>77479</v>
      </c>
      <c r="O316" t="s">
        <v>1651</v>
      </c>
      <c r="P316" t="s">
        <v>1652</v>
      </c>
      <c r="Q316" t="s">
        <v>1653</v>
      </c>
    </row>
    <row r="317" spans="1:17" x14ac:dyDescent="0.25">
      <c r="A317" s="1" t="str">
        <f t="shared" si="4"/>
        <v>384-REXEL USA</v>
      </c>
      <c r="B317" s="1">
        <v>384</v>
      </c>
      <c r="C317" s="1" t="s">
        <v>2641</v>
      </c>
      <c r="D317" s="1" t="s">
        <v>3015</v>
      </c>
      <c r="E317" s="1"/>
      <c r="F317" s="1"/>
      <c r="G317" s="35" t="s">
        <v>8031</v>
      </c>
      <c r="H317" s="35" t="s">
        <v>8032</v>
      </c>
      <c r="I317" s="1" t="s">
        <v>1654</v>
      </c>
      <c r="J317" s="35" t="s">
        <v>8033</v>
      </c>
      <c r="L317" t="s">
        <v>86</v>
      </c>
      <c r="M317" t="s">
        <v>14</v>
      </c>
      <c r="N317">
        <v>75007</v>
      </c>
      <c r="O317" t="s">
        <v>8034</v>
      </c>
      <c r="P317" t="s">
        <v>1655</v>
      </c>
      <c r="Q317" s="37" t="s">
        <v>8035</v>
      </c>
    </row>
    <row r="318" spans="1:17" x14ac:dyDescent="0.25">
      <c r="A318" s="1" t="str">
        <f t="shared" si="4"/>
        <v>587-Ringdale, Inc.</v>
      </c>
      <c r="B318" s="1">
        <v>587</v>
      </c>
      <c r="C318" s="1" t="s">
        <v>3016</v>
      </c>
      <c r="D318" s="1" t="s">
        <v>3017</v>
      </c>
      <c r="E318" s="1"/>
      <c r="F318" s="1" t="s">
        <v>3016</v>
      </c>
      <c r="G318" s="1" t="s">
        <v>2291</v>
      </c>
      <c r="H318" s="1" t="s">
        <v>1312</v>
      </c>
      <c r="I318" s="1" t="s">
        <v>1656</v>
      </c>
      <c r="J318" s="1" t="s">
        <v>1657</v>
      </c>
      <c r="L318" t="s">
        <v>791</v>
      </c>
      <c r="M318" t="s">
        <v>14</v>
      </c>
      <c r="N318">
        <v>78628</v>
      </c>
      <c r="O318" t="s">
        <v>1658</v>
      </c>
      <c r="Q318" t="s">
        <v>1659</v>
      </c>
    </row>
    <row r="319" spans="1:17" x14ac:dyDescent="0.25">
      <c r="A319" s="1" t="str">
        <f t="shared" si="4"/>
        <v>451-ROGERS ELECTRIC</v>
      </c>
      <c r="B319" s="1">
        <v>451</v>
      </c>
      <c r="C319" s="1" t="s">
        <v>3018</v>
      </c>
      <c r="D319" s="1" t="s">
        <v>3019</v>
      </c>
      <c r="E319" s="1"/>
      <c r="F319" s="1" t="s">
        <v>3018</v>
      </c>
      <c r="G319" s="1" t="s">
        <v>3020</v>
      </c>
      <c r="H319" s="1" t="s">
        <v>1660</v>
      </c>
      <c r="I319" s="1" t="s">
        <v>1661</v>
      </c>
      <c r="J319" s="1" t="s">
        <v>1662</v>
      </c>
      <c r="L319" t="s">
        <v>1663</v>
      </c>
      <c r="M319" t="s">
        <v>1442</v>
      </c>
      <c r="N319">
        <v>30005</v>
      </c>
      <c r="O319" t="s">
        <v>1664</v>
      </c>
      <c r="P319" t="s">
        <v>1665</v>
      </c>
      <c r="Q319" t="s">
        <v>1666</v>
      </c>
    </row>
    <row r="320" spans="1:17" x14ac:dyDescent="0.25">
      <c r="A320" s="1" t="str">
        <f t="shared" si="4"/>
        <v>458-Rooftop Energy Solutions</v>
      </c>
      <c r="B320" s="1">
        <v>458</v>
      </c>
      <c r="C320" s="1" t="s">
        <v>3021</v>
      </c>
      <c r="D320" s="1" t="s">
        <v>3022</v>
      </c>
      <c r="E320" s="1"/>
      <c r="F320" s="1"/>
      <c r="G320" s="1" t="s">
        <v>2186</v>
      </c>
      <c r="H320" s="1" t="s">
        <v>1667</v>
      </c>
      <c r="I320" s="1" t="s">
        <v>119</v>
      </c>
      <c r="J320" s="1" t="s">
        <v>1668</v>
      </c>
      <c r="L320" t="s">
        <v>1669</v>
      </c>
      <c r="M320" t="s">
        <v>14</v>
      </c>
      <c r="N320">
        <v>77346</v>
      </c>
      <c r="O320" t="s">
        <v>1670</v>
      </c>
      <c r="Q320" t="s">
        <v>1671</v>
      </c>
    </row>
    <row r="321" spans="1:17" x14ac:dyDescent="0.25">
      <c r="A321" s="1" t="str">
        <f t="shared" si="4"/>
        <v>396-Rose Lighting Services</v>
      </c>
      <c r="B321" s="1">
        <v>396</v>
      </c>
      <c r="C321" s="1" t="s">
        <v>3023</v>
      </c>
      <c r="D321" s="1" t="s">
        <v>3024</v>
      </c>
      <c r="E321" s="1"/>
      <c r="F321" s="1"/>
      <c r="G321" s="1" t="s">
        <v>2508</v>
      </c>
      <c r="H321" s="1" t="s">
        <v>703</v>
      </c>
      <c r="I321" s="1" t="s">
        <v>290</v>
      </c>
      <c r="J321" s="1" t="s">
        <v>1672</v>
      </c>
      <c r="L321" t="s">
        <v>398</v>
      </c>
      <c r="M321" t="s">
        <v>14</v>
      </c>
      <c r="N321">
        <v>77379</v>
      </c>
      <c r="O321" t="s">
        <v>1673</v>
      </c>
      <c r="Q321" t="s">
        <v>1674</v>
      </c>
    </row>
    <row r="322" spans="1:17" x14ac:dyDescent="0.25">
      <c r="A322" s="1" t="str">
        <f t="shared" ref="A322:A331" si="5">IF(B322="","",B322&amp;"-"&amp;D322)</f>
        <v>341-Ross Stores</v>
      </c>
      <c r="B322" s="1">
        <v>341</v>
      </c>
      <c r="C322" s="1" t="s">
        <v>3025</v>
      </c>
      <c r="D322" s="1" t="s">
        <v>3026</v>
      </c>
      <c r="E322" s="1" t="s">
        <v>3026</v>
      </c>
      <c r="F322" s="1" t="s">
        <v>3025</v>
      </c>
      <c r="G322" s="1" t="s">
        <v>3027</v>
      </c>
      <c r="H322" s="1" t="s">
        <v>1675</v>
      </c>
      <c r="I322" s="1" t="s">
        <v>1043</v>
      </c>
      <c r="J322" s="1" t="s">
        <v>1676</v>
      </c>
      <c r="L322" t="s">
        <v>1110</v>
      </c>
      <c r="M322" t="s">
        <v>129</v>
      </c>
      <c r="N322">
        <v>19103</v>
      </c>
      <c r="O322" t="s">
        <v>1111</v>
      </c>
      <c r="Q322" t="s">
        <v>1677</v>
      </c>
    </row>
    <row r="323" spans="1:17" x14ac:dyDescent="0.25">
      <c r="A323" s="1" t="str">
        <f t="shared" si="5"/>
        <v>301-RWW / Dillards, Inc</v>
      </c>
      <c r="B323" s="1">
        <v>301</v>
      </c>
      <c r="C323" s="1" t="s">
        <v>3028</v>
      </c>
      <c r="D323" s="1" t="s">
        <v>3029</v>
      </c>
      <c r="E323" s="1"/>
      <c r="F323" s="1"/>
      <c r="G323" s="1" t="s">
        <v>3030</v>
      </c>
      <c r="H323" s="1" t="s">
        <v>1678</v>
      </c>
      <c r="I323" s="1" t="s">
        <v>1679</v>
      </c>
      <c r="J323" s="1" t="s">
        <v>1680</v>
      </c>
      <c r="L323" t="s">
        <v>1681</v>
      </c>
      <c r="M323" t="s">
        <v>1124</v>
      </c>
      <c r="N323">
        <v>72201</v>
      </c>
      <c r="O323" t="s">
        <v>1111</v>
      </c>
      <c r="P323">
        <v>2157320477</v>
      </c>
      <c r="Q323" t="s">
        <v>1574</v>
      </c>
    </row>
    <row r="324" spans="1:17" x14ac:dyDescent="0.25">
      <c r="A324" s="1" t="str">
        <f t="shared" si="5"/>
        <v>295-RWW / Kohl's Department Stores, Inc.</v>
      </c>
      <c r="B324" s="1">
        <v>295</v>
      </c>
      <c r="C324" s="1" t="s">
        <v>3031</v>
      </c>
      <c r="D324" s="1" t="s">
        <v>3032</v>
      </c>
      <c r="E324" s="1"/>
      <c r="F324" s="1"/>
      <c r="G324" s="1" t="s">
        <v>2975</v>
      </c>
      <c r="H324" s="1" t="s">
        <v>1572</v>
      </c>
      <c r="I324" s="1" t="s">
        <v>42</v>
      </c>
      <c r="J324" s="1" t="s">
        <v>1508</v>
      </c>
      <c r="L324" t="s">
        <v>1110</v>
      </c>
      <c r="M324" t="s">
        <v>129</v>
      </c>
      <c r="N324">
        <v>19103</v>
      </c>
      <c r="O324" t="s">
        <v>1111</v>
      </c>
      <c r="P324">
        <v>2157320477</v>
      </c>
      <c r="Q324" t="s">
        <v>1574</v>
      </c>
    </row>
    <row r="325" spans="1:17" x14ac:dyDescent="0.25">
      <c r="A325" s="1" t="str">
        <f t="shared" si="5"/>
        <v>294-RWW / Office Depot</v>
      </c>
      <c r="B325" s="1">
        <v>294</v>
      </c>
      <c r="C325" s="1" t="s">
        <v>3033</v>
      </c>
      <c r="D325" s="1" t="s">
        <v>3034</v>
      </c>
      <c r="E325" s="1"/>
      <c r="F325" s="1"/>
      <c r="G325" s="1" t="s">
        <v>2975</v>
      </c>
      <c r="H325" s="1" t="s">
        <v>1572</v>
      </c>
      <c r="I325" s="1" t="s">
        <v>42</v>
      </c>
      <c r="J325" s="1" t="s">
        <v>1508</v>
      </c>
      <c r="L325" t="s">
        <v>1682</v>
      </c>
      <c r="M325" t="s">
        <v>129</v>
      </c>
      <c r="N325">
        <v>19103</v>
      </c>
      <c r="O325" t="s">
        <v>1111</v>
      </c>
      <c r="P325">
        <v>2157320477</v>
      </c>
      <c r="Q325" t="s">
        <v>1574</v>
      </c>
    </row>
    <row r="326" spans="1:17" x14ac:dyDescent="0.25">
      <c r="A326" s="1" t="str">
        <f t="shared" si="5"/>
        <v>296-RWW / Ross Stores Inc.</v>
      </c>
      <c r="B326" s="1">
        <v>296</v>
      </c>
      <c r="C326" s="1" t="s">
        <v>3035</v>
      </c>
      <c r="D326" s="1" t="s">
        <v>3036</v>
      </c>
      <c r="E326" s="1"/>
      <c r="F326" s="1"/>
      <c r="G326" s="1" t="s">
        <v>2975</v>
      </c>
      <c r="H326" s="1" t="s">
        <v>1572</v>
      </c>
      <c r="I326" s="1" t="s">
        <v>42</v>
      </c>
      <c r="J326" s="1" t="s">
        <v>1508</v>
      </c>
      <c r="L326" t="s">
        <v>1110</v>
      </c>
      <c r="M326" t="s">
        <v>129</v>
      </c>
      <c r="N326">
        <v>19103</v>
      </c>
      <c r="O326" t="s">
        <v>1111</v>
      </c>
      <c r="P326">
        <v>2157320477</v>
      </c>
      <c r="Q326" t="s">
        <v>1574</v>
      </c>
    </row>
    <row r="327" spans="1:17" x14ac:dyDescent="0.25">
      <c r="A327" s="1" t="str">
        <f t="shared" si="5"/>
        <v>298-RWW / Walgreens Co</v>
      </c>
      <c r="B327" s="1">
        <v>298</v>
      </c>
      <c r="C327" s="1" t="s">
        <v>3037</v>
      </c>
      <c r="D327" s="1" t="s">
        <v>3038</v>
      </c>
      <c r="E327" s="1"/>
      <c r="F327" s="1"/>
      <c r="G327" s="1" t="s">
        <v>2975</v>
      </c>
      <c r="H327" s="1" t="s">
        <v>1572</v>
      </c>
      <c r="I327" s="1" t="s">
        <v>42</v>
      </c>
      <c r="J327" s="1" t="s">
        <v>1508</v>
      </c>
      <c r="L327" t="s">
        <v>1110</v>
      </c>
      <c r="M327" t="s">
        <v>129</v>
      </c>
      <c r="N327">
        <v>19103</v>
      </c>
      <c r="O327" t="s">
        <v>1111</v>
      </c>
      <c r="P327" t="s">
        <v>1112</v>
      </c>
      <c r="Q327" t="s">
        <v>1574</v>
      </c>
    </row>
    <row r="328" spans="1:17" x14ac:dyDescent="0.25">
      <c r="A328" s="1" t="str">
        <f t="shared" si="5"/>
        <v>288-Safeway, Inc.</v>
      </c>
      <c r="B328" s="1">
        <v>288</v>
      </c>
      <c r="C328" s="1" t="s">
        <v>3039</v>
      </c>
      <c r="D328" s="1" t="s">
        <v>3040</v>
      </c>
      <c r="E328" s="1" t="s">
        <v>3040</v>
      </c>
      <c r="F328" s="1" t="s">
        <v>3039</v>
      </c>
      <c r="G328" s="1" t="s">
        <v>2556</v>
      </c>
      <c r="H328" s="1" t="s">
        <v>746</v>
      </c>
      <c r="I328" s="1" t="s">
        <v>170</v>
      </c>
      <c r="J328" s="1" t="s">
        <v>1683</v>
      </c>
      <c r="K328" t="s">
        <v>1684</v>
      </c>
      <c r="L328" t="s">
        <v>749</v>
      </c>
      <c r="M328" t="s">
        <v>217</v>
      </c>
      <c r="N328">
        <v>2639</v>
      </c>
      <c r="O328" t="s">
        <v>750</v>
      </c>
      <c r="P328" t="s">
        <v>751</v>
      </c>
      <c r="Q328" t="s">
        <v>1685</v>
      </c>
    </row>
    <row r="329" spans="1:17" x14ac:dyDescent="0.25">
      <c r="A329" s="1" t="str">
        <f t="shared" si="5"/>
        <v>542-SALEM LUTHERAN CHURCH</v>
      </c>
      <c r="B329" s="1">
        <v>542</v>
      </c>
      <c r="C329" s="1" t="s">
        <v>3041</v>
      </c>
      <c r="D329" s="1" t="s">
        <v>3042</v>
      </c>
      <c r="E329" s="1"/>
      <c r="F329" s="1" t="s">
        <v>3041</v>
      </c>
      <c r="G329" s="1" t="s">
        <v>3043</v>
      </c>
      <c r="H329" s="1" t="s">
        <v>1686</v>
      </c>
      <c r="I329" s="1" t="s">
        <v>1687</v>
      </c>
      <c r="J329" s="1" t="s">
        <v>1688</v>
      </c>
      <c r="L329" t="s">
        <v>1689</v>
      </c>
      <c r="M329" t="s">
        <v>14</v>
      </c>
      <c r="N329">
        <v>77377</v>
      </c>
      <c r="O329" t="s">
        <v>1690</v>
      </c>
      <c r="Q329" t="s">
        <v>1691</v>
      </c>
    </row>
    <row r="330" spans="1:17" x14ac:dyDescent="0.25">
      <c r="A330" s="1" t="str">
        <f t="shared" si="5"/>
        <v>609-Salem Town &amp; Country Leather-Houston, Inc</v>
      </c>
      <c r="B330" s="1">
        <v>609</v>
      </c>
      <c r="C330" s="1" t="s">
        <v>3044</v>
      </c>
      <c r="D330" s="1" t="s">
        <v>3045</v>
      </c>
      <c r="E330" s="1"/>
      <c r="F330" s="1"/>
      <c r="G330" s="1" t="s">
        <v>3046</v>
      </c>
      <c r="H330" s="1" t="s">
        <v>988</v>
      </c>
      <c r="I330" s="1" t="s">
        <v>1649</v>
      </c>
      <c r="J330" s="1" t="s">
        <v>1692</v>
      </c>
      <c r="L330" t="s">
        <v>13</v>
      </c>
      <c r="M330" t="s">
        <v>14</v>
      </c>
      <c r="N330">
        <v>77056</v>
      </c>
      <c r="O330" t="s">
        <v>1693</v>
      </c>
      <c r="P330" t="s">
        <v>1694</v>
      </c>
      <c r="Q330" t="s">
        <v>1695</v>
      </c>
    </row>
    <row r="331" spans="1:17" x14ac:dyDescent="0.25">
      <c r="A331" s="1" t="str">
        <f t="shared" si="5"/>
        <v>248-Schneider Electric Buildings Americas, Inc.</v>
      </c>
      <c r="B331" s="1">
        <v>248</v>
      </c>
      <c r="C331" s="1" t="s">
        <v>3047</v>
      </c>
      <c r="D331" s="1" t="s">
        <v>3048</v>
      </c>
      <c r="E331" s="1"/>
      <c r="F331" s="1"/>
      <c r="G331" s="1" t="s">
        <v>2662</v>
      </c>
      <c r="H331" s="1" t="s">
        <v>1696</v>
      </c>
      <c r="I331" s="1" t="s">
        <v>1697</v>
      </c>
      <c r="J331" s="1" t="s">
        <v>1698</v>
      </c>
      <c r="L331" t="s">
        <v>86</v>
      </c>
      <c r="M331" t="s">
        <v>14</v>
      </c>
      <c r="N331">
        <v>75006</v>
      </c>
      <c r="O331" t="s">
        <v>1699</v>
      </c>
      <c r="P331" t="s">
        <v>1700</v>
      </c>
      <c r="Q331" t="s">
        <v>1701</v>
      </c>
    </row>
    <row r="332" spans="1:17" x14ac:dyDescent="0.25">
      <c r="A332" s="35" t="s">
        <v>7998</v>
      </c>
      <c r="B332">
        <v>636</v>
      </c>
      <c r="D332" t="s">
        <v>7999</v>
      </c>
      <c r="G332" t="s">
        <v>8000</v>
      </c>
      <c r="H332" t="s">
        <v>8001</v>
      </c>
      <c r="I332" t="s">
        <v>8002</v>
      </c>
      <c r="J332" t="s">
        <v>8003</v>
      </c>
      <c r="L332" t="s">
        <v>8004</v>
      </c>
      <c r="M332" t="s">
        <v>14</v>
      </c>
      <c r="N332">
        <v>77536</v>
      </c>
      <c r="O332" t="s">
        <v>8005</v>
      </c>
      <c r="Q332" t="s">
        <v>8006</v>
      </c>
    </row>
    <row r="333" spans="1:17" x14ac:dyDescent="0.25">
      <c r="A333" s="1" t="str">
        <f t="shared" ref="A333:A364" si="6">IF(B333="","",B333&amp;"-"&amp;D333)</f>
        <v>557-Seahurst Electric</v>
      </c>
      <c r="B333" s="1">
        <v>557</v>
      </c>
      <c r="C333" s="1" t="s">
        <v>3049</v>
      </c>
      <c r="D333" s="1" t="s">
        <v>3050</v>
      </c>
      <c r="E333" s="1"/>
      <c r="F333" s="1"/>
      <c r="G333" s="1" t="s">
        <v>2412</v>
      </c>
      <c r="H333" s="1" t="s">
        <v>1702</v>
      </c>
      <c r="I333" s="1" t="s">
        <v>42</v>
      </c>
      <c r="J333" s="1" t="s">
        <v>1703</v>
      </c>
      <c r="L333" t="s">
        <v>1704</v>
      </c>
      <c r="M333" t="s">
        <v>562</v>
      </c>
      <c r="N333">
        <v>98201</v>
      </c>
      <c r="O333" t="s">
        <v>1705</v>
      </c>
      <c r="P333">
        <v>4252592794</v>
      </c>
      <c r="Q333" t="s">
        <v>1706</v>
      </c>
    </row>
    <row r="334" spans="1:17" x14ac:dyDescent="0.25">
      <c r="A334" s="1" t="str">
        <f t="shared" si="6"/>
        <v>513-Sebesta Blomberg &amp; Associates, Inc.</v>
      </c>
      <c r="B334" s="1">
        <v>513</v>
      </c>
      <c r="C334" s="1" t="s">
        <v>3051</v>
      </c>
      <c r="D334" s="1" t="s">
        <v>3052</v>
      </c>
      <c r="E334" s="1"/>
      <c r="F334" s="1"/>
      <c r="G334" s="1" t="s">
        <v>3053</v>
      </c>
      <c r="H334" s="1" t="s">
        <v>1707</v>
      </c>
      <c r="I334" s="1" t="s">
        <v>868</v>
      </c>
      <c r="J334" s="1" t="s">
        <v>1708</v>
      </c>
      <c r="L334" t="s">
        <v>13</v>
      </c>
      <c r="M334" t="s">
        <v>14</v>
      </c>
      <c r="N334">
        <v>77007</v>
      </c>
      <c r="O334" t="s">
        <v>1709</v>
      </c>
      <c r="Q334" t="s">
        <v>1710</v>
      </c>
    </row>
    <row r="335" spans="1:17" x14ac:dyDescent="0.25">
      <c r="A335" s="1" t="str">
        <f t="shared" si="6"/>
        <v>585-selectransportation resources llc</v>
      </c>
      <c r="B335" s="1">
        <v>585</v>
      </c>
      <c r="C335" s="1" t="s">
        <v>3054</v>
      </c>
      <c r="D335" s="1" t="s">
        <v>3055</v>
      </c>
      <c r="E335" s="1"/>
      <c r="F335" s="1"/>
      <c r="G335" s="1" t="s">
        <v>3056</v>
      </c>
      <c r="H335" s="1" t="s">
        <v>1711</v>
      </c>
      <c r="I335" s="1" t="s">
        <v>1712</v>
      </c>
      <c r="J335" s="1" t="s">
        <v>1713</v>
      </c>
      <c r="L335" t="s">
        <v>1246</v>
      </c>
      <c r="M335" t="s">
        <v>14</v>
      </c>
      <c r="N335">
        <v>77029</v>
      </c>
      <c r="O335" t="s">
        <v>1714</v>
      </c>
      <c r="Q335" t="s">
        <v>1715</v>
      </c>
    </row>
    <row r="336" spans="1:17" x14ac:dyDescent="0.25">
      <c r="A336" s="1" t="str">
        <f t="shared" si="6"/>
        <v>266-Servidyne Systems LLC</v>
      </c>
      <c r="B336" s="1">
        <v>266</v>
      </c>
      <c r="C336" s="1" t="s">
        <v>3057</v>
      </c>
      <c r="D336" s="1" t="s">
        <v>3058</v>
      </c>
      <c r="E336" s="1"/>
      <c r="F336" s="1"/>
      <c r="G336" s="1" t="s">
        <v>2612</v>
      </c>
      <c r="H336" s="1" t="s">
        <v>558</v>
      </c>
      <c r="I336" s="1" t="s">
        <v>1716</v>
      </c>
      <c r="J336" s="1" t="s">
        <v>1717</v>
      </c>
      <c r="K336" t="s">
        <v>1718</v>
      </c>
      <c r="L336" t="s">
        <v>1719</v>
      </c>
      <c r="M336" t="s">
        <v>1442</v>
      </c>
      <c r="N336">
        <v>30339</v>
      </c>
      <c r="O336" t="s">
        <v>1720</v>
      </c>
      <c r="P336" t="s">
        <v>1721</v>
      </c>
      <c r="Q336" t="s">
        <v>1722</v>
      </c>
    </row>
    <row r="337" spans="1:17" x14ac:dyDescent="0.25">
      <c r="A337" s="1" t="str">
        <f t="shared" si="6"/>
        <v>335-Seven Acres Jewish Senior Care Services</v>
      </c>
      <c r="B337" s="1">
        <v>335</v>
      </c>
      <c r="C337" s="1" t="s">
        <v>3059</v>
      </c>
      <c r="D337" s="1" t="s">
        <v>3060</v>
      </c>
      <c r="E337" s="1"/>
      <c r="F337" s="1"/>
      <c r="G337" s="1" t="s">
        <v>3061</v>
      </c>
      <c r="H337" s="1" t="s">
        <v>1723</v>
      </c>
      <c r="I337" s="1" t="s">
        <v>1724</v>
      </c>
      <c r="J337" s="1" t="s">
        <v>1725</v>
      </c>
      <c r="L337" t="s">
        <v>13</v>
      </c>
      <c r="M337" t="s">
        <v>14</v>
      </c>
      <c r="N337">
        <v>77074</v>
      </c>
      <c r="O337" t="s">
        <v>1726</v>
      </c>
      <c r="P337" t="s">
        <v>1727</v>
      </c>
      <c r="Q337" t="s">
        <v>1728</v>
      </c>
    </row>
    <row r="338" spans="1:17" x14ac:dyDescent="0.25">
      <c r="A338" s="1" t="str">
        <f t="shared" si="6"/>
        <v>473-Shah Smith &amp; Associates, Inc.</v>
      </c>
      <c r="B338" s="1">
        <v>473</v>
      </c>
      <c r="C338" s="1" t="s">
        <v>3062</v>
      </c>
      <c r="D338" s="1" t="s">
        <v>3063</v>
      </c>
      <c r="E338" s="1"/>
      <c r="F338" s="1"/>
      <c r="G338" s="1" t="s">
        <v>3064</v>
      </c>
      <c r="H338" s="1" t="s">
        <v>1729</v>
      </c>
      <c r="I338" s="1" t="s">
        <v>1730</v>
      </c>
      <c r="J338" s="1" t="s">
        <v>1731</v>
      </c>
      <c r="L338" t="s">
        <v>13</v>
      </c>
      <c r="M338" t="s">
        <v>14</v>
      </c>
      <c r="N338">
        <v>77042</v>
      </c>
      <c r="O338" t="s">
        <v>1732</v>
      </c>
      <c r="Q338" t="s">
        <v>1733</v>
      </c>
    </row>
    <row r="339" spans="1:17" x14ac:dyDescent="0.25">
      <c r="A339" s="1" t="str">
        <f t="shared" si="6"/>
        <v>346-Siemens Building Technologies, Inc</v>
      </c>
      <c r="B339" s="1">
        <v>346</v>
      </c>
      <c r="C339" s="1" t="s">
        <v>3065</v>
      </c>
      <c r="D339" s="1" t="s">
        <v>3066</v>
      </c>
      <c r="E339" s="1"/>
      <c r="F339" s="1"/>
      <c r="G339" s="1" t="s">
        <v>3067</v>
      </c>
      <c r="H339" s="1" t="s">
        <v>1734</v>
      </c>
      <c r="I339" s="1" t="s">
        <v>403</v>
      </c>
      <c r="J339" s="1" t="s">
        <v>1735</v>
      </c>
      <c r="L339" t="s">
        <v>13</v>
      </c>
      <c r="M339" t="s">
        <v>14</v>
      </c>
      <c r="N339">
        <v>77064</v>
      </c>
      <c r="O339" t="s">
        <v>1736</v>
      </c>
      <c r="Q339" t="s">
        <v>1737</v>
      </c>
    </row>
    <row r="340" spans="1:17" x14ac:dyDescent="0.25">
      <c r="A340" s="1" t="str">
        <f t="shared" si="6"/>
        <v>222-Siemens Industry Inc.</v>
      </c>
      <c r="B340" s="1">
        <v>222</v>
      </c>
      <c r="C340" s="1" t="s">
        <v>3068</v>
      </c>
      <c r="D340" s="1" t="s">
        <v>3069</v>
      </c>
      <c r="E340" s="1"/>
      <c r="F340" s="1"/>
      <c r="G340" s="1" t="s">
        <v>3070</v>
      </c>
      <c r="H340" s="1" t="s">
        <v>1738</v>
      </c>
      <c r="I340" s="1" t="s">
        <v>321</v>
      </c>
      <c r="J340" s="1" t="s">
        <v>1735</v>
      </c>
      <c r="L340" t="s">
        <v>13</v>
      </c>
      <c r="M340" t="s">
        <v>14</v>
      </c>
      <c r="N340">
        <v>77064</v>
      </c>
      <c r="O340" t="s">
        <v>1739</v>
      </c>
      <c r="P340" t="s">
        <v>1740</v>
      </c>
      <c r="Q340" t="s">
        <v>1741</v>
      </c>
    </row>
    <row r="341" spans="1:17" x14ac:dyDescent="0.25">
      <c r="A341" s="1" t="str">
        <f t="shared" si="6"/>
        <v>445-SmartWatt Energy</v>
      </c>
      <c r="B341" s="1">
        <v>445</v>
      </c>
      <c r="C341" s="1" t="s">
        <v>3071</v>
      </c>
      <c r="D341" s="1" t="s">
        <v>3072</v>
      </c>
      <c r="E341" s="1"/>
      <c r="F341" s="1" t="s">
        <v>3073</v>
      </c>
      <c r="G341" s="35" t="s">
        <v>7988</v>
      </c>
      <c r="H341" s="35" t="s">
        <v>7982</v>
      </c>
      <c r="I341" s="35" t="s">
        <v>7983</v>
      </c>
      <c r="J341" s="35" t="s">
        <v>7984</v>
      </c>
      <c r="L341" t="s">
        <v>68</v>
      </c>
      <c r="M341" t="s">
        <v>14</v>
      </c>
      <c r="N341">
        <v>75061</v>
      </c>
      <c r="O341" t="s">
        <v>7985</v>
      </c>
      <c r="P341" t="s">
        <v>7986</v>
      </c>
      <c r="Q341" t="s">
        <v>7987</v>
      </c>
    </row>
    <row r="342" spans="1:17" x14ac:dyDescent="0.25">
      <c r="A342" s="1" t="str">
        <f t="shared" si="6"/>
        <v>391-Sodexo Services of Texas Limited Partnership</v>
      </c>
      <c r="B342" s="1">
        <v>391</v>
      </c>
      <c r="C342" s="1" t="s">
        <v>3074</v>
      </c>
      <c r="D342" s="1" t="s">
        <v>3075</v>
      </c>
      <c r="E342" s="1"/>
      <c r="F342" s="1"/>
      <c r="G342" s="1" t="s">
        <v>2730</v>
      </c>
      <c r="H342" s="1" t="s">
        <v>1742</v>
      </c>
      <c r="I342" s="1" t="s">
        <v>1743</v>
      </c>
      <c r="J342" s="1" t="s">
        <v>1744</v>
      </c>
      <c r="L342" t="s">
        <v>1745</v>
      </c>
      <c r="M342" t="s">
        <v>185</v>
      </c>
      <c r="N342">
        <v>66053</v>
      </c>
      <c r="O342" t="s">
        <v>1746</v>
      </c>
      <c r="Q342" t="s">
        <v>1747</v>
      </c>
    </row>
    <row r="343" spans="1:17" x14ac:dyDescent="0.25">
      <c r="A343" s="1" t="str">
        <f t="shared" si="6"/>
        <v>363-Solar Motels</v>
      </c>
      <c r="B343" s="1">
        <v>363</v>
      </c>
      <c r="C343" s="1" t="s">
        <v>3076</v>
      </c>
      <c r="D343" s="1" t="s">
        <v>3077</v>
      </c>
      <c r="E343" s="1"/>
      <c r="F343" s="1"/>
      <c r="G343" s="1" t="s">
        <v>3078</v>
      </c>
      <c r="H343" s="1" t="s">
        <v>1748</v>
      </c>
      <c r="I343" s="1" t="s">
        <v>363</v>
      </c>
      <c r="J343" s="1" t="s">
        <v>1749</v>
      </c>
      <c r="L343" t="s">
        <v>1750</v>
      </c>
      <c r="M343" t="s">
        <v>14</v>
      </c>
      <c r="N343">
        <v>77478</v>
      </c>
      <c r="O343" t="s">
        <v>1751</v>
      </c>
      <c r="Q343" t="s">
        <v>1752</v>
      </c>
    </row>
    <row r="344" spans="1:17" x14ac:dyDescent="0.25">
      <c r="A344" s="1" t="str">
        <f t="shared" si="6"/>
        <v>452-Solis Lighting and Electrical Services</v>
      </c>
      <c r="B344" s="1">
        <v>452</v>
      </c>
      <c r="C344" s="1" t="s">
        <v>3079</v>
      </c>
      <c r="D344" s="1" t="s">
        <v>3080</v>
      </c>
      <c r="E344" s="1"/>
      <c r="F344" s="1"/>
      <c r="G344" s="1" t="s">
        <v>3081</v>
      </c>
      <c r="H344" s="1" t="s">
        <v>1753</v>
      </c>
      <c r="I344" s="1" t="s">
        <v>290</v>
      </c>
      <c r="J344" s="1" t="s">
        <v>1754</v>
      </c>
      <c r="L344" t="s">
        <v>1755</v>
      </c>
      <c r="M344" t="s">
        <v>100</v>
      </c>
      <c r="N344">
        <v>92673</v>
      </c>
      <c r="O344" t="s">
        <v>1756</v>
      </c>
      <c r="P344" t="s">
        <v>1757</v>
      </c>
      <c r="Q344" t="s">
        <v>1758</v>
      </c>
    </row>
    <row r="345" spans="1:17" x14ac:dyDescent="0.25">
      <c r="A345" s="1" t="str">
        <f t="shared" si="6"/>
        <v>264-Sorel Energy LLC</v>
      </c>
      <c r="B345" s="1">
        <v>264</v>
      </c>
      <c r="C345" s="1" t="s">
        <v>3082</v>
      </c>
      <c r="D345" s="1" t="s">
        <v>3083</v>
      </c>
      <c r="E345" s="1"/>
      <c r="F345" s="1"/>
      <c r="G345" s="1" t="s">
        <v>3084</v>
      </c>
      <c r="H345" s="1" t="s">
        <v>1759</v>
      </c>
      <c r="I345" s="1" t="s">
        <v>1760</v>
      </c>
      <c r="J345" s="1" t="s">
        <v>1761</v>
      </c>
      <c r="K345" t="s">
        <v>1762</v>
      </c>
      <c r="L345" t="s">
        <v>13</v>
      </c>
      <c r="M345" t="s">
        <v>14</v>
      </c>
      <c r="N345">
        <v>77002</v>
      </c>
      <c r="O345" t="s">
        <v>1763</v>
      </c>
      <c r="P345" t="s">
        <v>1764</v>
      </c>
      <c r="Q345" t="s">
        <v>1765</v>
      </c>
    </row>
    <row r="346" spans="1:17" x14ac:dyDescent="0.25">
      <c r="A346" s="1" t="str">
        <f t="shared" si="6"/>
        <v>586-Southpoint Solutions</v>
      </c>
      <c r="B346" s="1">
        <v>586</v>
      </c>
      <c r="C346" s="1" t="s">
        <v>3085</v>
      </c>
      <c r="D346" s="1" t="s">
        <v>3086</v>
      </c>
      <c r="E346" s="1"/>
      <c r="F346" s="1" t="s">
        <v>3087</v>
      </c>
      <c r="G346" s="1" t="s">
        <v>2648</v>
      </c>
      <c r="H346" s="1" t="s">
        <v>1766</v>
      </c>
      <c r="I346" s="1" t="s">
        <v>90</v>
      </c>
      <c r="J346" s="1" t="s">
        <v>1767</v>
      </c>
      <c r="L346" t="s">
        <v>1768</v>
      </c>
      <c r="M346" t="s">
        <v>894</v>
      </c>
      <c r="N346">
        <v>29707</v>
      </c>
      <c r="O346" t="s">
        <v>1769</v>
      </c>
      <c r="P346" t="s">
        <v>1770</v>
      </c>
      <c r="Q346" t="s">
        <v>1771</v>
      </c>
    </row>
    <row r="347" spans="1:17" x14ac:dyDescent="0.25">
      <c r="A347" s="1" t="str">
        <f t="shared" si="6"/>
        <v>638-Spark Lighting, LLC</v>
      </c>
      <c r="B347">
        <v>638</v>
      </c>
      <c r="D347" t="s">
        <v>8026</v>
      </c>
      <c r="G347" t="s">
        <v>2491</v>
      </c>
      <c r="H347" t="s">
        <v>8164</v>
      </c>
      <c r="J347" t="s">
        <v>8027</v>
      </c>
      <c r="L347" t="s">
        <v>13</v>
      </c>
      <c r="M347" t="s">
        <v>14</v>
      </c>
      <c r="N347">
        <v>77081</v>
      </c>
      <c r="O347" t="s">
        <v>8166</v>
      </c>
      <c r="Q347" t="s">
        <v>8165</v>
      </c>
    </row>
    <row r="348" spans="1:17" x14ac:dyDescent="0.25">
      <c r="A348" s="1" t="str">
        <f t="shared" si="6"/>
        <v>573-Sparkman Electric, LLC</v>
      </c>
      <c r="B348" s="1">
        <v>573</v>
      </c>
      <c r="C348" s="1" t="s">
        <v>3088</v>
      </c>
      <c r="D348" s="1" t="s">
        <v>3089</v>
      </c>
      <c r="E348" s="1"/>
      <c r="F348" s="1"/>
      <c r="G348" s="1" t="s">
        <v>3090</v>
      </c>
      <c r="H348" s="1" t="s">
        <v>1772</v>
      </c>
      <c r="I348" s="1" t="s">
        <v>761</v>
      </c>
      <c r="J348" s="1" t="s">
        <v>1773</v>
      </c>
      <c r="L348" t="s">
        <v>1774</v>
      </c>
      <c r="M348" t="s">
        <v>14</v>
      </c>
      <c r="N348">
        <v>76117</v>
      </c>
      <c r="O348" t="s">
        <v>1775</v>
      </c>
      <c r="P348" t="s">
        <v>1776</v>
      </c>
      <c r="Q348" t="s">
        <v>1777</v>
      </c>
    </row>
    <row r="349" spans="1:17" x14ac:dyDescent="0.25">
      <c r="A349" s="1" t="str">
        <f t="shared" si="6"/>
        <v>632-Specialty Lighting Group</v>
      </c>
      <c r="B349">
        <v>632</v>
      </c>
      <c r="D349" t="s">
        <v>7856</v>
      </c>
      <c r="G349" t="s">
        <v>7857</v>
      </c>
      <c r="H349" t="s">
        <v>7858</v>
      </c>
      <c r="J349" t="s">
        <v>7959</v>
      </c>
      <c r="L349" t="s">
        <v>7859</v>
      </c>
      <c r="M349" t="s">
        <v>547</v>
      </c>
      <c r="N349" s="22" t="s">
        <v>7863</v>
      </c>
      <c r="O349" t="s">
        <v>7860</v>
      </c>
      <c r="Q349" t="s">
        <v>7861</v>
      </c>
    </row>
    <row r="350" spans="1:17" x14ac:dyDescent="0.25">
      <c r="A350" s="1" t="str">
        <f t="shared" si="6"/>
        <v>416-Standard Parking Corporation</v>
      </c>
      <c r="B350" s="1">
        <v>416</v>
      </c>
      <c r="C350" s="1" t="s">
        <v>3091</v>
      </c>
      <c r="D350" s="1" t="s">
        <v>3092</v>
      </c>
      <c r="E350" s="1"/>
      <c r="F350" s="1"/>
      <c r="G350" s="1" t="s">
        <v>3093</v>
      </c>
      <c r="H350" s="1" t="s">
        <v>1778</v>
      </c>
      <c r="I350" s="1" t="s">
        <v>1779</v>
      </c>
      <c r="J350" s="1" t="s">
        <v>1780</v>
      </c>
      <c r="L350" t="s">
        <v>13</v>
      </c>
      <c r="M350" t="s">
        <v>14</v>
      </c>
      <c r="N350">
        <v>77002</v>
      </c>
      <c r="O350" t="s">
        <v>1781</v>
      </c>
      <c r="P350" t="s">
        <v>1782</v>
      </c>
      <c r="Q350" t="s">
        <v>1783</v>
      </c>
    </row>
    <row r="351" spans="1:17" x14ac:dyDescent="0.25">
      <c r="A351" s="1" t="str">
        <f t="shared" si="6"/>
        <v>380-Standard Renewable Energy</v>
      </c>
      <c r="B351" s="1">
        <v>380</v>
      </c>
      <c r="C351" s="1" t="s">
        <v>3094</v>
      </c>
      <c r="D351" s="1" t="s">
        <v>3095</v>
      </c>
      <c r="E351" s="1"/>
      <c r="F351" s="1"/>
      <c r="G351" s="1" t="s">
        <v>3096</v>
      </c>
      <c r="H351" s="1" t="s">
        <v>1784</v>
      </c>
      <c r="I351" s="1" t="s">
        <v>246</v>
      </c>
      <c r="J351" s="1" t="s">
        <v>1785</v>
      </c>
      <c r="K351" t="s">
        <v>1786</v>
      </c>
      <c r="L351" t="s">
        <v>13</v>
      </c>
      <c r="M351" t="s">
        <v>14</v>
      </c>
      <c r="N351">
        <v>77007</v>
      </c>
      <c r="O351" t="s">
        <v>1787</v>
      </c>
      <c r="Q351" t="s">
        <v>1788</v>
      </c>
    </row>
    <row r="352" spans="1:17" x14ac:dyDescent="0.25">
      <c r="A352" s="1" t="str">
        <f t="shared" si="6"/>
        <v>351-SteveCo</v>
      </c>
      <c r="B352" s="1">
        <v>351</v>
      </c>
      <c r="C352" s="1" t="s">
        <v>3097</v>
      </c>
      <c r="D352" s="1" t="s">
        <v>3098</v>
      </c>
      <c r="E352" s="1"/>
      <c r="F352" s="1"/>
      <c r="G352" s="1" t="s">
        <v>2814</v>
      </c>
      <c r="H352" s="1" t="s">
        <v>1789</v>
      </c>
      <c r="I352" s="1" t="s">
        <v>1790</v>
      </c>
      <c r="J352" s="1" t="s">
        <v>1791</v>
      </c>
      <c r="L352" t="s">
        <v>13</v>
      </c>
      <c r="M352" t="s">
        <v>14</v>
      </c>
      <c r="N352">
        <v>77010</v>
      </c>
      <c r="O352" t="s">
        <v>1792</v>
      </c>
      <c r="P352" t="s">
        <v>1793</v>
      </c>
      <c r="Q352" t="s">
        <v>1794</v>
      </c>
    </row>
    <row r="353" spans="1:17" x14ac:dyDescent="0.25">
      <c r="A353" s="1" t="str">
        <f t="shared" si="6"/>
        <v>522-Straus Systems, Inc.</v>
      </c>
      <c r="B353" s="1">
        <v>522</v>
      </c>
      <c r="C353" s="1" t="s">
        <v>3099</v>
      </c>
      <c r="D353" s="1" t="s">
        <v>3100</v>
      </c>
      <c r="E353" s="1"/>
      <c r="F353" s="1"/>
      <c r="G353" s="1" t="s">
        <v>2730</v>
      </c>
      <c r="H353" s="1" t="s">
        <v>1795</v>
      </c>
      <c r="I353" s="1" t="s">
        <v>119</v>
      </c>
      <c r="J353" s="1" t="s">
        <v>1796</v>
      </c>
      <c r="K353" t="s">
        <v>1797</v>
      </c>
      <c r="L353" t="s">
        <v>262</v>
      </c>
      <c r="M353" t="s">
        <v>14</v>
      </c>
      <c r="N353">
        <v>77497</v>
      </c>
      <c r="O353" t="s">
        <v>1798</v>
      </c>
      <c r="P353" t="s">
        <v>1799</v>
      </c>
      <c r="Q353" t="s">
        <v>1800</v>
      </c>
    </row>
    <row r="354" spans="1:17" x14ac:dyDescent="0.25">
      <c r="A354" s="1" t="str">
        <f t="shared" si="6"/>
        <v>569-Sun and Sun Industries, Inc.</v>
      </c>
      <c r="B354" s="1">
        <v>569</v>
      </c>
      <c r="C354" s="1" t="s">
        <v>3101</v>
      </c>
      <c r="D354" s="1" t="s">
        <v>3102</v>
      </c>
      <c r="E354" s="1"/>
      <c r="F354" s="1"/>
      <c r="G354" s="1" t="s">
        <v>3103</v>
      </c>
      <c r="H354" s="1" t="s">
        <v>1801</v>
      </c>
      <c r="I354" s="1" t="s">
        <v>1802</v>
      </c>
      <c r="J354" s="1" t="s">
        <v>1494</v>
      </c>
      <c r="L354" t="s">
        <v>1495</v>
      </c>
      <c r="M354" t="s">
        <v>14</v>
      </c>
      <c r="N354">
        <v>76011</v>
      </c>
      <c r="O354" t="s">
        <v>1496</v>
      </c>
      <c r="Q354" t="s">
        <v>1803</v>
      </c>
    </row>
    <row r="355" spans="1:17" x14ac:dyDescent="0.25">
      <c r="A355" s="1" t="str">
        <f t="shared" si="6"/>
        <v>646-Sunset Glass Tinting</v>
      </c>
      <c r="B355">
        <v>646</v>
      </c>
      <c r="D355" t="s">
        <v>8084</v>
      </c>
      <c r="G355" t="s">
        <v>8085</v>
      </c>
      <c r="H355" t="s">
        <v>8086</v>
      </c>
      <c r="J355" t="s">
        <v>8087</v>
      </c>
      <c r="L355" t="s">
        <v>262</v>
      </c>
      <c r="M355" t="s">
        <v>14</v>
      </c>
      <c r="N355" s="22" t="s">
        <v>8088</v>
      </c>
      <c r="O355" t="s">
        <v>8089</v>
      </c>
      <c r="Q355" t="s">
        <v>8090</v>
      </c>
    </row>
    <row r="356" spans="1:17" x14ac:dyDescent="0.25">
      <c r="A356" s="1" t="str">
        <f t="shared" si="6"/>
        <v>625-Sunvestors</v>
      </c>
      <c r="B356" s="1">
        <v>625</v>
      </c>
      <c r="C356" s="1" t="s">
        <v>3104</v>
      </c>
      <c r="D356" s="1" t="s">
        <v>3105</v>
      </c>
      <c r="E356" s="1"/>
      <c r="F356" s="1"/>
      <c r="G356" s="1" t="s">
        <v>2274</v>
      </c>
      <c r="H356" s="1" t="s">
        <v>1804</v>
      </c>
      <c r="I356" s="1" t="s">
        <v>290</v>
      </c>
      <c r="J356" s="1" t="s">
        <v>1805</v>
      </c>
      <c r="L356" t="s">
        <v>13</v>
      </c>
      <c r="M356" t="s">
        <v>14</v>
      </c>
      <c r="N356">
        <v>77035</v>
      </c>
      <c r="O356" t="s">
        <v>1806</v>
      </c>
      <c r="Q356" t="s">
        <v>1807</v>
      </c>
    </row>
    <row r="357" spans="1:17" x14ac:dyDescent="0.25">
      <c r="A357" s="1" t="str">
        <f t="shared" si="6"/>
        <v>411-Superior Lighting</v>
      </c>
      <c r="B357" s="1">
        <v>411</v>
      </c>
      <c r="C357" s="1" t="s">
        <v>3106</v>
      </c>
      <c r="D357" s="1" t="s">
        <v>3107</v>
      </c>
      <c r="E357" s="1"/>
      <c r="F357" s="1"/>
      <c r="G357" s="1" t="s">
        <v>3108</v>
      </c>
      <c r="H357" s="1" t="s">
        <v>1808</v>
      </c>
      <c r="I357" s="1" t="s">
        <v>49</v>
      </c>
      <c r="J357" s="1" t="s">
        <v>1809</v>
      </c>
      <c r="L357" t="s">
        <v>1810</v>
      </c>
      <c r="M357" t="s">
        <v>1124</v>
      </c>
      <c r="N357">
        <v>71837</v>
      </c>
      <c r="O357" t="s">
        <v>1811</v>
      </c>
      <c r="P357" t="s">
        <v>1812</v>
      </c>
      <c r="Q357" t="s">
        <v>1813</v>
      </c>
    </row>
    <row r="358" spans="1:17" x14ac:dyDescent="0.25">
      <c r="A358" s="1" t="str">
        <f t="shared" si="6"/>
        <v>592-Sustainable Development Concepts</v>
      </c>
      <c r="B358" s="1">
        <v>592</v>
      </c>
      <c r="C358" s="1" t="s">
        <v>3109</v>
      </c>
      <c r="D358" s="1" t="s">
        <v>3110</v>
      </c>
      <c r="E358" s="1" t="s">
        <v>3111</v>
      </c>
      <c r="F358" s="1" t="s">
        <v>3109</v>
      </c>
      <c r="G358" s="1" t="s">
        <v>3112</v>
      </c>
      <c r="H358" s="1" t="s">
        <v>1814</v>
      </c>
      <c r="I358" s="1" t="s">
        <v>290</v>
      </c>
      <c r="J358" s="1" t="s">
        <v>1815</v>
      </c>
      <c r="K358" t="s">
        <v>1816</v>
      </c>
      <c r="L358" t="s">
        <v>1817</v>
      </c>
      <c r="M358" t="s">
        <v>14</v>
      </c>
      <c r="N358">
        <v>77478</v>
      </c>
      <c r="O358">
        <v>7134899703</v>
      </c>
      <c r="Q358" t="s">
        <v>1818</v>
      </c>
    </row>
    <row r="359" spans="1:17" x14ac:dyDescent="0.25">
      <c r="A359" s="1" t="str">
        <f t="shared" si="6"/>
        <v>251-Sylvania Lighting Services</v>
      </c>
      <c r="B359" s="1">
        <v>251</v>
      </c>
      <c r="C359" s="1" t="s">
        <v>3113</v>
      </c>
      <c r="D359" s="1" t="s">
        <v>3114</v>
      </c>
      <c r="E359" s="1"/>
      <c r="F359" s="1"/>
      <c r="G359" s="1" t="s">
        <v>3115</v>
      </c>
      <c r="H359" s="1" t="s">
        <v>1819</v>
      </c>
      <c r="I359" s="1" t="s">
        <v>1820</v>
      </c>
      <c r="J359" s="1" t="s">
        <v>1821</v>
      </c>
      <c r="L359" t="s">
        <v>1822</v>
      </c>
      <c r="M359" t="s">
        <v>562</v>
      </c>
      <c r="N359">
        <v>98277</v>
      </c>
      <c r="O359" t="s">
        <v>1823</v>
      </c>
      <c r="P359" t="s">
        <v>1824</v>
      </c>
      <c r="Q359" t="s">
        <v>1825</v>
      </c>
    </row>
    <row r="360" spans="1:17" x14ac:dyDescent="0.25">
      <c r="A360" s="1" t="str">
        <f t="shared" si="6"/>
        <v>588-Synergy Investment</v>
      </c>
      <c r="B360" s="1">
        <v>588</v>
      </c>
      <c r="C360" s="1" t="s">
        <v>3116</v>
      </c>
      <c r="D360" s="1" t="s">
        <v>3117</v>
      </c>
      <c r="E360" s="1"/>
      <c r="F360" s="1"/>
      <c r="G360" s="1" t="s">
        <v>2291</v>
      </c>
      <c r="H360" s="1" t="s">
        <v>1826</v>
      </c>
      <c r="I360" s="1" t="s">
        <v>1827</v>
      </c>
      <c r="J360" s="1" t="s">
        <v>1828</v>
      </c>
      <c r="K360" t="s">
        <v>1829</v>
      </c>
      <c r="L360" t="s">
        <v>1830</v>
      </c>
      <c r="M360" t="s">
        <v>217</v>
      </c>
      <c r="N360">
        <v>1581</v>
      </c>
      <c r="O360" t="s">
        <v>1831</v>
      </c>
      <c r="P360" t="s">
        <v>1832</v>
      </c>
      <c r="Q360" t="s">
        <v>1833</v>
      </c>
    </row>
    <row r="361" spans="1:17" x14ac:dyDescent="0.25">
      <c r="A361" s="1" t="str">
        <f t="shared" si="6"/>
        <v>620-Tamesi Electrician</v>
      </c>
      <c r="B361" s="1">
        <v>620</v>
      </c>
      <c r="C361" s="1" t="s">
        <v>3118</v>
      </c>
      <c r="D361" s="1" t="s">
        <v>3119</v>
      </c>
      <c r="E361" s="1"/>
      <c r="F361" s="1"/>
      <c r="G361" s="1" t="s">
        <v>3120</v>
      </c>
      <c r="H361" s="1" t="s">
        <v>1834</v>
      </c>
      <c r="I361" s="1" t="s">
        <v>119</v>
      </c>
      <c r="J361" s="1" t="s">
        <v>1835</v>
      </c>
      <c r="L361" t="s">
        <v>1836</v>
      </c>
      <c r="M361" t="s">
        <v>14</v>
      </c>
      <c r="N361">
        <v>77423</v>
      </c>
      <c r="O361" t="s">
        <v>1837</v>
      </c>
      <c r="P361">
        <v>2813752676</v>
      </c>
      <c r="Q361" t="s">
        <v>1838</v>
      </c>
    </row>
    <row r="362" spans="1:17" x14ac:dyDescent="0.25">
      <c r="A362" s="1" t="str">
        <f t="shared" si="6"/>
        <v>422-Tapco Enpro</v>
      </c>
      <c r="B362" s="1">
        <v>422</v>
      </c>
      <c r="C362" s="1" t="s">
        <v>3121</v>
      </c>
      <c r="D362" s="1" t="s">
        <v>3122</v>
      </c>
      <c r="E362" s="1" t="s">
        <v>3123</v>
      </c>
      <c r="F362" s="1" t="s">
        <v>3124</v>
      </c>
      <c r="G362" s="1" t="s">
        <v>2291</v>
      </c>
      <c r="H362" s="1" t="s">
        <v>1839</v>
      </c>
      <c r="I362" s="1" t="s">
        <v>698</v>
      </c>
      <c r="J362" s="1" t="s">
        <v>1840</v>
      </c>
      <c r="K362" t="s">
        <v>1841</v>
      </c>
      <c r="L362" t="s">
        <v>293</v>
      </c>
      <c r="M362" t="s">
        <v>14</v>
      </c>
      <c r="N362">
        <v>75204</v>
      </c>
      <c r="O362" t="s">
        <v>1842</v>
      </c>
      <c r="Q362" t="s">
        <v>1843</v>
      </c>
    </row>
    <row r="363" spans="1:17" x14ac:dyDescent="0.25">
      <c r="A363" s="1" t="str">
        <f t="shared" si="6"/>
        <v>442-Target</v>
      </c>
      <c r="B363" s="1">
        <v>442</v>
      </c>
      <c r="C363" s="1" t="s">
        <v>3125</v>
      </c>
      <c r="D363" s="1" t="s">
        <v>3126</v>
      </c>
      <c r="E363" s="1"/>
      <c r="F363" s="1"/>
      <c r="G363" s="1" t="s">
        <v>3127</v>
      </c>
      <c r="H363" s="1" t="s">
        <v>1844</v>
      </c>
      <c r="I363" s="1" t="s">
        <v>425</v>
      </c>
      <c r="J363" s="1" t="s">
        <v>1845</v>
      </c>
      <c r="K363" t="s">
        <v>1846</v>
      </c>
      <c r="L363" t="s">
        <v>1847</v>
      </c>
      <c r="M363" t="s">
        <v>411</v>
      </c>
      <c r="N363">
        <v>55403</v>
      </c>
      <c r="O363" t="s">
        <v>1848</v>
      </c>
      <c r="P363" t="s">
        <v>1849</v>
      </c>
      <c r="Q363" t="s">
        <v>1850</v>
      </c>
    </row>
    <row r="364" spans="1:17" x14ac:dyDescent="0.25">
      <c r="A364" s="1" t="str">
        <f t="shared" si="6"/>
        <v>274-TDIndustries</v>
      </c>
      <c r="B364" s="1">
        <v>274</v>
      </c>
      <c r="C364" s="1" t="s">
        <v>3128</v>
      </c>
      <c r="D364" s="1" t="s">
        <v>3129</v>
      </c>
      <c r="E364" s="1"/>
      <c r="F364" s="1"/>
      <c r="G364" s="1" t="s">
        <v>3130</v>
      </c>
      <c r="H364" s="1" t="s">
        <v>1851</v>
      </c>
      <c r="I364" s="1" t="s">
        <v>1852</v>
      </c>
      <c r="J364" s="1" t="s">
        <v>1853</v>
      </c>
      <c r="L364" t="s">
        <v>13</v>
      </c>
      <c r="M364" t="s">
        <v>14</v>
      </c>
      <c r="N364">
        <v>77040</v>
      </c>
      <c r="O364" t="s">
        <v>1854</v>
      </c>
      <c r="P364" t="s">
        <v>1855</v>
      </c>
      <c r="Q364" t="s">
        <v>1856</v>
      </c>
    </row>
    <row r="365" spans="1:17" x14ac:dyDescent="0.25">
      <c r="A365" s="1" t="str">
        <f t="shared" ref="A365:A396" si="7">IF(B365="","",B365&amp;"-"&amp;D365)</f>
        <v>402-TECO Partners, Inc.</v>
      </c>
      <c r="B365" s="1">
        <v>402</v>
      </c>
      <c r="C365" s="1" t="s">
        <v>3131</v>
      </c>
      <c r="D365" s="1" t="s">
        <v>3132</v>
      </c>
      <c r="E365" s="1"/>
      <c r="F365" s="1"/>
      <c r="G365" s="1" t="s">
        <v>2215</v>
      </c>
      <c r="H365" s="1" t="s">
        <v>1857</v>
      </c>
      <c r="I365" s="1" t="s">
        <v>432</v>
      </c>
      <c r="J365" s="1" t="s">
        <v>1858</v>
      </c>
      <c r="L365" t="s">
        <v>1859</v>
      </c>
      <c r="M365" t="s">
        <v>75</v>
      </c>
      <c r="N365">
        <v>33601</v>
      </c>
      <c r="O365" t="s">
        <v>1860</v>
      </c>
      <c r="Q365" t="s">
        <v>1861</v>
      </c>
    </row>
    <row r="366" spans="1:17" x14ac:dyDescent="0.25">
      <c r="A366" s="1" t="str">
        <f t="shared" si="7"/>
        <v>562-TELIOS</v>
      </c>
      <c r="B366" s="1">
        <v>562</v>
      </c>
      <c r="C366" s="1" t="s">
        <v>3133</v>
      </c>
      <c r="D366" s="1" t="s">
        <v>3134</v>
      </c>
      <c r="E366" s="1"/>
      <c r="F366" s="1"/>
      <c r="G366" s="1" t="s">
        <v>582</v>
      </c>
      <c r="H366" s="1" t="s">
        <v>1862</v>
      </c>
      <c r="I366" s="1" t="s">
        <v>42</v>
      </c>
      <c r="J366" s="1" t="s">
        <v>1863</v>
      </c>
      <c r="K366" t="s">
        <v>1762</v>
      </c>
      <c r="L366" t="s">
        <v>1131</v>
      </c>
      <c r="M366" t="s">
        <v>14</v>
      </c>
      <c r="N366">
        <v>77478</v>
      </c>
      <c r="O366" t="s">
        <v>1864</v>
      </c>
      <c r="P366">
        <v>2812651608</v>
      </c>
      <c r="Q366" t="s">
        <v>1865</v>
      </c>
    </row>
    <row r="367" spans="1:17" x14ac:dyDescent="0.25">
      <c r="A367" s="1" t="str">
        <f t="shared" si="7"/>
        <v>486-Texas AirSystems</v>
      </c>
      <c r="B367" s="1">
        <v>486</v>
      </c>
      <c r="C367" s="1" t="s">
        <v>3135</v>
      </c>
      <c r="D367" s="1" t="s">
        <v>3136</v>
      </c>
      <c r="E367" s="1"/>
      <c r="F367" s="1"/>
      <c r="G367" s="1" t="s">
        <v>2985</v>
      </c>
      <c r="H367" s="1" t="s">
        <v>1866</v>
      </c>
      <c r="I367" s="1" t="s">
        <v>1867</v>
      </c>
      <c r="J367" s="1" t="s">
        <v>1868</v>
      </c>
      <c r="K367" t="s">
        <v>1869</v>
      </c>
      <c r="L367" t="s">
        <v>262</v>
      </c>
      <c r="M367" t="s">
        <v>14</v>
      </c>
      <c r="N367">
        <v>77477</v>
      </c>
      <c r="O367" t="s">
        <v>1870</v>
      </c>
      <c r="P367" t="s">
        <v>1871</v>
      </c>
      <c r="Q367" t="s">
        <v>1872</v>
      </c>
    </row>
    <row r="368" spans="1:17" x14ac:dyDescent="0.25">
      <c r="A368" s="1" t="str">
        <f t="shared" si="7"/>
        <v>647-Texal Energy LLC</v>
      </c>
      <c r="B368">
        <v>647</v>
      </c>
      <c r="D368" t="s">
        <v>8159</v>
      </c>
      <c r="G368" t="s">
        <v>8091</v>
      </c>
      <c r="H368" t="s">
        <v>8092</v>
      </c>
      <c r="J368" t="s">
        <v>8093</v>
      </c>
      <c r="L368" t="s">
        <v>293</v>
      </c>
      <c r="M368" t="s">
        <v>14</v>
      </c>
      <c r="N368" s="22" t="s">
        <v>8094</v>
      </c>
      <c r="O368" t="s">
        <v>8095</v>
      </c>
      <c r="Q368" t="s">
        <v>8096</v>
      </c>
    </row>
    <row r="369" spans="1:17" x14ac:dyDescent="0.25">
      <c r="A369" s="1" t="str">
        <f t="shared" si="7"/>
        <v>225-Texas Energy Products</v>
      </c>
      <c r="B369" s="1">
        <v>225</v>
      </c>
      <c r="C369" s="1" t="s">
        <v>3137</v>
      </c>
      <c r="D369" s="1" t="s">
        <v>3138</v>
      </c>
      <c r="E369" s="1"/>
      <c r="F369" s="1"/>
      <c r="G369" s="1" t="s">
        <v>2309</v>
      </c>
      <c r="H369" s="1" t="s">
        <v>273</v>
      </c>
      <c r="I369" s="1" t="s">
        <v>1873</v>
      </c>
      <c r="J369" s="1" t="s">
        <v>1874</v>
      </c>
      <c r="K369" t="s">
        <v>1875</v>
      </c>
      <c r="L369" t="s">
        <v>107</v>
      </c>
      <c r="M369" t="s">
        <v>14</v>
      </c>
      <c r="N369">
        <v>78754</v>
      </c>
      <c r="O369" t="s">
        <v>1283</v>
      </c>
      <c r="P369" t="s">
        <v>1876</v>
      </c>
      <c r="Q369" t="s">
        <v>1877</v>
      </c>
    </row>
    <row r="370" spans="1:17" x14ac:dyDescent="0.25">
      <c r="A370" s="1" t="str">
        <f t="shared" si="7"/>
        <v>603-Texas LED</v>
      </c>
      <c r="B370" s="1">
        <v>603</v>
      </c>
      <c r="C370" s="1" t="s">
        <v>3139</v>
      </c>
      <c r="D370" s="1" t="s">
        <v>3140</v>
      </c>
      <c r="E370" s="1"/>
      <c r="F370" s="1"/>
      <c r="G370" s="1" t="s">
        <v>2202</v>
      </c>
      <c r="H370" s="1" t="s">
        <v>1878</v>
      </c>
      <c r="I370" s="1" t="s">
        <v>1879</v>
      </c>
      <c r="J370" s="1" t="s">
        <v>1880</v>
      </c>
      <c r="K370" t="s">
        <v>1881</v>
      </c>
      <c r="L370" t="s">
        <v>62</v>
      </c>
      <c r="M370" t="s">
        <v>14</v>
      </c>
      <c r="N370">
        <v>77573</v>
      </c>
      <c r="O370" t="s">
        <v>1882</v>
      </c>
      <c r="Q370" t="s">
        <v>1883</v>
      </c>
    </row>
    <row r="371" spans="1:17" x14ac:dyDescent="0.25">
      <c r="A371" s="1" t="str">
        <f t="shared" si="7"/>
        <v>525-Texas Solar Resources, Inc</v>
      </c>
      <c r="B371" s="1">
        <v>525</v>
      </c>
      <c r="C371" s="1" t="s">
        <v>3141</v>
      </c>
      <c r="D371" s="1" t="s">
        <v>3142</v>
      </c>
      <c r="E371" s="1"/>
      <c r="F371" s="1"/>
      <c r="G371" s="1" t="s">
        <v>3093</v>
      </c>
      <c r="H371" s="1" t="s">
        <v>1884</v>
      </c>
      <c r="I371" s="1" t="s">
        <v>157</v>
      </c>
      <c r="J371" s="1" t="s">
        <v>1885</v>
      </c>
      <c r="L371" t="s">
        <v>1153</v>
      </c>
      <c r="M371" t="s">
        <v>14</v>
      </c>
      <c r="N371">
        <v>77546</v>
      </c>
      <c r="O371" t="s">
        <v>1886</v>
      </c>
      <c r="Q371" t="s">
        <v>1887</v>
      </c>
    </row>
    <row r="372" spans="1:17" x14ac:dyDescent="0.25">
      <c r="A372" s="1" t="str">
        <f t="shared" si="7"/>
        <v>545-The Brandt Companies, LLC</v>
      </c>
      <c r="B372" s="1">
        <v>545</v>
      </c>
      <c r="C372" s="1" t="s">
        <v>3143</v>
      </c>
      <c r="D372" s="1" t="s">
        <v>3144</v>
      </c>
      <c r="E372" s="1"/>
      <c r="F372" s="1" t="s">
        <v>3143</v>
      </c>
      <c r="G372" s="1" t="s">
        <v>2280</v>
      </c>
      <c r="H372" s="1" t="s">
        <v>1888</v>
      </c>
      <c r="I372" s="1" t="s">
        <v>708</v>
      </c>
      <c r="J372" s="1" t="s">
        <v>1889</v>
      </c>
      <c r="L372" t="s">
        <v>86</v>
      </c>
      <c r="M372" t="s">
        <v>14</v>
      </c>
      <c r="N372">
        <v>75006</v>
      </c>
      <c r="O372" t="s">
        <v>1890</v>
      </c>
      <c r="Q372" t="s">
        <v>1891</v>
      </c>
    </row>
    <row r="373" spans="1:17" x14ac:dyDescent="0.25">
      <c r="A373" s="1" t="str">
        <f t="shared" si="7"/>
        <v>546-The Brandt Companies, LLC</v>
      </c>
      <c r="B373" s="1">
        <v>546</v>
      </c>
      <c r="C373" s="1" t="s">
        <v>3145</v>
      </c>
      <c r="D373" s="1" t="s">
        <v>3144</v>
      </c>
      <c r="E373" s="1" t="s">
        <v>3146</v>
      </c>
      <c r="F373" s="1" t="s">
        <v>3145</v>
      </c>
      <c r="G373" s="1" t="s">
        <v>2280</v>
      </c>
      <c r="H373" s="1" t="s">
        <v>1888</v>
      </c>
      <c r="I373" s="1" t="s">
        <v>708</v>
      </c>
      <c r="J373" s="1" t="s">
        <v>1889</v>
      </c>
      <c r="L373" t="s">
        <v>86</v>
      </c>
      <c r="M373" t="s">
        <v>14</v>
      </c>
      <c r="N373">
        <v>75006</v>
      </c>
      <c r="O373" t="s">
        <v>1890</v>
      </c>
      <c r="Q373" t="s">
        <v>1891</v>
      </c>
    </row>
    <row r="374" spans="1:17" x14ac:dyDescent="0.25">
      <c r="A374" s="1" t="str">
        <f t="shared" si="7"/>
        <v>478-The Energy Solution Group Worldwide</v>
      </c>
      <c r="B374" s="1">
        <v>478</v>
      </c>
      <c r="C374" s="1" t="s">
        <v>3147</v>
      </c>
      <c r="D374" s="1" t="s">
        <v>3148</v>
      </c>
      <c r="E374" s="1"/>
      <c r="F374" s="1"/>
      <c r="G374" s="1" t="s">
        <v>3149</v>
      </c>
      <c r="H374" s="1" t="s">
        <v>1892</v>
      </c>
      <c r="I374" s="1" t="s">
        <v>182</v>
      </c>
      <c r="J374" s="1" t="s">
        <v>1893</v>
      </c>
      <c r="L374" t="s">
        <v>1894</v>
      </c>
      <c r="M374" t="s">
        <v>652</v>
      </c>
      <c r="N374">
        <v>43212</v>
      </c>
      <c r="O374" t="s">
        <v>1895</v>
      </c>
      <c r="Q374" t="s">
        <v>1896</v>
      </c>
    </row>
    <row r="375" spans="1:17" x14ac:dyDescent="0.25">
      <c r="A375" s="1" t="str">
        <f t="shared" si="7"/>
        <v>420-The Gaia Group, Inc</v>
      </c>
      <c r="B375" s="1">
        <v>420</v>
      </c>
      <c r="C375" s="1" t="s">
        <v>3150</v>
      </c>
      <c r="D375" s="1" t="s">
        <v>3151</v>
      </c>
      <c r="E375" s="1"/>
      <c r="F375" s="1"/>
      <c r="G375" s="1" t="s">
        <v>3152</v>
      </c>
      <c r="H375" s="1" t="s">
        <v>1897</v>
      </c>
      <c r="I375" s="1" t="s">
        <v>233</v>
      </c>
      <c r="J375" s="1" t="s">
        <v>1898</v>
      </c>
      <c r="L375" t="s">
        <v>13</v>
      </c>
      <c r="M375" t="s">
        <v>14</v>
      </c>
      <c r="N375">
        <v>77002</v>
      </c>
      <c r="O375" t="s">
        <v>1899</v>
      </c>
      <c r="P375" t="s">
        <v>1900</v>
      </c>
      <c r="Q375" t="s">
        <v>1901</v>
      </c>
    </row>
    <row r="376" spans="1:17" x14ac:dyDescent="0.25">
      <c r="A376" s="1" t="str">
        <f t="shared" si="7"/>
        <v>230-The Great Indoors</v>
      </c>
      <c r="B376" s="1">
        <v>230</v>
      </c>
      <c r="C376" s="1" t="s">
        <v>3153</v>
      </c>
      <c r="D376" s="1" t="s">
        <v>3154</v>
      </c>
      <c r="E376" s="1"/>
      <c r="F376" s="1"/>
      <c r="G376" s="1" t="s">
        <v>3155</v>
      </c>
      <c r="H376" s="1" t="s">
        <v>1902</v>
      </c>
      <c r="I376" s="1" t="s">
        <v>1903</v>
      </c>
      <c r="J376" s="1" t="s">
        <v>1904</v>
      </c>
      <c r="K376" t="s">
        <v>1905</v>
      </c>
      <c r="L376" t="s">
        <v>1906</v>
      </c>
      <c r="M376" t="s">
        <v>236</v>
      </c>
      <c r="N376">
        <v>60179</v>
      </c>
      <c r="O376" t="s">
        <v>1907</v>
      </c>
      <c r="P376" t="s">
        <v>1908</v>
      </c>
      <c r="Q376" t="s">
        <v>1909</v>
      </c>
    </row>
    <row r="377" spans="1:17" x14ac:dyDescent="0.25">
      <c r="A377" s="1" t="str">
        <f t="shared" si="7"/>
        <v>549-The Home Masters</v>
      </c>
      <c r="B377" s="1">
        <v>549</v>
      </c>
      <c r="C377" s="1" t="s">
        <v>3156</v>
      </c>
      <c r="D377" s="1" t="s">
        <v>3157</v>
      </c>
      <c r="E377" s="1"/>
      <c r="F377" s="1"/>
      <c r="G377" s="1" t="s">
        <v>2550</v>
      </c>
      <c r="H377" s="1" t="s">
        <v>181</v>
      </c>
      <c r="I377" s="1" t="s">
        <v>290</v>
      </c>
      <c r="J377" s="1" t="s">
        <v>1910</v>
      </c>
      <c r="L377" t="s">
        <v>398</v>
      </c>
      <c r="M377" t="s">
        <v>14</v>
      </c>
      <c r="N377">
        <v>77389</v>
      </c>
      <c r="O377" t="s">
        <v>1911</v>
      </c>
      <c r="Q377" t="s">
        <v>1912</v>
      </c>
    </row>
    <row r="378" spans="1:17" x14ac:dyDescent="0.25">
      <c r="A378" s="1" t="str">
        <f t="shared" si="7"/>
        <v>285-The Kroger Company</v>
      </c>
      <c r="B378" s="1">
        <v>285</v>
      </c>
      <c r="C378" s="1" t="s">
        <v>3158</v>
      </c>
      <c r="D378" s="1" t="s">
        <v>3159</v>
      </c>
      <c r="E378" s="1"/>
      <c r="F378" s="1"/>
      <c r="G378" s="1" t="s">
        <v>3160</v>
      </c>
      <c r="H378" s="1" t="s">
        <v>1913</v>
      </c>
      <c r="I378" s="1" t="s">
        <v>1914</v>
      </c>
      <c r="J378" s="1" t="s">
        <v>1915</v>
      </c>
      <c r="L378" t="s">
        <v>651</v>
      </c>
      <c r="M378" t="s">
        <v>652</v>
      </c>
      <c r="N378">
        <v>45202</v>
      </c>
      <c r="O378" t="s">
        <v>1916</v>
      </c>
      <c r="Q378" t="s">
        <v>1917</v>
      </c>
    </row>
    <row r="379" spans="1:17" x14ac:dyDescent="0.25">
      <c r="A379" s="1" t="str">
        <f t="shared" si="7"/>
        <v>449-The Lee Thompson Co</v>
      </c>
      <c r="B379" s="1">
        <v>449</v>
      </c>
      <c r="C379" s="1" t="s">
        <v>3161</v>
      </c>
      <c r="D379" s="1" t="s">
        <v>3162</v>
      </c>
      <c r="E379" s="1"/>
      <c r="F379" s="1"/>
      <c r="G379" s="1" t="s">
        <v>2594</v>
      </c>
      <c r="H379" s="1" t="s">
        <v>266</v>
      </c>
      <c r="I379" s="1" t="s">
        <v>290</v>
      </c>
      <c r="J379" s="1" t="s">
        <v>1918</v>
      </c>
      <c r="L379" t="s">
        <v>13</v>
      </c>
      <c r="M379" t="s">
        <v>14</v>
      </c>
      <c r="N379">
        <v>77007</v>
      </c>
      <c r="O379" t="s">
        <v>1919</v>
      </c>
      <c r="P379" t="s">
        <v>1920</v>
      </c>
      <c r="Q379" t="s">
        <v>1921</v>
      </c>
    </row>
    <row r="380" spans="1:17" x14ac:dyDescent="0.25">
      <c r="A380" s="1" t="str">
        <f t="shared" si="7"/>
        <v>487-The Orvis Company, Inc.</v>
      </c>
      <c r="B380" s="1">
        <v>487</v>
      </c>
      <c r="C380" s="1" t="s">
        <v>3163</v>
      </c>
      <c r="D380" s="1" t="s">
        <v>3164</v>
      </c>
      <c r="E380" s="1"/>
      <c r="F380" s="1"/>
      <c r="G380" s="1" t="s">
        <v>2662</v>
      </c>
      <c r="H380" s="1" t="s">
        <v>1922</v>
      </c>
      <c r="I380" s="1" t="s">
        <v>1923</v>
      </c>
      <c r="J380" s="1" t="s">
        <v>1924</v>
      </c>
      <c r="L380" t="s">
        <v>1925</v>
      </c>
      <c r="M380" t="s">
        <v>449</v>
      </c>
      <c r="N380">
        <v>24012</v>
      </c>
      <c r="O380" t="s">
        <v>1926</v>
      </c>
      <c r="Q380" t="s">
        <v>1927</v>
      </c>
    </row>
    <row r="381" spans="1:17" x14ac:dyDescent="0.25">
      <c r="A381" s="1" t="str">
        <f t="shared" si="7"/>
        <v>515-The Tagos Group, LLC</v>
      </c>
      <c r="B381" s="1">
        <v>515</v>
      </c>
      <c r="C381" s="1" t="s">
        <v>3165</v>
      </c>
      <c r="D381" s="1" t="s">
        <v>3166</v>
      </c>
      <c r="E381" s="1"/>
      <c r="F381" s="1"/>
      <c r="G381" s="1" t="s">
        <v>3167</v>
      </c>
      <c r="H381" s="1" t="s">
        <v>1928</v>
      </c>
      <c r="I381" s="1" t="s">
        <v>1929</v>
      </c>
      <c r="J381" s="1" t="s">
        <v>1930</v>
      </c>
      <c r="L381" t="s">
        <v>13</v>
      </c>
      <c r="M381" t="s">
        <v>14</v>
      </c>
      <c r="N381">
        <v>77046</v>
      </c>
      <c r="O381" t="s">
        <v>1931</v>
      </c>
      <c r="P381" t="s">
        <v>1932</v>
      </c>
      <c r="Q381" t="s">
        <v>1933</v>
      </c>
    </row>
    <row r="382" spans="1:17" x14ac:dyDescent="0.25">
      <c r="A382" s="1" t="str">
        <f t="shared" si="7"/>
        <v>540-The Zentergy Corporation</v>
      </c>
      <c r="B382" s="1">
        <v>540</v>
      </c>
      <c r="C382" s="1" t="s">
        <v>3168</v>
      </c>
      <c r="D382" s="1" t="s">
        <v>3169</v>
      </c>
      <c r="E382" s="1"/>
      <c r="F382" s="1"/>
      <c r="G382" s="1" t="s">
        <v>3170</v>
      </c>
      <c r="H382" s="1" t="s">
        <v>1934</v>
      </c>
      <c r="I382" s="1" t="s">
        <v>290</v>
      </c>
      <c r="J382" s="1" t="s">
        <v>1935</v>
      </c>
      <c r="L382" t="s">
        <v>1936</v>
      </c>
      <c r="M382" t="s">
        <v>300</v>
      </c>
      <c r="N382">
        <v>11731</v>
      </c>
      <c r="O382" t="s">
        <v>1937</v>
      </c>
      <c r="Q382" t="s">
        <v>1938</v>
      </c>
    </row>
    <row r="383" spans="1:17" x14ac:dyDescent="0.25">
      <c r="A383" s="1" t="str">
        <f t="shared" si="7"/>
        <v>579-The Zentergy Corporation</v>
      </c>
      <c r="B383" s="1">
        <v>579</v>
      </c>
      <c r="C383" s="1" t="s">
        <v>3171</v>
      </c>
      <c r="D383" s="1" t="s">
        <v>3169</v>
      </c>
      <c r="E383" s="1"/>
      <c r="F383" s="1"/>
      <c r="G383" s="1" t="s">
        <v>3170</v>
      </c>
      <c r="H383" s="1" t="s">
        <v>1939</v>
      </c>
      <c r="I383" s="1" t="s">
        <v>290</v>
      </c>
      <c r="J383" s="1" t="s">
        <v>1940</v>
      </c>
      <c r="L383" t="s">
        <v>1936</v>
      </c>
      <c r="M383" t="s">
        <v>300</v>
      </c>
      <c r="N383">
        <v>11731</v>
      </c>
      <c r="O383" t="s">
        <v>1937</v>
      </c>
      <c r="P383" t="s">
        <v>1941</v>
      </c>
      <c r="Q383" t="s">
        <v>1938</v>
      </c>
    </row>
    <row r="384" spans="1:17" x14ac:dyDescent="0.25">
      <c r="A384" s="1" t="str">
        <f t="shared" si="7"/>
        <v>413-Theater District Parking</v>
      </c>
      <c r="B384" s="1">
        <v>413</v>
      </c>
      <c r="C384" s="1" t="s">
        <v>3172</v>
      </c>
      <c r="D384" s="1" t="s">
        <v>3173</v>
      </c>
      <c r="E384" s="1" t="s">
        <v>2422</v>
      </c>
      <c r="F384" s="1" t="s">
        <v>3172</v>
      </c>
      <c r="G384" s="1" t="s">
        <v>3174</v>
      </c>
      <c r="H384" s="1" t="s">
        <v>1942</v>
      </c>
      <c r="I384" s="1" t="s">
        <v>1943</v>
      </c>
      <c r="J384" s="1" t="s">
        <v>1944</v>
      </c>
      <c r="L384" t="s">
        <v>13</v>
      </c>
      <c r="M384" t="s">
        <v>14</v>
      </c>
      <c r="N384">
        <v>77002</v>
      </c>
      <c r="O384" t="s">
        <v>1945</v>
      </c>
      <c r="P384" t="s">
        <v>1946</v>
      </c>
      <c r="Q384" t="s">
        <v>1947</v>
      </c>
    </row>
    <row r="385" spans="1:17" x14ac:dyDescent="0.25">
      <c r="A385" s="1" t="str">
        <f t="shared" si="7"/>
        <v>405-Thomas Engineering, Inc.</v>
      </c>
      <c r="B385" s="1">
        <v>405</v>
      </c>
      <c r="C385" s="1" t="s">
        <v>3175</v>
      </c>
      <c r="D385" s="1" t="s">
        <v>3176</v>
      </c>
      <c r="E385" s="1"/>
      <c r="F385" s="1"/>
      <c r="G385" s="1" t="s">
        <v>2750</v>
      </c>
      <c r="H385" s="1" t="s">
        <v>1702</v>
      </c>
      <c r="I385" s="1" t="s">
        <v>290</v>
      </c>
      <c r="J385" s="1" t="s">
        <v>1948</v>
      </c>
      <c r="L385" t="s">
        <v>1949</v>
      </c>
      <c r="M385" t="s">
        <v>14</v>
      </c>
      <c r="N385">
        <v>78412</v>
      </c>
      <c r="O385" t="s">
        <v>1950</v>
      </c>
      <c r="P385" t="s">
        <v>1951</v>
      </c>
      <c r="Q385" t="s">
        <v>1952</v>
      </c>
    </row>
    <row r="386" spans="1:17" x14ac:dyDescent="0.25">
      <c r="A386" s="1" t="str">
        <f t="shared" si="7"/>
        <v>219-Thomas, McDonald &amp; Dunne Engineers, LLC</v>
      </c>
      <c r="B386" s="1">
        <v>219</v>
      </c>
      <c r="C386" s="1" t="s">
        <v>3177</v>
      </c>
      <c r="D386" s="1" t="s">
        <v>3178</v>
      </c>
      <c r="E386" s="1"/>
      <c r="F386" s="1"/>
      <c r="G386" s="1" t="s">
        <v>2580</v>
      </c>
      <c r="H386" s="1" t="s">
        <v>1953</v>
      </c>
      <c r="I386" s="1" t="s">
        <v>868</v>
      </c>
      <c r="J386" s="1" t="s">
        <v>1954</v>
      </c>
      <c r="L386" t="s">
        <v>13</v>
      </c>
      <c r="M386" t="s">
        <v>14</v>
      </c>
      <c r="N386">
        <v>77079</v>
      </c>
      <c r="O386" t="s">
        <v>1955</v>
      </c>
      <c r="P386" t="s">
        <v>1956</v>
      </c>
      <c r="Q386" t="s">
        <v>1957</v>
      </c>
    </row>
    <row r="387" spans="1:17" x14ac:dyDescent="0.25">
      <c r="A387" s="1" t="str">
        <f t="shared" si="7"/>
        <v>618-Tomball Plaza, LLC.</v>
      </c>
      <c r="B387" s="1">
        <v>618</v>
      </c>
      <c r="C387" s="1" t="s">
        <v>3179</v>
      </c>
      <c r="D387" s="1" t="s">
        <v>3180</v>
      </c>
      <c r="E387" s="1" t="s">
        <v>3181</v>
      </c>
      <c r="F387" s="1" t="s">
        <v>3182</v>
      </c>
      <c r="G387" s="1" t="s">
        <v>3183</v>
      </c>
      <c r="H387" s="1" t="s">
        <v>1958</v>
      </c>
      <c r="I387" s="1" t="s">
        <v>1959</v>
      </c>
      <c r="J387" s="1" t="s">
        <v>1960</v>
      </c>
      <c r="L387" t="s">
        <v>1961</v>
      </c>
      <c r="M387" t="s">
        <v>75</v>
      </c>
      <c r="N387">
        <v>33071</v>
      </c>
      <c r="O387" t="s">
        <v>1962</v>
      </c>
      <c r="P387" t="s">
        <v>1963</v>
      </c>
      <c r="Q387" t="s">
        <v>1964</v>
      </c>
    </row>
    <row r="388" spans="1:17" x14ac:dyDescent="0.25">
      <c r="A388" s="1" t="str">
        <f t="shared" si="7"/>
        <v xml:space="preserve">326-Toys </v>
      </c>
      <c r="B388" s="1">
        <v>326</v>
      </c>
      <c r="C388" s="1" t="s">
        <v>3184</v>
      </c>
      <c r="D388" s="1" t="s">
        <v>3185</v>
      </c>
      <c r="E388" s="1"/>
      <c r="F388" s="1"/>
      <c r="G388" s="1" t="s">
        <v>2569</v>
      </c>
      <c r="H388" s="1" t="s">
        <v>1965</v>
      </c>
      <c r="I388" s="1" t="s">
        <v>1966</v>
      </c>
      <c r="J388" s="1" t="s">
        <v>1683</v>
      </c>
      <c r="L388" t="s">
        <v>749</v>
      </c>
      <c r="M388" t="s">
        <v>217</v>
      </c>
      <c r="N388">
        <v>2639</v>
      </c>
      <c r="O388" t="s">
        <v>750</v>
      </c>
      <c r="P388" t="s">
        <v>1967</v>
      </c>
      <c r="Q388" t="s">
        <v>1968</v>
      </c>
    </row>
    <row r="389" spans="1:17" x14ac:dyDescent="0.25">
      <c r="A389" s="1" t="str">
        <f t="shared" si="7"/>
        <v>336-TPG 2500 CityWest, L.P.</v>
      </c>
      <c r="B389" s="1">
        <v>336</v>
      </c>
      <c r="C389" s="1" t="s">
        <v>3186</v>
      </c>
      <c r="D389" s="1" t="s">
        <v>3187</v>
      </c>
      <c r="E389" s="1"/>
      <c r="F389" s="1"/>
      <c r="G389" s="1" t="s">
        <v>3188</v>
      </c>
      <c r="H389" s="1" t="s">
        <v>1969</v>
      </c>
      <c r="I389" s="1" t="s">
        <v>72</v>
      </c>
      <c r="J389" s="1" t="s">
        <v>1970</v>
      </c>
      <c r="L389" t="s">
        <v>13</v>
      </c>
      <c r="M389" t="s">
        <v>14</v>
      </c>
      <c r="N389">
        <v>77057</v>
      </c>
      <c r="O389" t="s">
        <v>1971</v>
      </c>
      <c r="P389" t="s">
        <v>1972</v>
      </c>
      <c r="Q389" t="s">
        <v>1973</v>
      </c>
    </row>
    <row r="390" spans="1:17" x14ac:dyDescent="0.25">
      <c r="A390" s="1" t="str">
        <f t="shared" si="7"/>
        <v>300-TPG San Felipe Plaza, L.P.</v>
      </c>
      <c r="B390" s="1">
        <v>300</v>
      </c>
      <c r="C390" s="1" t="s">
        <v>3189</v>
      </c>
      <c r="D390" s="1" t="s">
        <v>3190</v>
      </c>
      <c r="E390" s="1"/>
      <c r="F390" s="1"/>
      <c r="G390" s="1" t="s">
        <v>2189</v>
      </c>
      <c r="H390" s="1" t="s">
        <v>1969</v>
      </c>
      <c r="I390" s="1" t="s">
        <v>72</v>
      </c>
      <c r="J390" s="1" t="s">
        <v>1974</v>
      </c>
      <c r="K390" t="s">
        <v>1869</v>
      </c>
      <c r="L390" t="s">
        <v>13</v>
      </c>
      <c r="M390" t="s">
        <v>14</v>
      </c>
      <c r="N390">
        <v>77057</v>
      </c>
      <c r="O390" t="s">
        <v>1975</v>
      </c>
      <c r="P390" t="s">
        <v>1976</v>
      </c>
      <c r="Q390" t="s">
        <v>1973</v>
      </c>
    </row>
    <row r="391" spans="1:17" x14ac:dyDescent="0.25">
      <c r="A391" s="1" t="str">
        <f t="shared" si="7"/>
        <v>314-Trane</v>
      </c>
      <c r="B391" s="1">
        <v>314</v>
      </c>
      <c r="C391" s="1" t="s">
        <v>3191</v>
      </c>
      <c r="D391" s="1" t="s">
        <v>3192</v>
      </c>
      <c r="E391" s="1"/>
      <c r="F391" s="1"/>
      <c r="G391" s="1" t="s">
        <v>2550</v>
      </c>
      <c r="H391" s="1" t="s">
        <v>1977</v>
      </c>
      <c r="I391" s="1" t="s">
        <v>321</v>
      </c>
      <c r="J391" s="1" t="s">
        <v>1978</v>
      </c>
      <c r="L391" t="s">
        <v>86</v>
      </c>
      <c r="M391" t="s">
        <v>14</v>
      </c>
      <c r="N391">
        <v>75006</v>
      </c>
      <c r="O391" t="s">
        <v>1979</v>
      </c>
      <c r="P391" t="s">
        <v>1980</v>
      </c>
      <c r="Q391" t="s">
        <v>1981</v>
      </c>
    </row>
    <row r="392" spans="1:17" x14ac:dyDescent="0.25">
      <c r="A392" s="1" t="str">
        <f t="shared" si="7"/>
        <v>245-Trio Electric</v>
      </c>
      <c r="B392" s="1">
        <v>245</v>
      </c>
      <c r="C392" s="1" t="s">
        <v>3193</v>
      </c>
      <c r="D392" s="1" t="s">
        <v>3194</v>
      </c>
      <c r="E392" s="1" t="s">
        <v>3194</v>
      </c>
      <c r="F392" s="1"/>
      <c r="G392" s="1" t="s">
        <v>3195</v>
      </c>
      <c r="H392" s="1" t="s">
        <v>1982</v>
      </c>
      <c r="I392" s="1" t="s">
        <v>290</v>
      </c>
      <c r="J392" s="35" t="s">
        <v>7908</v>
      </c>
      <c r="L392" t="s">
        <v>13</v>
      </c>
      <c r="M392" t="s">
        <v>14</v>
      </c>
      <c r="N392">
        <v>77055</v>
      </c>
      <c r="O392" t="s">
        <v>7909</v>
      </c>
      <c r="Q392" t="s">
        <v>1983</v>
      </c>
    </row>
    <row r="393" spans="1:17" x14ac:dyDescent="0.25">
      <c r="A393" s="1" t="str">
        <f t="shared" si="7"/>
        <v>539-Triton Energy Solutions, LLC</v>
      </c>
      <c r="B393" s="1">
        <v>539</v>
      </c>
      <c r="C393" s="1" t="s">
        <v>3196</v>
      </c>
      <c r="D393" s="1" t="s">
        <v>3197</v>
      </c>
      <c r="E393" s="1"/>
      <c r="F393" s="1"/>
      <c r="G393" s="1" t="s">
        <v>3198</v>
      </c>
      <c r="H393" s="1" t="s">
        <v>1984</v>
      </c>
      <c r="I393" s="1" t="s">
        <v>1985</v>
      </c>
      <c r="J393" s="1" t="s">
        <v>1986</v>
      </c>
      <c r="L393" t="s">
        <v>92</v>
      </c>
      <c r="M393" t="s">
        <v>14</v>
      </c>
      <c r="N393">
        <v>78228</v>
      </c>
      <c r="O393" t="s">
        <v>1987</v>
      </c>
      <c r="Q393" t="s">
        <v>1988</v>
      </c>
    </row>
    <row r="394" spans="1:17" x14ac:dyDescent="0.25">
      <c r="A394" s="1" t="str">
        <f t="shared" si="7"/>
        <v>394-TruVoltz, Inc.</v>
      </c>
      <c r="B394" s="1">
        <v>394</v>
      </c>
      <c r="C394" s="1" t="s">
        <v>3199</v>
      </c>
      <c r="D394" s="1" t="s">
        <v>3200</v>
      </c>
      <c r="E394" s="1"/>
      <c r="F394" s="1"/>
      <c r="G394" s="1" t="s">
        <v>3127</v>
      </c>
      <c r="H394" s="1" t="s">
        <v>1989</v>
      </c>
      <c r="I394" s="1" t="s">
        <v>1990</v>
      </c>
      <c r="J394" s="1" t="s">
        <v>1991</v>
      </c>
      <c r="K394" t="s">
        <v>1992</v>
      </c>
      <c r="L394" t="s">
        <v>398</v>
      </c>
      <c r="M394" t="s">
        <v>14</v>
      </c>
      <c r="N394">
        <v>77379</v>
      </c>
      <c r="O394" t="s">
        <v>1993</v>
      </c>
      <c r="P394" t="s">
        <v>1994</v>
      </c>
      <c r="Q394" t="s">
        <v>1995</v>
      </c>
    </row>
    <row r="395" spans="1:17" x14ac:dyDescent="0.25">
      <c r="A395" s="1" t="str">
        <f t="shared" si="7"/>
        <v>273-Turbine Air Systems, Ltd</v>
      </c>
      <c r="B395" s="1">
        <v>273</v>
      </c>
      <c r="C395" s="1" t="s">
        <v>3201</v>
      </c>
      <c r="D395" s="1" t="s">
        <v>3202</v>
      </c>
      <c r="E395" s="1"/>
      <c r="F395" s="1"/>
      <c r="G395" s="1" t="s">
        <v>2256</v>
      </c>
      <c r="H395" s="1" t="s">
        <v>1996</v>
      </c>
      <c r="I395" s="1" t="s">
        <v>878</v>
      </c>
      <c r="J395" s="1" t="s">
        <v>1997</v>
      </c>
      <c r="L395" t="s">
        <v>13</v>
      </c>
      <c r="M395" t="s">
        <v>14</v>
      </c>
      <c r="N395">
        <v>77021</v>
      </c>
      <c r="O395" t="s">
        <v>1998</v>
      </c>
      <c r="Q395" t="s">
        <v>1999</v>
      </c>
    </row>
    <row r="396" spans="1:17" x14ac:dyDescent="0.25">
      <c r="A396" s="1" t="str">
        <f t="shared" si="7"/>
        <v>407-TURTLE &amp; HUGHES, INC</v>
      </c>
      <c r="B396" s="1">
        <v>407</v>
      </c>
      <c r="C396" s="1" t="s">
        <v>3203</v>
      </c>
      <c r="D396" s="1" t="s">
        <v>3204</v>
      </c>
      <c r="E396" s="1"/>
      <c r="F396" s="1" t="s">
        <v>3203</v>
      </c>
      <c r="G396" s="1" t="s">
        <v>3205</v>
      </c>
      <c r="H396" s="1" t="s">
        <v>2000</v>
      </c>
      <c r="I396" s="1" t="s">
        <v>2001</v>
      </c>
      <c r="J396" s="1" t="s">
        <v>2002</v>
      </c>
      <c r="L396" t="s">
        <v>2003</v>
      </c>
      <c r="M396" t="s">
        <v>428</v>
      </c>
      <c r="N396">
        <v>7062</v>
      </c>
      <c r="O396" t="s">
        <v>2004</v>
      </c>
      <c r="P396" t="s">
        <v>2005</v>
      </c>
      <c r="Q396" t="s">
        <v>2006</v>
      </c>
    </row>
    <row r="397" spans="1:17" x14ac:dyDescent="0.25">
      <c r="A397" s="1" t="str">
        <f t="shared" ref="A397:A428" si="8">IF(B397="","",B397&amp;"-"&amp;D397)</f>
        <v>602-TXU Energy Retail Company LLC</v>
      </c>
      <c r="B397" s="1">
        <v>602</v>
      </c>
      <c r="C397" s="1" t="s">
        <v>3206</v>
      </c>
      <c r="D397" s="1" t="s">
        <v>3207</v>
      </c>
      <c r="E397" s="1"/>
      <c r="F397" s="1"/>
      <c r="G397" s="1" t="s">
        <v>2594</v>
      </c>
      <c r="H397" s="1" t="s">
        <v>316</v>
      </c>
      <c r="I397" s="1" t="s">
        <v>708</v>
      </c>
      <c r="J397" s="1" t="s">
        <v>2007</v>
      </c>
      <c r="L397" t="s">
        <v>68</v>
      </c>
      <c r="M397" t="s">
        <v>14</v>
      </c>
      <c r="N397">
        <v>76033</v>
      </c>
      <c r="O397">
        <v>4692617323</v>
      </c>
      <c r="Q397" t="s">
        <v>2008</v>
      </c>
    </row>
    <row r="398" spans="1:17" x14ac:dyDescent="0.25">
      <c r="A398" s="1" t="str">
        <f t="shared" si="8"/>
        <v>490-U-Haul Co. of Texas, Inc.</v>
      </c>
      <c r="B398" s="1">
        <v>490</v>
      </c>
      <c r="C398" s="1" t="s">
        <v>3208</v>
      </c>
      <c r="D398" s="1" t="s">
        <v>3209</v>
      </c>
      <c r="E398" s="1" t="s">
        <v>3210</v>
      </c>
      <c r="F398" s="1"/>
      <c r="G398" s="1" t="s">
        <v>3211</v>
      </c>
      <c r="H398" s="1" t="s">
        <v>2009</v>
      </c>
      <c r="I398" s="1" t="s">
        <v>2010</v>
      </c>
      <c r="J398" s="1" t="s">
        <v>2011</v>
      </c>
      <c r="L398" t="s">
        <v>13</v>
      </c>
      <c r="M398" t="s">
        <v>14</v>
      </c>
      <c r="N398">
        <v>77077</v>
      </c>
      <c r="O398" t="s">
        <v>2012</v>
      </c>
      <c r="P398" t="s">
        <v>2013</v>
      </c>
      <c r="Q398" t="s">
        <v>2014</v>
      </c>
    </row>
    <row r="399" spans="1:17" x14ac:dyDescent="0.25">
      <c r="A399" s="1" t="str">
        <f t="shared" si="8"/>
        <v>601-Unify Energy Solutions</v>
      </c>
      <c r="B399" s="1">
        <v>601</v>
      </c>
      <c r="C399" s="1" t="s">
        <v>3212</v>
      </c>
      <c r="D399" s="1" t="s">
        <v>3213</v>
      </c>
      <c r="E399" s="1"/>
      <c r="F399" s="1"/>
      <c r="G399" s="1" t="s">
        <v>3214</v>
      </c>
      <c r="H399" s="1" t="s">
        <v>2015</v>
      </c>
      <c r="I399" s="1" t="s">
        <v>2016</v>
      </c>
      <c r="J399" s="1" t="s">
        <v>2017</v>
      </c>
      <c r="L399" t="s">
        <v>13</v>
      </c>
      <c r="M399" t="s">
        <v>14</v>
      </c>
      <c r="N399">
        <v>77060</v>
      </c>
      <c r="O399" t="s">
        <v>2018</v>
      </c>
      <c r="Q399" t="s">
        <v>2019</v>
      </c>
    </row>
    <row r="400" spans="1:17" x14ac:dyDescent="0.25">
      <c r="A400" s="1" t="str">
        <f t="shared" si="8"/>
        <v>471-Univar USA</v>
      </c>
      <c r="B400" s="1">
        <v>471</v>
      </c>
      <c r="C400" s="1" t="s">
        <v>3215</v>
      </c>
      <c r="D400" s="1" t="s">
        <v>3216</v>
      </c>
      <c r="E400" s="1"/>
      <c r="F400" s="1"/>
      <c r="G400" s="1" t="s">
        <v>2300</v>
      </c>
      <c r="H400" s="1" t="s">
        <v>2020</v>
      </c>
      <c r="I400" s="1" t="s">
        <v>170</v>
      </c>
      <c r="J400" s="1" t="s">
        <v>2021</v>
      </c>
      <c r="L400" t="s">
        <v>13</v>
      </c>
      <c r="M400" t="s">
        <v>14</v>
      </c>
      <c r="N400">
        <v>77061</v>
      </c>
      <c r="O400" t="s">
        <v>2022</v>
      </c>
      <c r="Q400" t="s">
        <v>2023</v>
      </c>
    </row>
    <row r="401" spans="1:17" x14ac:dyDescent="0.25">
      <c r="A401" s="1" t="str">
        <f t="shared" si="8"/>
        <v>474-Univar USA</v>
      </c>
      <c r="B401" s="1">
        <v>474</v>
      </c>
      <c r="C401" s="1" t="s">
        <v>3217</v>
      </c>
      <c r="D401" s="1" t="s">
        <v>3216</v>
      </c>
      <c r="E401" s="1"/>
      <c r="F401" s="1"/>
      <c r="G401" s="1" t="s">
        <v>2300</v>
      </c>
      <c r="H401" s="1" t="s">
        <v>2020</v>
      </c>
      <c r="I401" s="1" t="s">
        <v>170</v>
      </c>
      <c r="J401" s="1" t="s">
        <v>2021</v>
      </c>
      <c r="L401" t="s">
        <v>13</v>
      </c>
      <c r="M401" t="s">
        <v>14</v>
      </c>
      <c r="N401">
        <v>77061</v>
      </c>
      <c r="O401" t="s">
        <v>2022</v>
      </c>
      <c r="Q401" t="s">
        <v>2023</v>
      </c>
    </row>
    <row r="402" spans="1:17" x14ac:dyDescent="0.25">
      <c r="A402" s="1" t="str">
        <f t="shared" si="8"/>
        <v>323-University of Houston System</v>
      </c>
      <c r="B402" s="1">
        <v>323</v>
      </c>
      <c r="C402" s="1" t="s">
        <v>3218</v>
      </c>
      <c r="D402" s="1" t="s">
        <v>3219</v>
      </c>
      <c r="E402" s="1" t="s">
        <v>3219</v>
      </c>
      <c r="F402" s="1" t="s">
        <v>3218</v>
      </c>
      <c r="G402" s="1" t="s">
        <v>3220</v>
      </c>
      <c r="H402" s="1" t="s">
        <v>104</v>
      </c>
      <c r="I402" s="1" t="s">
        <v>2024</v>
      </c>
      <c r="J402" s="1" t="s">
        <v>2025</v>
      </c>
      <c r="L402" t="s">
        <v>13</v>
      </c>
      <c r="M402" t="s">
        <v>14</v>
      </c>
      <c r="N402">
        <v>77204</v>
      </c>
      <c r="O402" t="s">
        <v>2026</v>
      </c>
      <c r="Q402" t="s">
        <v>2027</v>
      </c>
    </row>
    <row r="403" spans="1:17" x14ac:dyDescent="0.25">
      <c r="A403" s="1" t="str">
        <f t="shared" si="8"/>
        <v>260-Unlimited Energy Solutions</v>
      </c>
      <c r="B403" s="1">
        <v>260</v>
      </c>
      <c r="C403" s="1" t="s">
        <v>3221</v>
      </c>
      <c r="D403" s="1" t="s">
        <v>3222</v>
      </c>
      <c r="E403" s="1"/>
      <c r="F403" s="1"/>
      <c r="G403" s="1" t="s">
        <v>2294</v>
      </c>
      <c r="H403" s="1" t="s">
        <v>2028</v>
      </c>
      <c r="I403" s="1" t="s">
        <v>49</v>
      </c>
      <c r="J403" s="1" t="s">
        <v>2029</v>
      </c>
      <c r="L403" t="s">
        <v>13</v>
      </c>
      <c r="M403" t="s">
        <v>14</v>
      </c>
      <c r="N403">
        <v>77063</v>
      </c>
      <c r="O403" t="s">
        <v>242</v>
      </c>
      <c r="P403" t="s">
        <v>2030</v>
      </c>
      <c r="Q403" t="s">
        <v>244</v>
      </c>
    </row>
    <row r="404" spans="1:17" x14ac:dyDescent="0.25">
      <c r="A404" s="1" t="str">
        <f t="shared" si="8"/>
        <v>344-UPS</v>
      </c>
      <c r="B404" s="1">
        <v>344</v>
      </c>
      <c r="C404" s="1" t="s">
        <v>3223</v>
      </c>
      <c r="D404" s="1" t="s">
        <v>3224</v>
      </c>
      <c r="E404" s="1"/>
      <c r="F404" s="1"/>
      <c r="G404" s="1" t="s">
        <v>3225</v>
      </c>
      <c r="H404" s="1" t="s">
        <v>1675</v>
      </c>
      <c r="I404" s="1" t="s">
        <v>1043</v>
      </c>
      <c r="J404" s="1" t="s">
        <v>1676</v>
      </c>
      <c r="L404" t="s">
        <v>1110</v>
      </c>
      <c r="M404" t="s">
        <v>129</v>
      </c>
      <c r="N404">
        <v>19103</v>
      </c>
      <c r="O404" t="s">
        <v>1111</v>
      </c>
      <c r="P404" t="s">
        <v>1112</v>
      </c>
      <c r="Q404" t="s">
        <v>1677</v>
      </c>
    </row>
    <row r="405" spans="1:17" x14ac:dyDescent="0.25">
      <c r="A405" s="1" t="str">
        <f t="shared" si="8"/>
        <v>242-UR Energy Inc</v>
      </c>
      <c r="B405" s="1">
        <v>242</v>
      </c>
      <c r="C405" s="1" t="s">
        <v>3226</v>
      </c>
      <c r="D405" s="1" t="s">
        <v>3227</v>
      </c>
      <c r="E405" s="1"/>
      <c r="F405" s="1"/>
      <c r="G405" s="1" t="s">
        <v>3228</v>
      </c>
      <c r="H405" s="1" t="s">
        <v>2031</v>
      </c>
      <c r="I405" s="1" t="s">
        <v>1649</v>
      </c>
      <c r="J405" s="1" t="s">
        <v>2032</v>
      </c>
      <c r="K405" t="s">
        <v>2033</v>
      </c>
      <c r="L405" t="s">
        <v>2034</v>
      </c>
      <c r="M405" t="s">
        <v>428</v>
      </c>
      <c r="N405">
        <v>7004</v>
      </c>
      <c r="O405" t="s">
        <v>2035</v>
      </c>
      <c r="Q405" t="s">
        <v>2036</v>
      </c>
    </row>
    <row r="406" spans="1:17" x14ac:dyDescent="0.25">
      <c r="A406" s="1" t="str">
        <f t="shared" si="8"/>
        <v>370-US ENERGY MANAGEMENT, INC.</v>
      </c>
      <c r="B406" s="1">
        <v>370</v>
      </c>
      <c r="C406" s="1" t="s">
        <v>3229</v>
      </c>
      <c r="D406" s="1" t="s">
        <v>3230</v>
      </c>
      <c r="E406" s="1"/>
      <c r="F406" s="1"/>
      <c r="G406" s="1" t="s">
        <v>3231</v>
      </c>
      <c r="H406" s="1" t="s">
        <v>2037</v>
      </c>
      <c r="I406" s="1" t="s">
        <v>2038</v>
      </c>
      <c r="J406" s="1" t="s">
        <v>2039</v>
      </c>
      <c r="L406" t="s">
        <v>2040</v>
      </c>
      <c r="M406" t="s">
        <v>14</v>
      </c>
      <c r="N406">
        <v>75074</v>
      </c>
      <c r="O406" t="s">
        <v>2041</v>
      </c>
      <c r="P406">
        <v>8888414809</v>
      </c>
      <c r="Q406" t="s">
        <v>2042</v>
      </c>
    </row>
    <row r="407" spans="1:17" x14ac:dyDescent="0.25">
      <c r="A407" s="1" t="str">
        <f t="shared" si="8"/>
        <v>567-US Energy Services Inc.</v>
      </c>
      <c r="B407" s="1">
        <v>567</v>
      </c>
      <c r="C407" s="1" t="s">
        <v>3232</v>
      </c>
      <c r="D407" s="1" t="s">
        <v>3233</v>
      </c>
      <c r="E407" s="1"/>
      <c r="F407" s="1"/>
      <c r="G407" s="1" t="s">
        <v>3234</v>
      </c>
      <c r="H407" s="1" t="s">
        <v>2043</v>
      </c>
      <c r="I407" s="1" t="s">
        <v>119</v>
      </c>
      <c r="J407" s="1" t="s">
        <v>2044</v>
      </c>
      <c r="L407" t="s">
        <v>107</v>
      </c>
      <c r="M407" t="s">
        <v>14</v>
      </c>
      <c r="N407">
        <v>78757</v>
      </c>
      <c r="O407" t="s">
        <v>2045</v>
      </c>
      <c r="P407" t="s">
        <v>2046</v>
      </c>
      <c r="Q407" t="s">
        <v>2047</v>
      </c>
    </row>
    <row r="408" spans="1:17" x14ac:dyDescent="0.25">
      <c r="A408" s="1" t="str">
        <f t="shared" si="8"/>
        <v>349-Utilities Dynamics, Inc.</v>
      </c>
      <c r="B408" s="1">
        <v>349</v>
      </c>
      <c r="C408" s="1" t="s">
        <v>3235</v>
      </c>
      <c r="D408" s="1" t="s">
        <v>3236</v>
      </c>
      <c r="E408" s="1"/>
      <c r="F408" s="1"/>
      <c r="G408" s="1" t="s">
        <v>3237</v>
      </c>
      <c r="H408" s="1" t="s">
        <v>2048</v>
      </c>
      <c r="I408" s="1" t="s">
        <v>42</v>
      </c>
      <c r="J408" s="1" t="s">
        <v>2049</v>
      </c>
      <c r="L408" t="s">
        <v>2050</v>
      </c>
      <c r="M408" t="s">
        <v>353</v>
      </c>
      <c r="N408">
        <v>42001</v>
      </c>
      <c r="O408" t="s">
        <v>2051</v>
      </c>
      <c r="P408" t="s">
        <v>2052</v>
      </c>
      <c r="Q408" t="s">
        <v>2053</v>
      </c>
    </row>
    <row r="409" spans="1:17" x14ac:dyDescent="0.25">
      <c r="A409" s="1" t="str">
        <f t="shared" si="8"/>
        <v>571-Valderrama Energy Services</v>
      </c>
      <c r="B409" s="1">
        <v>571</v>
      </c>
      <c r="C409" s="1" t="s">
        <v>3238</v>
      </c>
      <c r="D409" s="1" t="s">
        <v>3239</v>
      </c>
      <c r="E409" s="1"/>
      <c r="F409" s="1"/>
      <c r="G409" s="1" t="s">
        <v>3240</v>
      </c>
      <c r="H409" s="1" t="s">
        <v>1286</v>
      </c>
      <c r="I409" s="1" t="s">
        <v>290</v>
      </c>
      <c r="J409" s="1" t="s">
        <v>2054</v>
      </c>
      <c r="L409" t="s">
        <v>13</v>
      </c>
      <c r="M409" t="s">
        <v>14</v>
      </c>
      <c r="N409">
        <v>77062</v>
      </c>
      <c r="O409" t="s">
        <v>2055</v>
      </c>
      <c r="P409" t="s">
        <v>2056</v>
      </c>
      <c r="Q409" t="s">
        <v>2057</v>
      </c>
    </row>
    <row r="410" spans="1:17" x14ac:dyDescent="0.25">
      <c r="A410" s="1" t="str">
        <f t="shared" si="8"/>
        <v>489-Value Lighting Energy Solutions, LLC</v>
      </c>
      <c r="B410" s="1">
        <v>489</v>
      </c>
      <c r="C410" s="1" t="s">
        <v>3241</v>
      </c>
      <c r="D410" s="1" t="s">
        <v>3242</v>
      </c>
      <c r="E410" s="1"/>
      <c r="F410" s="1"/>
      <c r="G410" s="1" t="s">
        <v>3243</v>
      </c>
      <c r="H410" s="1" t="s">
        <v>2058</v>
      </c>
      <c r="I410" s="1" t="s">
        <v>2059</v>
      </c>
      <c r="J410" s="1" t="s">
        <v>2060</v>
      </c>
      <c r="L410" t="s">
        <v>2061</v>
      </c>
      <c r="M410" t="s">
        <v>14</v>
      </c>
      <c r="N410">
        <v>77551</v>
      </c>
      <c r="O410" t="s">
        <v>2062</v>
      </c>
      <c r="Q410" t="s">
        <v>2063</v>
      </c>
    </row>
    <row r="411" spans="1:17" x14ac:dyDescent="0.25">
      <c r="A411" s="1" t="str">
        <f t="shared" si="8"/>
        <v>352-Van Orden Engineering</v>
      </c>
      <c r="B411" s="1">
        <v>352</v>
      </c>
      <c r="C411" s="1" t="s">
        <v>3244</v>
      </c>
      <c r="D411" s="1" t="s">
        <v>3245</v>
      </c>
      <c r="E411" s="1"/>
      <c r="F411" s="1"/>
      <c r="G411" s="1" t="s">
        <v>2186</v>
      </c>
      <c r="H411" s="1" t="s">
        <v>175</v>
      </c>
      <c r="I411" s="1" t="s">
        <v>2064</v>
      </c>
      <c r="J411" s="1" t="s">
        <v>2065</v>
      </c>
      <c r="K411" t="s">
        <v>2066</v>
      </c>
      <c r="L411" t="s">
        <v>13</v>
      </c>
      <c r="M411" t="s">
        <v>14</v>
      </c>
      <c r="N411">
        <v>77057</v>
      </c>
      <c r="O411" t="s">
        <v>2067</v>
      </c>
      <c r="P411" t="s">
        <v>2068</v>
      </c>
    </row>
    <row r="412" spans="1:17" x14ac:dyDescent="0.25">
      <c r="A412" s="1" t="str">
        <f t="shared" si="8"/>
        <v>556-Verde Lighting Systems, Inc</v>
      </c>
      <c r="B412" s="1">
        <v>556</v>
      </c>
      <c r="C412" s="1" t="s">
        <v>3246</v>
      </c>
      <c r="D412" s="1" t="s">
        <v>3247</v>
      </c>
      <c r="E412" s="1"/>
      <c r="F412" s="1"/>
      <c r="G412" s="1" t="s">
        <v>3248</v>
      </c>
      <c r="H412" s="1" t="s">
        <v>2069</v>
      </c>
      <c r="I412" s="1" t="s">
        <v>2070</v>
      </c>
      <c r="J412" s="1" t="s">
        <v>2071</v>
      </c>
      <c r="L412" t="s">
        <v>13</v>
      </c>
      <c r="M412" t="s">
        <v>14</v>
      </c>
      <c r="N412">
        <v>77040</v>
      </c>
      <c r="O412" t="s">
        <v>2072</v>
      </c>
      <c r="Q412" t="s">
        <v>2073</v>
      </c>
    </row>
    <row r="413" spans="1:17" x14ac:dyDescent="0.25">
      <c r="A413" s="1" t="str">
        <f t="shared" si="8"/>
        <v>475-Villa Lighting Supply</v>
      </c>
      <c r="B413" s="1">
        <v>475</v>
      </c>
      <c r="C413" s="1" t="s">
        <v>3249</v>
      </c>
      <c r="D413" s="1" t="s">
        <v>3250</v>
      </c>
      <c r="E413" s="1"/>
      <c r="F413" s="1"/>
      <c r="G413" s="1" t="s">
        <v>3251</v>
      </c>
      <c r="H413" s="1" t="s">
        <v>2074</v>
      </c>
      <c r="I413" s="1" t="s">
        <v>2075</v>
      </c>
      <c r="J413" s="1" t="s">
        <v>2076</v>
      </c>
      <c r="L413" t="s">
        <v>2077</v>
      </c>
      <c r="M413" t="s">
        <v>602</v>
      </c>
      <c r="N413">
        <v>63103</v>
      </c>
      <c r="O413" t="s">
        <v>2078</v>
      </c>
      <c r="P413" t="s">
        <v>2079</v>
      </c>
      <c r="Q413" t="s">
        <v>2080</v>
      </c>
    </row>
    <row r="414" spans="1:17" x14ac:dyDescent="0.25">
      <c r="A414" s="1" t="str">
        <f t="shared" si="8"/>
        <v>481-Walgreen Co.</v>
      </c>
      <c r="B414" s="1">
        <v>481</v>
      </c>
      <c r="C414" s="1" t="s">
        <v>3252</v>
      </c>
      <c r="D414" s="1" t="s">
        <v>3253</v>
      </c>
      <c r="E414" s="1"/>
      <c r="F414" s="1"/>
      <c r="G414" s="1" t="s">
        <v>3254</v>
      </c>
      <c r="H414" s="1" t="s">
        <v>2081</v>
      </c>
      <c r="I414" s="1" t="s">
        <v>90</v>
      </c>
      <c r="J414" s="1" t="s">
        <v>2082</v>
      </c>
      <c r="K414" t="s">
        <v>2083</v>
      </c>
      <c r="L414" t="s">
        <v>2084</v>
      </c>
      <c r="M414" t="s">
        <v>236</v>
      </c>
      <c r="N414">
        <v>60015</v>
      </c>
      <c r="O414" t="s">
        <v>2085</v>
      </c>
      <c r="Q414" t="s">
        <v>2086</v>
      </c>
    </row>
    <row r="415" spans="1:17" x14ac:dyDescent="0.25">
      <c r="A415" s="1" t="str">
        <f t="shared" si="8"/>
        <v>439-Walker Energy Solution</v>
      </c>
      <c r="B415" s="1">
        <v>439</v>
      </c>
      <c r="C415" s="1" t="s">
        <v>3255</v>
      </c>
      <c r="D415" s="1" t="s">
        <v>3256</v>
      </c>
      <c r="E415" s="1" t="s">
        <v>3257</v>
      </c>
      <c r="F415" s="1" t="s">
        <v>3255</v>
      </c>
      <c r="G415" s="1" t="s">
        <v>3258</v>
      </c>
      <c r="H415" s="1" t="s">
        <v>1006</v>
      </c>
      <c r="I415" s="1" t="s">
        <v>290</v>
      </c>
      <c r="J415" s="1" t="s">
        <v>2087</v>
      </c>
      <c r="L415" t="s">
        <v>13</v>
      </c>
      <c r="M415" t="s">
        <v>14</v>
      </c>
      <c r="N415">
        <v>77060</v>
      </c>
      <c r="O415" t="s">
        <v>2088</v>
      </c>
      <c r="P415">
        <v>2814367313</v>
      </c>
      <c r="Q415" t="s">
        <v>2089</v>
      </c>
    </row>
    <row r="416" spans="1:17" x14ac:dyDescent="0.25">
      <c r="A416" s="1" t="str">
        <f t="shared" si="8"/>
        <v>265-Walmart Stores Texas, LLC</v>
      </c>
      <c r="B416" s="1">
        <v>265</v>
      </c>
      <c r="C416" s="1" t="s">
        <v>3259</v>
      </c>
      <c r="D416" s="1" t="s">
        <v>3260</v>
      </c>
      <c r="E416" s="1" t="s">
        <v>3261</v>
      </c>
      <c r="F416" s="1"/>
      <c r="G416" s="1" t="s">
        <v>3262</v>
      </c>
      <c r="H416" s="1" t="s">
        <v>2090</v>
      </c>
      <c r="I416" s="1" t="s">
        <v>2091</v>
      </c>
      <c r="J416" s="1" t="s">
        <v>2092</v>
      </c>
      <c r="L416" t="s">
        <v>2093</v>
      </c>
      <c r="M416" t="s">
        <v>1124</v>
      </c>
      <c r="N416" t="s">
        <v>2094</v>
      </c>
      <c r="O416" t="s">
        <v>2095</v>
      </c>
      <c r="P416" t="s">
        <v>2096</v>
      </c>
      <c r="Q416" t="s">
        <v>2097</v>
      </c>
    </row>
    <row r="417" spans="1:17" x14ac:dyDescent="0.25">
      <c r="A417" s="1" t="str">
        <f t="shared" si="8"/>
        <v>286-Walmart Stores Texas, LLC</v>
      </c>
      <c r="B417" s="1">
        <v>286</v>
      </c>
      <c r="C417" s="1" t="s">
        <v>3263</v>
      </c>
      <c r="D417" s="1" t="s">
        <v>3260</v>
      </c>
      <c r="E417" s="1" t="s">
        <v>3261</v>
      </c>
      <c r="F417" s="1"/>
      <c r="G417" s="1" t="s">
        <v>3262</v>
      </c>
      <c r="H417" s="1" t="s">
        <v>2090</v>
      </c>
      <c r="I417" s="1" t="s">
        <v>2091</v>
      </c>
      <c r="J417" s="1" t="s">
        <v>2092</v>
      </c>
      <c r="L417" t="s">
        <v>2093</v>
      </c>
      <c r="M417" t="s">
        <v>1124</v>
      </c>
      <c r="N417" t="s">
        <v>2094</v>
      </c>
      <c r="O417" t="s">
        <v>2095</v>
      </c>
      <c r="P417" t="s">
        <v>2096</v>
      </c>
      <c r="Q417" t="s">
        <v>2097</v>
      </c>
    </row>
    <row r="418" spans="1:17" x14ac:dyDescent="0.25">
      <c r="A418" s="1" t="str">
        <f t="shared" si="8"/>
        <v>378-Way Engineering Service, Ltd.</v>
      </c>
      <c r="B418" s="1">
        <v>378</v>
      </c>
      <c r="C418" s="1" t="s">
        <v>3264</v>
      </c>
      <c r="D418" s="1" t="s">
        <v>3265</v>
      </c>
      <c r="E418" s="1" t="s">
        <v>3266</v>
      </c>
      <c r="F418" s="1"/>
      <c r="G418" s="1" t="s">
        <v>3267</v>
      </c>
      <c r="H418" s="1" t="s">
        <v>2098</v>
      </c>
      <c r="I418" s="1" t="s">
        <v>2016</v>
      </c>
      <c r="J418" s="1" t="s">
        <v>2099</v>
      </c>
      <c r="L418" t="s">
        <v>13</v>
      </c>
      <c r="M418" t="s">
        <v>14</v>
      </c>
      <c r="N418">
        <v>77081</v>
      </c>
      <c r="O418" t="s">
        <v>2100</v>
      </c>
      <c r="P418" t="s">
        <v>2101</v>
      </c>
      <c r="Q418" t="s">
        <v>2102</v>
      </c>
    </row>
    <row r="419" spans="1:17" x14ac:dyDescent="0.25">
      <c r="A419" s="1" t="str">
        <f t="shared" si="8"/>
        <v>443-Way Service Ltd.</v>
      </c>
      <c r="B419" s="1">
        <v>443</v>
      </c>
      <c r="C419" s="1" t="s">
        <v>3268</v>
      </c>
      <c r="D419" s="1" t="s">
        <v>3269</v>
      </c>
      <c r="E419" s="1" t="s">
        <v>3269</v>
      </c>
      <c r="F419" s="1" t="s">
        <v>3268</v>
      </c>
      <c r="G419" s="1" t="s">
        <v>3270</v>
      </c>
      <c r="H419" s="1" t="s">
        <v>2103</v>
      </c>
      <c r="I419" s="1" t="s">
        <v>2104</v>
      </c>
      <c r="J419" s="1" t="s">
        <v>2105</v>
      </c>
      <c r="L419" t="s">
        <v>13</v>
      </c>
      <c r="M419" t="s">
        <v>14</v>
      </c>
      <c r="N419">
        <v>77081</v>
      </c>
      <c r="O419" t="s">
        <v>2106</v>
      </c>
      <c r="P419" t="s">
        <v>2107</v>
      </c>
      <c r="Q419" t="s">
        <v>2108</v>
      </c>
    </row>
    <row r="420" spans="1:17" x14ac:dyDescent="0.25">
      <c r="A420" s="1" t="str">
        <f t="shared" si="8"/>
        <v>531-Wells Real Estate</v>
      </c>
      <c r="B420" s="1">
        <v>531</v>
      </c>
      <c r="C420" s="1" t="s">
        <v>3271</v>
      </c>
      <c r="D420" s="1" t="s">
        <v>3272</v>
      </c>
      <c r="E420" s="1"/>
      <c r="F420" s="1"/>
      <c r="G420" s="1" t="s">
        <v>3273</v>
      </c>
      <c r="H420" s="1" t="s">
        <v>2109</v>
      </c>
      <c r="I420" s="1" t="s">
        <v>36</v>
      </c>
      <c r="J420" s="1" t="s">
        <v>2110</v>
      </c>
      <c r="L420" t="s">
        <v>13</v>
      </c>
      <c r="M420" t="s">
        <v>14</v>
      </c>
      <c r="N420">
        <v>77010</v>
      </c>
      <c r="O420" t="s">
        <v>2111</v>
      </c>
      <c r="Q420" t="s">
        <v>2112</v>
      </c>
    </row>
    <row r="421" spans="1:17" x14ac:dyDescent="0.25">
      <c r="A421" s="1" t="str">
        <f t="shared" si="8"/>
        <v>269-Wells Real Estate Services LLP</v>
      </c>
      <c r="B421" s="1">
        <v>269</v>
      </c>
      <c r="C421" s="1" t="s">
        <v>3274</v>
      </c>
      <c r="D421" s="1" t="s">
        <v>3275</v>
      </c>
      <c r="E421" s="1"/>
      <c r="F421" s="1"/>
      <c r="G421" s="1" t="s">
        <v>3276</v>
      </c>
      <c r="H421" s="1" t="s">
        <v>181</v>
      </c>
      <c r="I421" s="1" t="s">
        <v>72</v>
      </c>
      <c r="J421" s="1" t="s">
        <v>2113</v>
      </c>
      <c r="L421" t="s">
        <v>13</v>
      </c>
      <c r="M421" t="s">
        <v>14</v>
      </c>
      <c r="N421">
        <v>77010</v>
      </c>
      <c r="O421" t="s">
        <v>2114</v>
      </c>
      <c r="Q421" t="s">
        <v>2115</v>
      </c>
    </row>
    <row r="422" spans="1:17" x14ac:dyDescent="0.25">
      <c r="A422" s="1" t="str">
        <f t="shared" si="8"/>
        <v>436-West Houston Indoor Soccer, Inc</v>
      </c>
      <c r="B422" s="1">
        <v>436</v>
      </c>
      <c r="C422" s="1" t="s">
        <v>3277</v>
      </c>
      <c r="D422" s="1" t="s">
        <v>3278</v>
      </c>
      <c r="E422" s="1"/>
      <c r="F422" s="1"/>
      <c r="G422" s="1" t="s">
        <v>2274</v>
      </c>
      <c r="H422" s="1" t="s">
        <v>2116</v>
      </c>
      <c r="I422" s="1" t="s">
        <v>290</v>
      </c>
      <c r="J422" s="1" t="s">
        <v>2117</v>
      </c>
      <c r="L422" t="s">
        <v>13</v>
      </c>
      <c r="M422" t="s">
        <v>14</v>
      </c>
      <c r="N422">
        <v>77084</v>
      </c>
      <c r="O422" t="s">
        <v>2118</v>
      </c>
      <c r="P422" t="s">
        <v>2119</v>
      </c>
      <c r="Q422" t="s">
        <v>2120</v>
      </c>
    </row>
    <row r="423" spans="1:17" x14ac:dyDescent="0.25">
      <c r="A423" s="1" t="str">
        <f t="shared" si="8"/>
        <v>617-White Lodging Services</v>
      </c>
      <c r="B423" s="1">
        <v>617</v>
      </c>
      <c r="C423" s="1" t="s">
        <v>3279</v>
      </c>
      <c r="D423" s="1" t="s">
        <v>3280</v>
      </c>
      <c r="E423" s="1"/>
      <c r="F423" s="1"/>
      <c r="G423" s="1" t="s">
        <v>2662</v>
      </c>
      <c r="H423" s="1" t="s">
        <v>2121</v>
      </c>
      <c r="I423" s="1" t="s">
        <v>2122</v>
      </c>
      <c r="J423" s="1" t="s">
        <v>2123</v>
      </c>
      <c r="L423" t="s">
        <v>13</v>
      </c>
      <c r="M423" t="s">
        <v>14</v>
      </c>
      <c r="N423">
        <v>77002</v>
      </c>
      <c r="O423" t="s">
        <v>2124</v>
      </c>
      <c r="Q423" t="s">
        <v>2125</v>
      </c>
    </row>
    <row r="424" spans="1:17" x14ac:dyDescent="0.25">
      <c r="A424" s="1" t="str">
        <f t="shared" si="8"/>
        <v>441-Whole Foods Market</v>
      </c>
      <c r="B424" s="1">
        <v>441</v>
      </c>
      <c r="C424" s="1" t="s">
        <v>3281</v>
      </c>
      <c r="D424" s="1" t="s">
        <v>3282</v>
      </c>
      <c r="E424" s="1"/>
      <c r="F424" s="1"/>
      <c r="G424" s="1" t="s">
        <v>3283</v>
      </c>
      <c r="H424" s="1" t="s">
        <v>2126</v>
      </c>
      <c r="I424" s="1" t="s">
        <v>2127</v>
      </c>
      <c r="J424" s="1" t="s">
        <v>2128</v>
      </c>
      <c r="K424" t="s">
        <v>2129</v>
      </c>
      <c r="L424" t="s">
        <v>107</v>
      </c>
      <c r="M424" t="s">
        <v>14</v>
      </c>
      <c r="N424">
        <v>78703</v>
      </c>
      <c r="O424" t="s">
        <v>2130</v>
      </c>
      <c r="Q424" t="s">
        <v>2131</v>
      </c>
    </row>
    <row r="425" spans="1:17" x14ac:dyDescent="0.25">
      <c r="A425" s="1" t="str">
        <f t="shared" si="8"/>
        <v>268-Willdan Energy Solutions</v>
      </c>
      <c r="B425" s="1">
        <v>268</v>
      </c>
      <c r="C425" s="1" t="s">
        <v>3284</v>
      </c>
      <c r="D425" s="1" t="s">
        <v>3285</v>
      </c>
      <c r="E425" s="1"/>
      <c r="F425" s="1"/>
      <c r="G425" s="1" t="s">
        <v>2261</v>
      </c>
      <c r="H425" s="1" t="s">
        <v>2132</v>
      </c>
      <c r="I425" s="1" t="s">
        <v>2133</v>
      </c>
      <c r="J425" s="1" t="s">
        <v>2134</v>
      </c>
      <c r="L425" t="s">
        <v>2135</v>
      </c>
      <c r="M425" t="s">
        <v>14</v>
      </c>
      <c r="N425">
        <v>76227</v>
      </c>
      <c r="O425" t="s">
        <v>2136</v>
      </c>
      <c r="Q425" t="s">
        <v>2137</v>
      </c>
    </row>
    <row r="426" spans="1:17" x14ac:dyDescent="0.25">
      <c r="A426" s="1" t="str">
        <f t="shared" si="8"/>
        <v>517-Williams-Sonoma</v>
      </c>
      <c r="B426" s="1">
        <v>517</v>
      </c>
      <c r="C426" s="1" t="s">
        <v>3286</v>
      </c>
      <c r="D426" s="1" t="s">
        <v>3287</v>
      </c>
      <c r="E426" s="1" t="s">
        <v>3288</v>
      </c>
      <c r="F426" s="1" t="s">
        <v>3289</v>
      </c>
      <c r="G426" s="1" t="s">
        <v>3290</v>
      </c>
      <c r="H426" s="1" t="s">
        <v>2138</v>
      </c>
      <c r="I426" s="1" t="s">
        <v>2139</v>
      </c>
      <c r="J426" s="1" t="s">
        <v>2140</v>
      </c>
      <c r="L426" t="s">
        <v>2141</v>
      </c>
      <c r="M426" t="s">
        <v>100</v>
      </c>
      <c r="N426">
        <v>94109</v>
      </c>
      <c r="O426" t="s">
        <v>2142</v>
      </c>
      <c r="P426" t="s">
        <v>2143</v>
      </c>
      <c r="Q426" t="s">
        <v>2144</v>
      </c>
    </row>
    <row r="427" spans="1:17" x14ac:dyDescent="0.25">
      <c r="A427" s="1" t="str">
        <f t="shared" si="8"/>
        <v>610-Windcrest Pcf, Ltd</v>
      </c>
      <c r="B427" s="1">
        <v>610</v>
      </c>
      <c r="C427" s="1" t="s">
        <v>3291</v>
      </c>
      <c r="D427" s="1" t="s">
        <v>3292</v>
      </c>
      <c r="E427" s="1"/>
      <c r="F427" s="1"/>
      <c r="G427" s="1" t="s">
        <v>2486</v>
      </c>
      <c r="H427" s="1" t="s">
        <v>2145</v>
      </c>
      <c r="I427" s="1" t="s">
        <v>260</v>
      </c>
      <c r="J427" s="1" t="s">
        <v>2146</v>
      </c>
      <c r="L427" t="s">
        <v>13</v>
      </c>
      <c r="M427" t="s">
        <v>14</v>
      </c>
      <c r="N427">
        <v>77043</v>
      </c>
      <c r="O427" t="s">
        <v>2147</v>
      </c>
      <c r="Q427" t="s">
        <v>2148</v>
      </c>
    </row>
    <row r="428" spans="1:17" x14ac:dyDescent="0.25">
      <c r="A428" s="1" t="str">
        <f t="shared" si="8"/>
        <v>255-World Energy Resources Corp.</v>
      </c>
      <c r="B428" s="1">
        <v>255</v>
      </c>
      <c r="C428" s="1" t="s">
        <v>3293</v>
      </c>
      <c r="D428" s="1" t="s">
        <v>3294</v>
      </c>
      <c r="E428" s="1"/>
      <c r="F428" s="1"/>
      <c r="G428" s="1" t="s">
        <v>3295</v>
      </c>
      <c r="H428" s="1" t="s">
        <v>2149</v>
      </c>
      <c r="I428" s="1" t="s">
        <v>290</v>
      </c>
      <c r="J428" s="1" t="s">
        <v>2150</v>
      </c>
      <c r="L428" t="s">
        <v>2151</v>
      </c>
      <c r="M428" t="s">
        <v>2152</v>
      </c>
      <c r="N428">
        <v>89704</v>
      </c>
      <c r="O428" t="s">
        <v>2153</v>
      </c>
      <c r="Q428" t="s">
        <v>2154</v>
      </c>
    </row>
    <row r="429" spans="1:17" x14ac:dyDescent="0.25">
      <c r="A429" s="1" t="str">
        <f t="shared" ref="A429:A460" si="9">IF(B429="","",B429&amp;"-"&amp;D429)</f>
        <v>383-Wylie Consulting Engineers</v>
      </c>
      <c r="B429" s="1">
        <v>383</v>
      </c>
      <c r="C429" s="1" t="s">
        <v>3296</v>
      </c>
      <c r="D429" s="1" t="s">
        <v>3297</v>
      </c>
      <c r="E429" s="1"/>
      <c r="F429" s="1"/>
      <c r="G429" s="1" t="s">
        <v>3298</v>
      </c>
      <c r="H429" s="1" t="s">
        <v>2155</v>
      </c>
      <c r="I429" s="1" t="s">
        <v>466</v>
      </c>
      <c r="J429" s="1" t="s">
        <v>2156</v>
      </c>
      <c r="L429" t="s">
        <v>13</v>
      </c>
      <c r="M429" t="s">
        <v>14</v>
      </c>
      <c r="N429">
        <v>77036</v>
      </c>
      <c r="O429" t="s">
        <v>2157</v>
      </c>
      <c r="P429" t="s">
        <v>2158</v>
      </c>
      <c r="Q429" t="s">
        <v>2159</v>
      </c>
    </row>
    <row r="430" spans="1:17" x14ac:dyDescent="0.25">
      <c r="A430" s="1" t="str">
        <f t="shared" si="9"/>
        <v>226-X-TRA Light</v>
      </c>
      <c r="B430" s="1">
        <v>226</v>
      </c>
      <c r="C430" s="1" t="s">
        <v>3299</v>
      </c>
      <c r="D430" s="1" t="s">
        <v>3300</v>
      </c>
      <c r="E430" s="1"/>
      <c r="F430" s="1"/>
      <c r="G430" s="1" t="s">
        <v>2366</v>
      </c>
      <c r="H430" s="1" t="s">
        <v>1286</v>
      </c>
      <c r="I430" s="1" t="s">
        <v>2160</v>
      </c>
      <c r="J430" s="1" t="s">
        <v>2161</v>
      </c>
      <c r="L430" t="s">
        <v>13</v>
      </c>
      <c r="M430" t="s">
        <v>14</v>
      </c>
      <c r="N430">
        <v>77034</v>
      </c>
      <c r="O430" t="s">
        <v>2162</v>
      </c>
      <c r="Q430" t="s">
        <v>2163</v>
      </c>
    </row>
    <row r="431" spans="1:17" x14ac:dyDescent="0.25">
      <c r="A431" s="1" t="str">
        <f t="shared" si="9"/>
        <v>554-XYZ</v>
      </c>
      <c r="B431" s="1">
        <v>554</v>
      </c>
      <c r="C431" s="1" t="s">
        <v>3301</v>
      </c>
      <c r="D431" s="1" t="s">
        <v>3302</v>
      </c>
      <c r="E431" s="1"/>
      <c r="F431" s="1"/>
      <c r="G431" s="1" t="s">
        <v>3303</v>
      </c>
      <c r="H431" s="1" t="s">
        <v>2164</v>
      </c>
      <c r="I431" s="1" t="s">
        <v>2165</v>
      </c>
      <c r="J431" s="1" t="s">
        <v>2166</v>
      </c>
      <c r="L431" t="s">
        <v>1246</v>
      </c>
      <c r="M431" t="s">
        <v>14</v>
      </c>
      <c r="N431">
        <v>77010</v>
      </c>
      <c r="O431" t="s">
        <v>2167</v>
      </c>
      <c r="Q431" t="s">
        <v>2168</v>
      </c>
    </row>
    <row r="432" spans="1:17" x14ac:dyDescent="0.25">
      <c r="A432" s="1" t="str">
        <f t="shared" si="9"/>
        <v>555-xyz</v>
      </c>
      <c r="B432" s="1">
        <v>555</v>
      </c>
      <c r="C432" s="1" t="s">
        <v>3304</v>
      </c>
      <c r="D432" s="1" t="s">
        <v>3305</v>
      </c>
      <c r="E432" s="1"/>
      <c r="F432" s="1"/>
      <c r="G432" s="1" t="s">
        <v>3303</v>
      </c>
      <c r="H432" s="1" t="s">
        <v>2164</v>
      </c>
      <c r="I432" s="1" t="s">
        <v>2165</v>
      </c>
      <c r="J432" s="1" t="s">
        <v>2166</v>
      </c>
      <c r="L432" t="s">
        <v>1246</v>
      </c>
      <c r="M432" t="s">
        <v>14</v>
      </c>
      <c r="N432">
        <v>77010</v>
      </c>
      <c r="O432" t="s">
        <v>2167</v>
      </c>
      <c r="Q432" t="s">
        <v>2168</v>
      </c>
    </row>
    <row r="433" spans="1:17" x14ac:dyDescent="0.25">
      <c r="A433" s="1" t="str">
        <f t="shared" si="9"/>
        <v>648-TRITON SUPPLY INC</v>
      </c>
      <c r="B433">
        <v>648</v>
      </c>
      <c r="D433" t="s">
        <v>8169</v>
      </c>
      <c r="G433" t="s">
        <v>8170</v>
      </c>
      <c r="H433" t="s">
        <v>8059</v>
      </c>
      <c r="J433" t="s">
        <v>8171</v>
      </c>
      <c r="L433" t="s">
        <v>68</v>
      </c>
      <c r="M433" t="s">
        <v>14</v>
      </c>
      <c r="N433" s="22" t="s">
        <v>8172</v>
      </c>
      <c r="O433" t="s">
        <v>8173</v>
      </c>
      <c r="Q433" t="s">
        <v>8174</v>
      </c>
    </row>
    <row r="434" spans="1:17" x14ac:dyDescent="0.25">
      <c r="A434" s="1" t="str">
        <f t="shared" si="9"/>
        <v>648-Global Atlas Inc</v>
      </c>
      <c r="B434">
        <v>648</v>
      </c>
      <c r="D434" t="s">
        <v>8177</v>
      </c>
      <c r="G434" t="s">
        <v>2265</v>
      </c>
      <c r="H434" t="s">
        <v>7961</v>
      </c>
      <c r="J434" t="s">
        <v>8178</v>
      </c>
      <c r="L434" t="s">
        <v>13</v>
      </c>
      <c r="M434" t="s">
        <v>14</v>
      </c>
      <c r="N434" s="22" t="s">
        <v>8179</v>
      </c>
      <c r="O434" t="s">
        <v>8180</v>
      </c>
      <c r="Q434" t="s">
        <v>8163</v>
      </c>
    </row>
    <row r="435" spans="1:17" x14ac:dyDescent="0.25">
      <c r="A435" s="1" t="str">
        <f t="shared" si="9"/>
        <v>649-shan Smith &amp; Associates, Inc.</v>
      </c>
      <c r="B435">
        <v>649</v>
      </c>
      <c r="D435" t="s">
        <v>8181</v>
      </c>
      <c r="G435" t="s">
        <v>3064</v>
      </c>
      <c r="H435" t="s">
        <v>1729</v>
      </c>
      <c r="J435" t="s">
        <v>8182</v>
      </c>
      <c r="L435" t="s">
        <v>13</v>
      </c>
      <c r="M435" t="s">
        <v>14</v>
      </c>
      <c r="N435" s="22" t="s">
        <v>7995</v>
      </c>
      <c r="O435" t="s">
        <v>1732</v>
      </c>
      <c r="Q435" t="s">
        <v>1733</v>
      </c>
    </row>
    <row r="436" spans="1:17" x14ac:dyDescent="0.25">
      <c r="A436" s="1" t="str">
        <f t="shared" si="9"/>
        <v>650-Archway Logistics Corp.</v>
      </c>
      <c r="B436">
        <v>650</v>
      </c>
      <c r="D436" t="s">
        <v>8183</v>
      </c>
      <c r="G436" t="s">
        <v>2242</v>
      </c>
      <c r="H436" t="s">
        <v>8184</v>
      </c>
      <c r="J436" t="s">
        <v>8185</v>
      </c>
      <c r="L436" t="s">
        <v>13</v>
      </c>
      <c r="M436" t="s">
        <v>14</v>
      </c>
      <c r="N436" s="22" t="s">
        <v>8186</v>
      </c>
      <c r="O436" t="s">
        <v>8187</v>
      </c>
      <c r="Q436" t="s">
        <v>8188</v>
      </c>
    </row>
    <row r="437" spans="1:17" x14ac:dyDescent="0.25">
      <c r="A437" s="1" t="str">
        <f t="shared" si="9"/>
        <v>651-MHSC Energy Management LLC</v>
      </c>
      <c r="B437">
        <v>651</v>
      </c>
      <c r="D437" t="s">
        <v>8189</v>
      </c>
      <c r="G437" t="s">
        <v>2287</v>
      </c>
      <c r="H437" t="s">
        <v>8190</v>
      </c>
      <c r="J437" t="s">
        <v>8191</v>
      </c>
      <c r="L437" t="s">
        <v>8192</v>
      </c>
      <c r="M437" t="s">
        <v>14</v>
      </c>
      <c r="N437" s="22" t="s">
        <v>8193</v>
      </c>
      <c r="O437" t="s">
        <v>8194</v>
      </c>
      <c r="Q437" t="s">
        <v>8195</v>
      </c>
    </row>
    <row r="438" spans="1:17" x14ac:dyDescent="0.25">
      <c r="A438" s="1" t="str">
        <f t="shared" si="9"/>
        <v>652-LED Cents</v>
      </c>
      <c r="B438">
        <v>652</v>
      </c>
      <c r="D438" t="s">
        <v>8196</v>
      </c>
      <c r="G438" t="s">
        <v>8167</v>
      </c>
      <c r="H438" t="s">
        <v>8168</v>
      </c>
      <c r="J438" t="s">
        <v>8197</v>
      </c>
      <c r="L438" t="s">
        <v>8198</v>
      </c>
      <c r="M438" t="s">
        <v>1442</v>
      </c>
      <c r="N438" s="22" t="s">
        <v>8199</v>
      </c>
      <c r="O438" t="s">
        <v>8200</v>
      </c>
      <c r="Q438" t="s">
        <v>8201</v>
      </c>
    </row>
    <row r="439" spans="1:17" x14ac:dyDescent="0.25">
      <c r="A439" s="1" t="str">
        <f t="shared" si="9"/>
        <v>653-USAmerican Electric</v>
      </c>
      <c r="B439">
        <v>653</v>
      </c>
      <c r="D439" t="s">
        <v>8202</v>
      </c>
      <c r="G439" t="s">
        <v>2412</v>
      </c>
      <c r="H439" t="s">
        <v>8203</v>
      </c>
      <c r="J439" t="s">
        <v>8204</v>
      </c>
      <c r="L439" t="s">
        <v>248</v>
      </c>
      <c r="M439" t="s">
        <v>14</v>
      </c>
      <c r="N439" s="22" t="s">
        <v>8205</v>
      </c>
      <c r="O439" t="s">
        <v>8206</v>
      </c>
      <c r="Q439" t="s">
        <v>8207</v>
      </c>
    </row>
    <row r="440" spans="1:17" x14ac:dyDescent="0.25">
      <c r="A440" s="1" t="str">
        <f t="shared" si="9"/>
        <v>654-American Wholesale Lighting</v>
      </c>
      <c r="B440">
        <v>654</v>
      </c>
      <c r="D440" t="s">
        <v>8208</v>
      </c>
      <c r="G440" t="s">
        <v>2409</v>
      </c>
      <c r="H440" t="s">
        <v>8209</v>
      </c>
      <c r="J440" t="s">
        <v>8210</v>
      </c>
      <c r="L440" t="s">
        <v>8211</v>
      </c>
      <c r="M440" t="s">
        <v>100</v>
      </c>
      <c r="N440" s="22" t="s">
        <v>8212</v>
      </c>
      <c r="O440" t="s">
        <v>8213</v>
      </c>
      <c r="Q440" t="s">
        <v>8214</v>
      </c>
    </row>
    <row r="441" spans="1:17" x14ac:dyDescent="0.25">
      <c r="A441" s="1" t="str">
        <f t="shared" si="9"/>
        <v/>
      </c>
    </row>
    <row r="442" spans="1:17" x14ac:dyDescent="0.25">
      <c r="A442" s="1" t="str">
        <f t="shared" si="9"/>
        <v/>
      </c>
    </row>
    <row r="443" spans="1:17" x14ac:dyDescent="0.25">
      <c r="A443" s="1" t="str">
        <f t="shared" si="9"/>
        <v/>
      </c>
    </row>
    <row r="444" spans="1:17" x14ac:dyDescent="0.25">
      <c r="A444" s="1" t="str">
        <f t="shared" si="9"/>
        <v/>
      </c>
    </row>
    <row r="445" spans="1:17" x14ac:dyDescent="0.25">
      <c r="A445" s="1" t="str">
        <f t="shared" si="9"/>
        <v/>
      </c>
    </row>
    <row r="446" spans="1:17" x14ac:dyDescent="0.25">
      <c r="A446" s="1" t="str">
        <f t="shared" si="9"/>
        <v/>
      </c>
    </row>
    <row r="447" spans="1:17" x14ac:dyDescent="0.25">
      <c r="A447" s="1" t="str">
        <f t="shared" si="9"/>
        <v/>
      </c>
    </row>
    <row r="448" spans="1:17" x14ac:dyDescent="0.25">
      <c r="A448" s="1" t="str">
        <f t="shared" si="9"/>
        <v/>
      </c>
    </row>
    <row r="449" spans="1:1" x14ac:dyDescent="0.25">
      <c r="A449" s="1" t="str">
        <f t="shared" si="9"/>
        <v/>
      </c>
    </row>
    <row r="450" spans="1:1" x14ac:dyDescent="0.25">
      <c r="A450" s="1" t="str">
        <f t="shared" si="9"/>
        <v/>
      </c>
    </row>
    <row r="451" spans="1:1" x14ac:dyDescent="0.25">
      <c r="A451" s="1" t="str">
        <f t="shared" si="9"/>
        <v/>
      </c>
    </row>
    <row r="452" spans="1:1" x14ac:dyDescent="0.25">
      <c r="A452" s="1" t="str">
        <f t="shared" si="9"/>
        <v/>
      </c>
    </row>
    <row r="453" spans="1:1" x14ac:dyDescent="0.25">
      <c r="A453" s="1" t="str">
        <f t="shared" si="9"/>
        <v/>
      </c>
    </row>
    <row r="454" spans="1:1" x14ac:dyDescent="0.25">
      <c r="A454" s="1" t="str">
        <f t="shared" si="9"/>
        <v/>
      </c>
    </row>
    <row r="455" spans="1:1" x14ac:dyDescent="0.25">
      <c r="A455" s="1" t="str">
        <f t="shared" si="9"/>
        <v/>
      </c>
    </row>
    <row r="456" spans="1:1" x14ac:dyDescent="0.25">
      <c r="A456" s="1" t="str">
        <f t="shared" si="9"/>
        <v/>
      </c>
    </row>
    <row r="457" spans="1:1" x14ac:dyDescent="0.25">
      <c r="A457" s="1" t="str">
        <f t="shared" si="9"/>
        <v/>
      </c>
    </row>
    <row r="458" spans="1:1" x14ac:dyDescent="0.25">
      <c r="A458" s="1" t="str">
        <f t="shared" si="9"/>
        <v/>
      </c>
    </row>
    <row r="459" spans="1:1" x14ac:dyDescent="0.25">
      <c r="A459" s="1" t="str">
        <f t="shared" si="9"/>
        <v/>
      </c>
    </row>
    <row r="460" spans="1:1" x14ac:dyDescent="0.25">
      <c r="A460" s="1" t="str">
        <f t="shared" si="9"/>
        <v/>
      </c>
    </row>
    <row r="461" spans="1:1" x14ac:dyDescent="0.25">
      <c r="A461" s="1" t="str">
        <f t="shared" ref="A461:A492" si="10">IF(B461="","",B461&amp;"-"&amp;D461)</f>
        <v/>
      </c>
    </row>
    <row r="462" spans="1:1" x14ac:dyDescent="0.25">
      <c r="A462" s="1" t="str">
        <f t="shared" si="10"/>
        <v/>
      </c>
    </row>
    <row r="463" spans="1:1" x14ac:dyDescent="0.25">
      <c r="A463" s="1" t="str">
        <f t="shared" si="10"/>
        <v/>
      </c>
    </row>
    <row r="464" spans="1:1" x14ac:dyDescent="0.25">
      <c r="A464" s="1" t="str">
        <f t="shared" si="10"/>
        <v/>
      </c>
    </row>
    <row r="465" spans="1:1" x14ac:dyDescent="0.25">
      <c r="A465" s="1" t="str">
        <f t="shared" si="10"/>
        <v/>
      </c>
    </row>
    <row r="466" spans="1:1" x14ac:dyDescent="0.25">
      <c r="A466" s="1" t="str">
        <f t="shared" si="10"/>
        <v/>
      </c>
    </row>
    <row r="467" spans="1:1" x14ac:dyDescent="0.25">
      <c r="A467" s="1" t="str">
        <f t="shared" si="10"/>
        <v/>
      </c>
    </row>
    <row r="468" spans="1:1" x14ac:dyDescent="0.25">
      <c r="A468" s="1" t="str">
        <f t="shared" si="10"/>
        <v/>
      </c>
    </row>
    <row r="469" spans="1:1" x14ac:dyDescent="0.25">
      <c r="A469" s="1" t="str">
        <f t="shared" si="10"/>
        <v/>
      </c>
    </row>
    <row r="470" spans="1:1" x14ac:dyDescent="0.25">
      <c r="A470" s="1" t="str">
        <f t="shared" si="10"/>
        <v/>
      </c>
    </row>
    <row r="471" spans="1:1" x14ac:dyDescent="0.25">
      <c r="A471" s="1" t="str">
        <f t="shared" si="10"/>
        <v/>
      </c>
    </row>
    <row r="472" spans="1:1" x14ac:dyDescent="0.25">
      <c r="A472" s="1" t="str">
        <f t="shared" si="10"/>
        <v/>
      </c>
    </row>
    <row r="473" spans="1:1" x14ac:dyDescent="0.25">
      <c r="A473" s="1" t="str">
        <f t="shared" si="10"/>
        <v/>
      </c>
    </row>
    <row r="474" spans="1:1" x14ac:dyDescent="0.25">
      <c r="A474" s="1" t="str">
        <f t="shared" si="10"/>
        <v/>
      </c>
    </row>
    <row r="475" spans="1:1" x14ac:dyDescent="0.25">
      <c r="A475" s="1" t="str">
        <f t="shared" si="10"/>
        <v/>
      </c>
    </row>
    <row r="476" spans="1:1" x14ac:dyDescent="0.25">
      <c r="A476" s="1" t="str">
        <f t="shared" si="10"/>
        <v/>
      </c>
    </row>
    <row r="477" spans="1:1" x14ac:dyDescent="0.25">
      <c r="A477" s="1" t="str">
        <f t="shared" si="10"/>
        <v/>
      </c>
    </row>
    <row r="478" spans="1:1" x14ac:dyDescent="0.25">
      <c r="A478" s="1" t="str">
        <f t="shared" si="10"/>
        <v/>
      </c>
    </row>
    <row r="479" spans="1:1" x14ac:dyDescent="0.25">
      <c r="A479" s="1" t="str">
        <f t="shared" si="10"/>
        <v/>
      </c>
    </row>
    <row r="480" spans="1:1" x14ac:dyDescent="0.25">
      <c r="A480" s="1" t="str">
        <f t="shared" si="10"/>
        <v/>
      </c>
    </row>
    <row r="481" spans="1:1" x14ac:dyDescent="0.25">
      <c r="A481" s="1" t="str">
        <f t="shared" si="10"/>
        <v/>
      </c>
    </row>
    <row r="482" spans="1:1" x14ac:dyDescent="0.25">
      <c r="A482" s="1" t="str">
        <f t="shared" si="10"/>
        <v/>
      </c>
    </row>
    <row r="483" spans="1:1" x14ac:dyDescent="0.25">
      <c r="A483" s="1" t="str">
        <f t="shared" si="10"/>
        <v/>
      </c>
    </row>
    <row r="484" spans="1:1" x14ac:dyDescent="0.25">
      <c r="A484" s="1" t="str">
        <f t="shared" si="10"/>
        <v/>
      </c>
    </row>
    <row r="485" spans="1:1" x14ac:dyDescent="0.25">
      <c r="A485" s="1" t="str">
        <f t="shared" si="10"/>
        <v/>
      </c>
    </row>
    <row r="486" spans="1:1" x14ac:dyDescent="0.25">
      <c r="A486" s="1" t="str">
        <f t="shared" si="10"/>
        <v/>
      </c>
    </row>
    <row r="487" spans="1:1" x14ac:dyDescent="0.25">
      <c r="A487" s="1" t="str">
        <f t="shared" si="10"/>
        <v/>
      </c>
    </row>
    <row r="488" spans="1:1" x14ac:dyDescent="0.25">
      <c r="A488" s="1" t="str">
        <f t="shared" si="10"/>
        <v/>
      </c>
    </row>
    <row r="489" spans="1:1" x14ac:dyDescent="0.25">
      <c r="A489" s="1" t="str">
        <f t="shared" si="10"/>
        <v/>
      </c>
    </row>
    <row r="490" spans="1:1" x14ac:dyDescent="0.25">
      <c r="A490" s="1" t="str">
        <f t="shared" si="10"/>
        <v/>
      </c>
    </row>
    <row r="491" spans="1:1" x14ac:dyDescent="0.25">
      <c r="A491" s="1" t="str">
        <f t="shared" si="10"/>
        <v/>
      </c>
    </row>
    <row r="492" spans="1:1" x14ac:dyDescent="0.25">
      <c r="A492" s="1" t="str">
        <f t="shared" si="10"/>
        <v/>
      </c>
    </row>
    <row r="493" spans="1:1" x14ac:dyDescent="0.25">
      <c r="A493" s="1" t="str">
        <f t="shared" ref="A493:A500" si="11">IF(B493="","",B493&amp;"-"&amp;D493)</f>
        <v/>
      </c>
    </row>
    <row r="494" spans="1:1" x14ac:dyDescent="0.25">
      <c r="A494" s="1" t="str">
        <f t="shared" si="11"/>
        <v/>
      </c>
    </row>
    <row r="495" spans="1:1" x14ac:dyDescent="0.25">
      <c r="A495" s="1" t="str">
        <f t="shared" si="11"/>
        <v/>
      </c>
    </row>
    <row r="496" spans="1:1" x14ac:dyDescent="0.25">
      <c r="A496" s="1" t="str">
        <f t="shared" si="11"/>
        <v/>
      </c>
    </row>
    <row r="497" spans="1:1" x14ac:dyDescent="0.25">
      <c r="A497" s="1" t="str">
        <f t="shared" si="11"/>
        <v/>
      </c>
    </row>
    <row r="498" spans="1:1" x14ac:dyDescent="0.25">
      <c r="A498" s="1" t="str">
        <f t="shared" si="11"/>
        <v/>
      </c>
    </row>
    <row r="499" spans="1:1" x14ac:dyDescent="0.25">
      <c r="A499" s="1" t="str">
        <f t="shared" si="11"/>
        <v/>
      </c>
    </row>
    <row r="500" spans="1:1" x14ac:dyDescent="0.25">
      <c r="A500" s="1" t="str">
        <f t="shared" si="11"/>
        <v/>
      </c>
    </row>
  </sheetData>
  <hyperlinks>
    <hyperlink ref="J312" r:id="rId1" display="lcignavitch@realwinwin.com"/>
    <hyperlink ref="Q74" r:id="rId2"/>
    <hyperlink ref="Q341" r:id="rId3"/>
    <hyperlink ref="Q340" r:id="rId4"/>
    <hyperlink ref="Q97" r:id="rId5"/>
    <hyperlink ref="Q269" r:id="rId6"/>
    <hyperlink ref="Q317" r:id="rId7" display="mailto:Cynthia.gintner@rexelusa.com"/>
    <hyperlink ref="Q277" r:id="rId8"/>
    <hyperlink ref="Q271" r:id="rId9"/>
    <hyperlink ref="Q312" r:id="rId10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"/>
  <sheetViews>
    <sheetView topLeftCell="F1" workbookViewId="0">
      <selection activeCell="F19" sqref="F19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4.28515625" bestFit="1" customWidth="1"/>
    <col min="4" max="4" width="53.5703125" customWidth="1"/>
    <col min="5" max="5" width="36.140625" customWidth="1"/>
    <col min="6" max="6" width="25.85546875" bestFit="1" customWidth="1"/>
    <col min="7" max="7" width="20.5703125" bestFit="1" customWidth="1"/>
    <col min="8" max="8" width="17" customWidth="1"/>
  </cols>
  <sheetData>
    <row r="1" spans="1:8" ht="15.75" thickBot="1" x14ac:dyDescent="0.3">
      <c r="A1" t="s">
        <v>3355</v>
      </c>
      <c r="B1" t="s">
        <v>3362</v>
      </c>
      <c r="C1" s="14" t="s">
        <v>3322</v>
      </c>
      <c r="D1" s="153" t="s">
        <v>8235</v>
      </c>
      <c r="E1" s="154" t="s">
        <v>8283</v>
      </c>
      <c r="F1" s="153" t="s">
        <v>8257</v>
      </c>
      <c r="G1" s="154" t="s">
        <v>8283</v>
      </c>
      <c r="H1" s="164" t="s">
        <v>8348</v>
      </c>
    </row>
    <row r="2" spans="1:8" x14ac:dyDescent="0.25">
      <c r="A2" s="5" t="s">
        <v>3356</v>
      </c>
      <c r="B2" s="14" t="s">
        <v>3363</v>
      </c>
      <c r="C2" s="14" t="s">
        <v>3366</v>
      </c>
      <c r="D2" s="151" t="s">
        <v>8029</v>
      </c>
      <c r="E2" s="152" t="s">
        <v>3367</v>
      </c>
      <c r="F2" s="9" t="s">
        <v>8258</v>
      </c>
      <c r="G2" s="159" t="s">
        <v>3366</v>
      </c>
      <c r="H2" s="163" t="s">
        <v>8340</v>
      </c>
    </row>
    <row r="3" spans="1:8" x14ac:dyDescent="0.25">
      <c r="A3" s="5" t="s">
        <v>3357</v>
      </c>
      <c r="B3" s="14" t="s">
        <v>3364</v>
      </c>
      <c r="C3" s="14" t="s">
        <v>3367</v>
      </c>
      <c r="D3" s="8" t="s">
        <v>8236</v>
      </c>
      <c r="E3" s="14" t="s">
        <v>3367</v>
      </c>
      <c r="F3" s="8" t="s">
        <v>8259</v>
      </c>
      <c r="G3" s="14" t="s">
        <v>3366</v>
      </c>
      <c r="H3" s="160" t="s">
        <v>8339</v>
      </c>
    </row>
    <row r="4" spans="1:8" x14ac:dyDescent="0.25">
      <c r="A4" s="5" t="s">
        <v>3358</v>
      </c>
      <c r="C4" s="14" t="s">
        <v>3368</v>
      </c>
      <c r="D4" s="8" t="s">
        <v>8015</v>
      </c>
      <c r="E4" s="14" t="s">
        <v>3369</v>
      </c>
      <c r="F4" s="8" t="s">
        <v>8260</v>
      </c>
      <c r="G4" s="14" t="s">
        <v>3366</v>
      </c>
      <c r="H4" s="160" t="s">
        <v>8341</v>
      </c>
    </row>
    <row r="5" spans="1:8" x14ac:dyDescent="0.25">
      <c r="A5" s="5" t="s">
        <v>3359</v>
      </c>
      <c r="C5" s="14" t="s">
        <v>3369</v>
      </c>
      <c r="D5" s="8" t="s">
        <v>8237</v>
      </c>
      <c r="E5" s="14" t="s">
        <v>3369</v>
      </c>
      <c r="F5" s="8" t="s">
        <v>8261</v>
      </c>
      <c r="G5" s="14" t="s">
        <v>8011</v>
      </c>
      <c r="H5" s="160" t="s">
        <v>8342</v>
      </c>
    </row>
    <row r="6" spans="1:8" x14ac:dyDescent="0.25">
      <c r="C6" s="14" t="s">
        <v>8011</v>
      </c>
      <c r="D6" s="8" t="s">
        <v>8238</v>
      </c>
      <c r="E6" s="14" t="s">
        <v>3369</v>
      </c>
      <c r="F6" s="8" t="s">
        <v>8262</v>
      </c>
      <c r="G6" s="14" t="s">
        <v>8011</v>
      </c>
      <c r="H6" s="160" t="s">
        <v>8343</v>
      </c>
    </row>
    <row r="7" spans="1:8" x14ac:dyDescent="0.25">
      <c r="C7" s="14" t="s">
        <v>3370</v>
      </c>
      <c r="D7" s="8" t="s">
        <v>8239</v>
      </c>
      <c r="E7" s="14" t="s">
        <v>3369</v>
      </c>
      <c r="F7" s="8" t="s">
        <v>8263</v>
      </c>
      <c r="G7" s="14" t="s">
        <v>8011</v>
      </c>
      <c r="H7" s="160" t="s">
        <v>8347</v>
      </c>
    </row>
    <row r="8" spans="1:8" x14ac:dyDescent="0.25">
      <c r="C8" s="14" t="s">
        <v>3371</v>
      </c>
      <c r="D8" s="8" t="s">
        <v>8240</v>
      </c>
      <c r="E8" s="14" t="s">
        <v>3369</v>
      </c>
      <c r="F8" s="8" t="s">
        <v>8264</v>
      </c>
      <c r="G8" s="14" t="s">
        <v>3370</v>
      </c>
      <c r="H8" s="160" t="s">
        <v>8344</v>
      </c>
    </row>
    <row r="9" spans="1:8" x14ac:dyDescent="0.25">
      <c r="C9" s="14" t="s">
        <v>3372</v>
      </c>
      <c r="D9" s="8" t="s">
        <v>8052</v>
      </c>
      <c r="E9" s="14" t="s">
        <v>8011</v>
      </c>
      <c r="F9" s="8" t="s">
        <v>8265</v>
      </c>
      <c r="G9" s="14" t="s">
        <v>3370</v>
      </c>
      <c r="H9" s="160" t="s">
        <v>8345</v>
      </c>
    </row>
    <row r="10" spans="1:8" x14ac:dyDescent="0.25">
      <c r="C10" s="14" t="s">
        <v>3359</v>
      </c>
      <c r="D10" s="8" t="s">
        <v>8215</v>
      </c>
      <c r="E10" s="14" t="s">
        <v>8011</v>
      </c>
      <c r="F10" s="8" t="s">
        <v>8266</v>
      </c>
      <c r="G10" s="14" t="s">
        <v>3370</v>
      </c>
      <c r="H10" s="160" t="s">
        <v>8346</v>
      </c>
    </row>
    <row r="11" spans="1:8" x14ac:dyDescent="0.25">
      <c r="D11" s="8" t="s">
        <v>7953</v>
      </c>
      <c r="E11" s="14" t="s">
        <v>3366</v>
      </c>
      <c r="F11" s="8" t="s">
        <v>7990</v>
      </c>
      <c r="G11" s="14" t="s">
        <v>3359</v>
      </c>
      <c r="H11" s="161"/>
    </row>
    <row r="12" spans="1:8" x14ac:dyDescent="0.25">
      <c r="D12" s="8" t="s">
        <v>8009</v>
      </c>
      <c r="E12" s="14" t="s">
        <v>3366</v>
      </c>
      <c r="F12" s="8" t="s">
        <v>8267</v>
      </c>
      <c r="G12" s="14" t="s">
        <v>3359</v>
      </c>
      <c r="H12" s="161"/>
    </row>
    <row r="13" spans="1:8" ht="15.75" thickBot="1" x14ac:dyDescent="0.3">
      <c r="D13" s="8" t="s">
        <v>8241</v>
      </c>
      <c r="E13" s="14" t="s">
        <v>3366</v>
      </c>
      <c r="F13" s="8" t="s">
        <v>8268</v>
      </c>
      <c r="G13" s="14" t="s">
        <v>3369</v>
      </c>
      <c r="H13" s="162"/>
    </row>
    <row r="14" spans="1:8" x14ac:dyDescent="0.25">
      <c r="D14" s="8" t="s">
        <v>7954</v>
      </c>
      <c r="E14" s="14" t="s">
        <v>3366</v>
      </c>
      <c r="F14" s="8" t="s">
        <v>8269</v>
      </c>
      <c r="G14" s="26" t="s">
        <v>3369</v>
      </c>
    </row>
    <row r="15" spans="1:8" x14ac:dyDescent="0.25">
      <c r="D15" s="8" t="s">
        <v>8050</v>
      </c>
      <c r="E15" s="14" t="s">
        <v>3366</v>
      </c>
      <c r="F15" s="8" t="s">
        <v>8270</v>
      </c>
      <c r="G15" s="26" t="s">
        <v>3369</v>
      </c>
    </row>
    <row r="16" spans="1:8" x14ac:dyDescent="0.25">
      <c r="D16" s="8" t="s">
        <v>3412</v>
      </c>
      <c r="E16" s="14" t="s">
        <v>3371</v>
      </c>
      <c r="F16" s="8" t="s">
        <v>8271</v>
      </c>
      <c r="G16" s="26" t="s">
        <v>3369</v>
      </c>
    </row>
    <row r="17" spans="4:7" x14ac:dyDescent="0.25">
      <c r="D17" s="8" t="s">
        <v>8097</v>
      </c>
      <c r="E17" s="14" t="s">
        <v>3366</v>
      </c>
      <c r="F17" s="8" t="s">
        <v>8272</v>
      </c>
      <c r="G17" s="26" t="s">
        <v>3369</v>
      </c>
    </row>
    <row r="18" spans="4:7" x14ac:dyDescent="0.25">
      <c r="D18" s="8" t="s">
        <v>8242</v>
      </c>
      <c r="E18" s="14" t="s">
        <v>8011</v>
      </c>
      <c r="F18" s="8" t="s">
        <v>8273</v>
      </c>
      <c r="G18" s="26" t="s">
        <v>3369</v>
      </c>
    </row>
    <row r="19" spans="4:7" x14ac:dyDescent="0.25">
      <c r="D19" s="8" t="s">
        <v>7906</v>
      </c>
      <c r="E19" s="14" t="s">
        <v>3359</v>
      </c>
      <c r="F19" s="8" t="s">
        <v>8274</v>
      </c>
      <c r="G19" s="26" t="s">
        <v>3367</v>
      </c>
    </row>
    <row r="20" spans="4:7" x14ac:dyDescent="0.25">
      <c r="D20" s="8" t="s">
        <v>8243</v>
      </c>
      <c r="E20" s="14" t="s">
        <v>3359</v>
      </c>
      <c r="F20" s="8" t="s">
        <v>8275</v>
      </c>
      <c r="G20" s="26" t="s">
        <v>3367</v>
      </c>
    </row>
    <row r="21" spans="4:7" x14ac:dyDescent="0.25">
      <c r="D21" s="8" t="s">
        <v>3400</v>
      </c>
      <c r="E21" s="14" t="s">
        <v>3359</v>
      </c>
      <c r="F21" s="8" t="s">
        <v>8276</v>
      </c>
      <c r="G21" s="26" t="s">
        <v>3367</v>
      </c>
    </row>
    <row r="22" spans="4:7" x14ac:dyDescent="0.25">
      <c r="D22" s="8" t="s">
        <v>7989</v>
      </c>
      <c r="E22" s="14" t="s">
        <v>3359</v>
      </c>
      <c r="F22" s="8" t="s">
        <v>8277</v>
      </c>
      <c r="G22" s="26" t="s">
        <v>3369</v>
      </c>
    </row>
    <row r="23" spans="4:7" x14ac:dyDescent="0.25">
      <c r="D23" s="8" t="s">
        <v>7826</v>
      </c>
      <c r="E23" s="14" t="s">
        <v>3370</v>
      </c>
      <c r="F23" s="8" t="s">
        <v>3368</v>
      </c>
      <c r="G23" s="26" t="s">
        <v>3368</v>
      </c>
    </row>
    <row r="24" spans="4:7" x14ac:dyDescent="0.25">
      <c r="D24" s="8" t="s">
        <v>8244</v>
      </c>
      <c r="E24" s="14" t="s">
        <v>3370</v>
      </c>
      <c r="F24" s="8" t="s">
        <v>8278</v>
      </c>
      <c r="G24" s="26" t="s">
        <v>3359</v>
      </c>
    </row>
    <row r="25" spans="4:7" x14ac:dyDescent="0.25">
      <c r="D25" s="8" t="s">
        <v>3434</v>
      </c>
      <c r="E25" s="14" t="s">
        <v>3372</v>
      </c>
      <c r="F25" s="8" t="s">
        <v>8279</v>
      </c>
      <c r="G25" s="26" t="s">
        <v>3359</v>
      </c>
    </row>
    <row r="26" spans="4:7" x14ac:dyDescent="0.25">
      <c r="D26" s="8" t="s">
        <v>8245</v>
      </c>
      <c r="E26" s="14" t="s">
        <v>3359</v>
      </c>
      <c r="F26" s="8" t="s">
        <v>8280</v>
      </c>
      <c r="G26" s="26" t="s">
        <v>3359</v>
      </c>
    </row>
    <row r="27" spans="4:7" x14ac:dyDescent="0.25">
      <c r="D27" s="8" t="s">
        <v>8216</v>
      </c>
      <c r="E27" s="14" t="s">
        <v>3359</v>
      </c>
      <c r="F27" s="8" t="s">
        <v>8281</v>
      </c>
      <c r="G27" s="26" t="s">
        <v>3359</v>
      </c>
    </row>
    <row r="28" spans="4:7" ht="15.75" thickBot="1" x14ac:dyDescent="0.3">
      <c r="D28" s="8" t="s">
        <v>8246</v>
      </c>
      <c r="E28" s="14" t="s">
        <v>3359</v>
      </c>
      <c r="F28" s="11" t="s">
        <v>8282</v>
      </c>
      <c r="G28" s="27" t="s">
        <v>3359</v>
      </c>
    </row>
    <row r="29" spans="4:7" x14ac:dyDescent="0.25">
      <c r="D29" s="8" t="s">
        <v>8247</v>
      </c>
      <c r="E29" s="26" t="s">
        <v>8011</v>
      </c>
    </row>
    <row r="30" spans="4:7" x14ac:dyDescent="0.25">
      <c r="D30" s="8" t="s">
        <v>8231</v>
      </c>
      <c r="E30" s="26" t="s">
        <v>3359</v>
      </c>
    </row>
    <row r="31" spans="4:7" x14ac:dyDescent="0.25">
      <c r="D31" s="8" t="s">
        <v>8248</v>
      </c>
      <c r="E31" s="26" t="s">
        <v>3359</v>
      </c>
    </row>
    <row r="32" spans="4:7" x14ac:dyDescent="0.25">
      <c r="D32" s="8" t="s">
        <v>8249</v>
      </c>
      <c r="E32" s="26" t="s">
        <v>3359</v>
      </c>
    </row>
    <row r="33" spans="4:5" x14ac:dyDescent="0.25">
      <c r="D33" s="8" t="s">
        <v>8250</v>
      </c>
      <c r="E33" s="26" t="s">
        <v>3359</v>
      </c>
    </row>
    <row r="34" spans="4:5" x14ac:dyDescent="0.25">
      <c r="D34" s="8" t="s">
        <v>8251</v>
      </c>
      <c r="E34" s="26" t="s">
        <v>3359</v>
      </c>
    </row>
    <row r="35" spans="4:5" x14ac:dyDescent="0.25">
      <c r="D35" s="8" t="s">
        <v>8175</v>
      </c>
      <c r="E35" s="26" t="s">
        <v>3359</v>
      </c>
    </row>
    <row r="36" spans="4:5" x14ac:dyDescent="0.25">
      <c r="D36" s="8" t="s">
        <v>8252</v>
      </c>
      <c r="E36" s="26" t="s">
        <v>3359</v>
      </c>
    </row>
    <row r="37" spans="4:5" x14ac:dyDescent="0.25">
      <c r="D37" s="8" t="s">
        <v>8253</v>
      </c>
      <c r="E37" s="26" t="s">
        <v>3359</v>
      </c>
    </row>
    <row r="38" spans="4:5" x14ac:dyDescent="0.25">
      <c r="D38" s="8" t="s">
        <v>8254</v>
      </c>
      <c r="E38" s="26" t="s">
        <v>3359</v>
      </c>
    </row>
    <row r="39" spans="4:5" x14ac:dyDescent="0.25">
      <c r="D39" s="8" t="s">
        <v>8255</v>
      </c>
      <c r="E39" s="26" t="s">
        <v>3359</v>
      </c>
    </row>
    <row r="40" spans="4:5" x14ac:dyDescent="0.25">
      <c r="D40" s="8" t="s">
        <v>8256</v>
      </c>
      <c r="E40" s="26" t="s">
        <v>3359</v>
      </c>
    </row>
    <row r="41" spans="4:5" x14ac:dyDescent="0.25">
      <c r="D41" s="8" t="s">
        <v>8223</v>
      </c>
      <c r="E41" s="26" t="s">
        <v>3369</v>
      </c>
    </row>
    <row r="42" spans="4:5" x14ac:dyDescent="0.25">
      <c r="D42" s="8" t="s">
        <v>3421</v>
      </c>
      <c r="E42" s="26" t="s">
        <v>3369</v>
      </c>
    </row>
    <row r="43" spans="4:5" x14ac:dyDescent="0.25">
      <c r="D43" s="8" t="s">
        <v>3426</v>
      </c>
      <c r="E43" s="26" t="s">
        <v>3369</v>
      </c>
    </row>
    <row r="44" spans="4:5" x14ac:dyDescent="0.25">
      <c r="D44" s="8" t="s">
        <v>7890</v>
      </c>
      <c r="E44" s="26" t="s">
        <v>3369</v>
      </c>
    </row>
    <row r="45" spans="4:5" x14ac:dyDescent="0.25">
      <c r="D45" s="8" t="s">
        <v>3403</v>
      </c>
      <c r="E45" s="26" t="s">
        <v>3368</v>
      </c>
    </row>
    <row r="46" spans="4:5" ht="15.75" thickBot="1" x14ac:dyDescent="0.3">
      <c r="D46" s="11" t="s">
        <v>7960</v>
      </c>
      <c r="E46" s="27" t="s">
        <v>3368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J37"/>
  <sheetViews>
    <sheetView topLeftCell="A19" zoomScale="80" zoomScaleNormal="80" workbookViewId="0">
      <selection activeCell="AR27" sqref="AR27"/>
    </sheetView>
  </sheetViews>
  <sheetFormatPr defaultRowHeight="15" x14ac:dyDescent="0.25"/>
  <cols>
    <col min="1" max="1" width="15.140625" bestFit="1" customWidth="1"/>
    <col min="2" max="2" width="29.42578125" bestFit="1" customWidth="1"/>
    <col min="4" max="4" width="17.28515625" bestFit="1" customWidth="1"/>
    <col min="5" max="5" width="19.140625" customWidth="1"/>
    <col min="6" max="6" width="25.28515625" customWidth="1"/>
    <col min="7" max="7" width="17.85546875" customWidth="1"/>
    <col min="8" max="8" width="23.140625" customWidth="1"/>
    <col min="9" max="9" width="11.85546875" customWidth="1"/>
    <col min="10" max="10" width="15.85546875" customWidth="1"/>
    <col min="11" max="11" width="14.5703125" customWidth="1"/>
    <col min="12" max="12" width="11.85546875" customWidth="1"/>
    <col min="13" max="13" width="24.85546875" customWidth="1"/>
    <col min="14" max="14" width="16.5703125" customWidth="1"/>
    <col min="15" max="15" width="15.42578125" customWidth="1"/>
    <col min="16" max="16" width="19.5703125" customWidth="1"/>
    <col min="17" max="17" width="15.42578125" customWidth="1"/>
    <col min="18" max="18" width="19.7109375" customWidth="1"/>
    <col min="19" max="19" width="23.140625" customWidth="1"/>
    <col min="20" max="20" width="13.28515625" customWidth="1"/>
    <col min="21" max="21" width="12.5703125" customWidth="1"/>
    <col min="22" max="22" width="15.28515625" bestFit="1" customWidth="1"/>
    <col min="23" max="23" width="17.42578125" bestFit="1" customWidth="1"/>
    <col min="26" max="26" width="25.85546875" bestFit="1" customWidth="1"/>
  </cols>
  <sheetData>
    <row r="1" spans="1:218" x14ac:dyDescent="0.25">
      <c r="A1" t="s">
        <v>3360</v>
      </c>
      <c r="B1" t="s">
        <v>3361</v>
      </c>
      <c r="C1" t="s">
        <v>3379</v>
      </c>
      <c r="D1" s="12" t="s">
        <v>3307</v>
      </c>
      <c r="E1" s="12" t="s">
        <v>3308</v>
      </c>
      <c r="F1" s="12" t="s">
        <v>3309</v>
      </c>
      <c r="G1" s="12" t="s">
        <v>3311</v>
      </c>
      <c r="H1" s="19" t="s">
        <v>3315</v>
      </c>
      <c r="I1" s="7" t="s">
        <v>3362</v>
      </c>
      <c r="J1" s="7" t="s">
        <v>3437</v>
      </c>
      <c r="K1" s="7" t="s">
        <v>8354</v>
      </c>
      <c r="L1" s="7" t="s">
        <v>8355</v>
      </c>
      <c r="M1" s="7" t="s">
        <v>7974</v>
      </c>
      <c r="N1" s="7" t="s">
        <v>7981</v>
      </c>
      <c r="O1" s="7" t="s">
        <v>7977</v>
      </c>
      <c r="P1" s="7" t="s">
        <v>7978</v>
      </c>
      <c r="Q1" s="7" t="s">
        <v>7979</v>
      </c>
      <c r="R1" s="7" t="s">
        <v>7980</v>
      </c>
      <c r="S1" s="7" t="s">
        <v>7991</v>
      </c>
      <c r="T1" s="7" t="s">
        <v>8232</v>
      </c>
      <c r="U1" s="7" t="s">
        <v>8233</v>
      </c>
      <c r="V1" s="7" t="s">
        <v>8304</v>
      </c>
      <c r="W1" s="7" t="s">
        <v>8357</v>
      </c>
      <c r="X1" s="7" t="s">
        <v>3350</v>
      </c>
      <c r="Y1" s="7" t="s">
        <v>3351</v>
      </c>
      <c r="Z1" s="166" t="s">
        <v>3314</v>
      </c>
      <c r="AA1" s="7"/>
      <c r="AB1" s="7"/>
      <c r="AC1" s="7"/>
      <c r="AD1" s="7">
        <f>COLUMN()</f>
        <v>30</v>
      </c>
      <c r="AE1">
        <v>2</v>
      </c>
      <c r="AF1">
        <f>AE1+1</f>
        <v>3</v>
      </c>
      <c r="AG1">
        <f t="shared" ref="AG1:AX1" si="0">AF1+1</f>
        <v>4</v>
      </c>
      <c r="AH1">
        <f t="shared" si="0"/>
        <v>5</v>
      </c>
      <c r="AI1">
        <f t="shared" si="0"/>
        <v>6</v>
      </c>
      <c r="AJ1">
        <f t="shared" si="0"/>
        <v>7</v>
      </c>
      <c r="AK1">
        <f t="shared" si="0"/>
        <v>8</v>
      </c>
      <c r="AL1">
        <f t="shared" si="0"/>
        <v>9</v>
      </c>
      <c r="AM1">
        <f t="shared" si="0"/>
        <v>10</v>
      </c>
      <c r="AN1">
        <f t="shared" si="0"/>
        <v>11</v>
      </c>
      <c r="AO1">
        <f t="shared" si="0"/>
        <v>12</v>
      </c>
      <c r="AP1">
        <f t="shared" si="0"/>
        <v>13</v>
      </c>
      <c r="AQ1">
        <f t="shared" si="0"/>
        <v>14</v>
      </c>
      <c r="AR1">
        <f t="shared" si="0"/>
        <v>15</v>
      </c>
      <c r="AS1">
        <f t="shared" si="0"/>
        <v>16</v>
      </c>
      <c r="AT1">
        <f t="shared" si="0"/>
        <v>17</v>
      </c>
      <c r="AU1">
        <f t="shared" si="0"/>
        <v>18</v>
      </c>
      <c r="AV1">
        <f t="shared" si="0"/>
        <v>19</v>
      </c>
      <c r="AW1">
        <f t="shared" si="0"/>
        <v>20</v>
      </c>
      <c r="AX1">
        <f t="shared" si="0"/>
        <v>21</v>
      </c>
    </row>
    <row r="2" spans="1:218" x14ac:dyDescent="0.25">
      <c r="A2" t="s">
        <v>8305</v>
      </c>
      <c r="B2" t="s">
        <v>3389</v>
      </c>
      <c r="C2" t="s">
        <v>3388</v>
      </c>
      <c r="D2" t="s">
        <v>3383</v>
      </c>
      <c r="E2" t="s">
        <v>3357</v>
      </c>
      <c r="F2" s="20">
        <v>41729</v>
      </c>
      <c r="G2" s="21">
        <v>8636</v>
      </c>
      <c r="H2" s="21">
        <v>172737.8</v>
      </c>
      <c r="I2" t="s">
        <v>3363</v>
      </c>
      <c r="J2" s="20"/>
      <c r="K2" s="20"/>
      <c r="L2" s="20"/>
      <c r="M2" s="20"/>
      <c r="N2" s="21"/>
      <c r="O2" s="20"/>
      <c r="P2" s="20"/>
      <c r="Q2" s="20"/>
      <c r="R2" s="20"/>
      <c r="S2" s="21"/>
      <c r="U2" s="21"/>
      <c r="V2" t="s">
        <v>8344</v>
      </c>
      <c r="W2" t="s">
        <v>8368</v>
      </c>
      <c r="X2">
        <v>312.3</v>
      </c>
      <c r="Y2">
        <v>832180</v>
      </c>
      <c r="Z2" s="21">
        <v>172737.8</v>
      </c>
      <c r="AD2" s="22" t="s">
        <v>8013</v>
      </c>
      <c r="AE2" t="s">
        <v>3390</v>
      </c>
      <c r="AF2" t="s">
        <v>56</v>
      </c>
      <c r="AG2" t="s">
        <v>14</v>
      </c>
      <c r="AH2">
        <v>77079</v>
      </c>
      <c r="AI2" t="s">
        <v>41</v>
      </c>
      <c r="AK2" t="s">
        <v>3343</v>
      </c>
      <c r="AL2" t="s">
        <v>3380</v>
      </c>
      <c r="AM2" t="s">
        <v>3381</v>
      </c>
      <c r="AN2" t="s">
        <v>3382</v>
      </c>
      <c r="AO2" t="s">
        <v>3394</v>
      </c>
      <c r="AP2">
        <v>188575</v>
      </c>
      <c r="AQ2" t="s">
        <v>3395</v>
      </c>
      <c r="AR2" t="s">
        <v>3396</v>
      </c>
      <c r="AS2">
        <v>60.16</v>
      </c>
      <c r="AT2">
        <v>160292</v>
      </c>
      <c r="AU2">
        <v>260</v>
      </c>
      <c r="AV2">
        <v>0.11</v>
      </c>
      <c r="AW2">
        <v>33273.72</v>
      </c>
      <c r="AX2" t="s">
        <v>3370</v>
      </c>
      <c r="AY2" s="22" t="s">
        <v>8013</v>
      </c>
      <c r="AZ2" t="s">
        <v>3391</v>
      </c>
      <c r="BA2" t="s">
        <v>56</v>
      </c>
      <c r="BB2" t="s">
        <v>14</v>
      </c>
      <c r="BC2">
        <v>77079</v>
      </c>
      <c r="BD2" t="s">
        <v>41</v>
      </c>
      <c r="BF2" t="s">
        <v>3343</v>
      </c>
      <c r="BG2" t="s">
        <v>3380</v>
      </c>
      <c r="BH2" t="s">
        <v>3381</v>
      </c>
      <c r="BI2" t="s">
        <v>3382</v>
      </c>
      <c r="BJ2" t="s">
        <v>3394</v>
      </c>
      <c r="BK2">
        <v>183268</v>
      </c>
      <c r="BL2" t="s">
        <v>3395</v>
      </c>
      <c r="BM2" t="s">
        <v>3396</v>
      </c>
      <c r="BN2">
        <v>101.02</v>
      </c>
      <c r="BO2">
        <v>269192</v>
      </c>
      <c r="BP2">
        <v>260</v>
      </c>
      <c r="BQ2">
        <v>0.11</v>
      </c>
      <c r="BR2">
        <v>55876.32</v>
      </c>
      <c r="BS2" t="s">
        <v>3370</v>
      </c>
      <c r="BT2" s="22" t="s">
        <v>8013</v>
      </c>
      <c r="BU2" t="s">
        <v>3392</v>
      </c>
      <c r="BV2" t="s">
        <v>56</v>
      </c>
      <c r="BW2" t="s">
        <v>14</v>
      </c>
      <c r="BX2">
        <v>77027</v>
      </c>
      <c r="BY2" t="s">
        <v>41</v>
      </c>
      <c r="CA2" t="s">
        <v>3343</v>
      </c>
      <c r="CB2" t="s">
        <v>3380</v>
      </c>
      <c r="CC2" t="s">
        <v>3381</v>
      </c>
      <c r="CD2" t="s">
        <v>3382</v>
      </c>
      <c r="CE2" t="s">
        <v>3394</v>
      </c>
      <c r="CF2">
        <v>233871</v>
      </c>
      <c r="CG2" t="s">
        <v>3395</v>
      </c>
      <c r="CH2" t="s">
        <v>3396</v>
      </c>
      <c r="CI2">
        <v>50.1</v>
      </c>
      <c r="CJ2">
        <v>133504</v>
      </c>
      <c r="CK2">
        <v>260</v>
      </c>
      <c r="CL2">
        <v>0.11</v>
      </c>
      <c r="CM2">
        <v>27711.440000000002</v>
      </c>
      <c r="CN2" t="s">
        <v>3370</v>
      </c>
      <c r="CO2" s="22" t="s">
        <v>8013</v>
      </c>
      <c r="CP2" t="s">
        <v>3393</v>
      </c>
      <c r="CQ2" t="s">
        <v>56</v>
      </c>
      <c r="CR2" t="s">
        <v>14</v>
      </c>
      <c r="CS2">
        <v>77079</v>
      </c>
      <c r="CT2" t="s">
        <v>41</v>
      </c>
      <c r="CV2" t="s">
        <v>3343</v>
      </c>
      <c r="CW2" t="s">
        <v>3380</v>
      </c>
      <c r="CX2" t="s">
        <v>3381</v>
      </c>
      <c r="CY2" t="s">
        <v>3382</v>
      </c>
      <c r="CZ2" t="s">
        <v>3394</v>
      </c>
      <c r="DA2">
        <v>194465</v>
      </c>
      <c r="DB2" t="s">
        <v>3395</v>
      </c>
      <c r="DC2" t="s">
        <v>3396</v>
      </c>
      <c r="DD2">
        <v>101.02</v>
      </c>
      <c r="DE2">
        <v>269192</v>
      </c>
      <c r="DF2">
        <v>260</v>
      </c>
      <c r="DG2">
        <v>0.11</v>
      </c>
      <c r="DH2">
        <v>55876.32</v>
      </c>
      <c r="DI2" t="s">
        <v>3370</v>
      </c>
    </row>
    <row r="3" spans="1:218" x14ac:dyDescent="0.25">
      <c r="A3" t="s">
        <v>8311</v>
      </c>
      <c r="B3" t="s">
        <v>3397</v>
      </c>
      <c r="C3" t="s">
        <v>7951</v>
      </c>
      <c r="D3" t="s">
        <v>3383</v>
      </c>
      <c r="E3" t="s">
        <v>3356</v>
      </c>
      <c r="F3" s="20">
        <v>41730</v>
      </c>
      <c r="G3" s="21">
        <v>1349.93</v>
      </c>
      <c r="H3" s="21">
        <v>27712.46</v>
      </c>
      <c r="I3" t="s">
        <v>3363</v>
      </c>
      <c r="J3" s="20">
        <v>41666</v>
      </c>
      <c r="K3" s="20">
        <v>41669</v>
      </c>
      <c r="L3" s="20">
        <v>41675</v>
      </c>
      <c r="M3" s="20">
        <v>41786</v>
      </c>
      <c r="N3" s="21">
        <v>104516</v>
      </c>
      <c r="O3" s="20">
        <v>41786</v>
      </c>
      <c r="P3" s="20">
        <v>41787</v>
      </c>
      <c r="Q3" s="20">
        <v>41829</v>
      </c>
      <c r="R3" s="20">
        <v>41813</v>
      </c>
      <c r="S3" s="21">
        <v>27712.46</v>
      </c>
      <c r="T3" t="s">
        <v>8234</v>
      </c>
      <c r="U3" s="21">
        <v>0</v>
      </c>
      <c r="V3" t="s">
        <v>8343</v>
      </c>
      <c r="W3" t="s">
        <v>8358</v>
      </c>
      <c r="X3">
        <v>38.369999999999997</v>
      </c>
      <c r="Y3">
        <v>251328</v>
      </c>
      <c r="Z3" s="21">
        <v>28163.94</v>
      </c>
      <c r="AD3" s="22" t="s">
        <v>7905</v>
      </c>
      <c r="AE3" t="s">
        <v>3399</v>
      </c>
      <c r="AF3" t="s">
        <v>13</v>
      </c>
      <c r="AG3" t="s">
        <v>14</v>
      </c>
      <c r="AH3">
        <v>77054</v>
      </c>
      <c r="AI3" t="s">
        <v>41</v>
      </c>
      <c r="AK3" t="s">
        <v>3340</v>
      </c>
      <c r="AL3" t="s">
        <v>3397</v>
      </c>
      <c r="AM3" t="s">
        <v>3381</v>
      </c>
      <c r="AN3" t="s">
        <v>3400</v>
      </c>
      <c r="AO3" t="s">
        <v>2483</v>
      </c>
      <c r="AP3">
        <v>100000</v>
      </c>
      <c r="AQ3" t="s">
        <v>7907</v>
      </c>
      <c r="AR3" t="s">
        <v>3398</v>
      </c>
      <c r="AS3">
        <v>38.369999999999997</v>
      </c>
      <c r="AT3">
        <v>251328</v>
      </c>
      <c r="AU3">
        <v>210</v>
      </c>
      <c r="AV3">
        <v>0.08</v>
      </c>
      <c r="AW3">
        <v>28163.940000000002</v>
      </c>
      <c r="AX3" t="s">
        <v>3359</v>
      </c>
      <c r="AY3" s="22"/>
      <c r="BT3" s="22"/>
    </row>
    <row r="4" spans="1:218" x14ac:dyDescent="0.25">
      <c r="A4" t="s">
        <v>8306</v>
      </c>
      <c r="B4" t="s">
        <v>3401</v>
      </c>
      <c r="C4" t="s">
        <v>3405</v>
      </c>
      <c r="D4" t="s">
        <v>3404</v>
      </c>
      <c r="E4" t="s">
        <v>3356</v>
      </c>
      <c r="F4" s="20">
        <v>41730</v>
      </c>
      <c r="G4" s="21">
        <v>1400</v>
      </c>
      <c r="H4" s="21">
        <v>22793.84</v>
      </c>
      <c r="I4" t="s">
        <v>3363</v>
      </c>
      <c r="J4" s="20">
        <v>41667</v>
      </c>
      <c r="K4" s="20">
        <v>1</v>
      </c>
      <c r="L4" s="20">
        <v>41682</v>
      </c>
      <c r="M4" s="20">
        <v>41690</v>
      </c>
      <c r="N4" s="21">
        <v>93771.56</v>
      </c>
      <c r="O4" s="20">
        <v>41690</v>
      </c>
      <c r="P4" s="20">
        <v>41696</v>
      </c>
      <c r="Q4" s="20">
        <v>41723</v>
      </c>
      <c r="R4" s="20">
        <v>1</v>
      </c>
      <c r="S4" s="21"/>
      <c r="T4" t="s">
        <v>8234</v>
      </c>
      <c r="U4" s="21">
        <v>0</v>
      </c>
      <c r="V4" t="s">
        <v>8344</v>
      </c>
      <c r="W4" t="s">
        <v>8369</v>
      </c>
      <c r="X4">
        <v>48.46</v>
      </c>
      <c r="Y4">
        <v>424466</v>
      </c>
      <c r="Z4" s="21">
        <v>22793.84</v>
      </c>
      <c r="AD4" s="22" t="s">
        <v>8013</v>
      </c>
      <c r="AE4" t="s">
        <v>3406</v>
      </c>
      <c r="AF4" t="s">
        <v>13</v>
      </c>
      <c r="AG4" t="s">
        <v>14</v>
      </c>
      <c r="AH4">
        <v>77086</v>
      </c>
      <c r="AI4" t="s">
        <v>41</v>
      </c>
      <c r="AK4" t="s">
        <v>3327</v>
      </c>
      <c r="AL4" t="s">
        <v>3402</v>
      </c>
      <c r="AM4" t="s">
        <v>3407</v>
      </c>
      <c r="AN4" t="s">
        <v>3403</v>
      </c>
      <c r="AO4" t="s">
        <v>2750</v>
      </c>
      <c r="AP4">
        <v>211200</v>
      </c>
      <c r="AQ4" t="s">
        <v>3408</v>
      </c>
      <c r="AR4" t="s">
        <v>1341</v>
      </c>
      <c r="AS4">
        <v>48.46</v>
      </c>
      <c r="AT4">
        <v>424466</v>
      </c>
      <c r="AU4">
        <v>120</v>
      </c>
      <c r="AV4">
        <v>0.04</v>
      </c>
      <c r="AW4">
        <v>22793.84</v>
      </c>
      <c r="AX4" t="s">
        <v>3368</v>
      </c>
      <c r="AY4" s="22"/>
      <c r="BT4" s="22"/>
    </row>
    <row r="5" spans="1:218" x14ac:dyDescent="0.25">
      <c r="A5" t="s">
        <v>8307</v>
      </c>
      <c r="B5" t="s">
        <v>3410</v>
      </c>
      <c r="C5" t="s">
        <v>3415</v>
      </c>
      <c r="D5" t="s">
        <v>3383</v>
      </c>
      <c r="E5" t="s">
        <v>3356</v>
      </c>
      <c r="F5" s="20">
        <v>41685</v>
      </c>
      <c r="G5" s="21">
        <v>373</v>
      </c>
      <c r="H5" s="21">
        <v>7461.58</v>
      </c>
      <c r="I5" t="s">
        <v>3363</v>
      </c>
      <c r="J5" s="20">
        <v>41655</v>
      </c>
      <c r="K5" s="20">
        <v>41670</v>
      </c>
      <c r="L5" s="20">
        <v>41677</v>
      </c>
      <c r="M5" s="20">
        <v>41757</v>
      </c>
      <c r="N5" s="21">
        <v>18578.740000000002</v>
      </c>
      <c r="O5" s="20">
        <v>41739</v>
      </c>
      <c r="P5" s="20">
        <v>41745</v>
      </c>
      <c r="Q5" s="20">
        <v>41757</v>
      </c>
      <c r="R5" s="20">
        <v>41739</v>
      </c>
      <c r="S5" s="21">
        <v>4678.78</v>
      </c>
      <c r="T5" t="s">
        <v>8234</v>
      </c>
      <c r="U5" s="21">
        <v>0</v>
      </c>
      <c r="V5" t="s">
        <v>8343</v>
      </c>
      <c r="W5" t="s">
        <v>8359</v>
      </c>
      <c r="X5">
        <v>10.78</v>
      </c>
      <c r="Y5">
        <v>84505</v>
      </c>
      <c r="Z5" s="21">
        <v>4678.78</v>
      </c>
      <c r="AD5" s="22" t="s">
        <v>8013</v>
      </c>
      <c r="AE5" t="s">
        <v>3409</v>
      </c>
      <c r="AF5" t="s">
        <v>885</v>
      </c>
      <c r="AG5" t="s">
        <v>14</v>
      </c>
      <c r="AH5">
        <v>77493</v>
      </c>
      <c r="AI5" t="s">
        <v>41</v>
      </c>
      <c r="AK5" t="s">
        <v>3327</v>
      </c>
      <c r="AL5" t="s">
        <v>3411</v>
      </c>
      <c r="AM5" t="s">
        <v>3381</v>
      </c>
      <c r="AN5" t="s">
        <v>3412</v>
      </c>
      <c r="AO5" t="s">
        <v>8043</v>
      </c>
      <c r="AP5">
        <v>25000</v>
      </c>
      <c r="AQ5" t="s">
        <v>8044</v>
      </c>
      <c r="AR5" t="s">
        <v>8042</v>
      </c>
      <c r="AS5">
        <v>10.77</v>
      </c>
      <c r="AT5">
        <v>84403</v>
      </c>
      <c r="AU5">
        <v>120</v>
      </c>
      <c r="AV5">
        <v>0.04</v>
      </c>
      <c r="AW5">
        <v>4668.5199999999995</v>
      </c>
      <c r="AX5" t="s">
        <v>3371</v>
      </c>
      <c r="AY5" s="22" t="s">
        <v>8013</v>
      </c>
      <c r="AZ5" t="s">
        <v>3409</v>
      </c>
      <c r="BA5" t="s">
        <v>885</v>
      </c>
      <c r="BB5" t="s">
        <v>14</v>
      </c>
      <c r="BC5">
        <v>77493</v>
      </c>
      <c r="BD5" t="s">
        <v>41</v>
      </c>
      <c r="BF5" t="s">
        <v>3340</v>
      </c>
      <c r="BG5" t="s">
        <v>3411</v>
      </c>
      <c r="BH5" t="s">
        <v>3381</v>
      </c>
      <c r="BI5" t="s">
        <v>3412</v>
      </c>
      <c r="BJ5" t="s">
        <v>8043</v>
      </c>
      <c r="BK5">
        <v>25000</v>
      </c>
      <c r="BL5" t="s">
        <v>8044</v>
      </c>
      <c r="BM5" t="s">
        <v>8042</v>
      </c>
      <c r="BN5">
        <v>0.01</v>
      </c>
      <c r="BO5">
        <v>102</v>
      </c>
      <c r="BP5">
        <v>210</v>
      </c>
      <c r="BQ5">
        <v>0.08</v>
      </c>
      <c r="BR5">
        <v>10.26</v>
      </c>
      <c r="BS5" t="s">
        <v>3371</v>
      </c>
      <c r="BT5" s="22"/>
    </row>
    <row r="6" spans="1:218" x14ac:dyDescent="0.25">
      <c r="A6" t="s">
        <v>8308</v>
      </c>
      <c r="B6" t="s">
        <v>3416</v>
      </c>
      <c r="C6" t="s">
        <v>3417</v>
      </c>
      <c r="D6" t="s">
        <v>3404</v>
      </c>
      <c r="E6" t="s">
        <v>3358</v>
      </c>
      <c r="F6" s="20">
        <v>41698</v>
      </c>
      <c r="G6" s="21">
        <v>1426.45</v>
      </c>
      <c r="H6" s="21"/>
      <c r="I6" t="s">
        <v>3363</v>
      </c>
      <c r="J6" s="20">
        <v>41655</v>
      </c>
      <c r="K6" s="20"/>
      <c r="L6" s="20"/>
      <c r="M6" s="20"/>
      <c r="N6" s="21"/>
      <c r="O6" s="20"/>
      <c r="P6" s="20"/>
      <c r="Q6" s="20"/>
      <c r="R6" s="20"/>
      <c r="S6" s="21"/>
      <c r="T6" t="s">
        <v>8234</v>
      </c>
      <c r="U6" s="21">
        <v>0</v>
      </c>
      <c r="V6" t="s">
        <v>8339</v>
      </c>
      <c r="W6" t="s">
        <v>8360</v>
      </c>
      <c r="X6">
        <v>100.22</v>
      </c>
      <c r="Y6">
        <v>284341</v>
      </c>
      <c r="Z6" s="21">
        <v>33068.49</v>
      </c>
      <c r="AD6" s="22" t="s">
        <v>3424</v>
      </c>
      <c r="AE6" t="s">
        <v>3423</v>
      </c>
      <c r="AF6" t="s">
        <v>13</v>
      </c>
      <c r="AG6" t="s">
        <v>14</v>
      </c>
      <c r="AH6">
        <v>77070</v>
      </c>
      <c r="AI6" t="s">
        <v>41</v>
      </c>
      <c r="AK6" t="s">
        <v>3327</v>
      </c>
      <c r="AL6" t="s">
        <v>3425</v>
      </c>
      <c r="AM6" t="s">
        <v>3381</v>
      </c>
      <c r="AN6" t="s">
        <v>3426</v>
      </c>
      <c r="AO6" t="s">
        <v>2179</v>
      </c>
      <c r="AP6">
        <v>29258</v>
      </c>
      <c r="AQ6" t="s">
        <v>1629</v>
      </c>
      <c r="AR6" t="s">
        <v>1632</v>
      </c>
      <c r="AS6">
        <v>13.89</v>
      </c>
      <c r="AT6">
        <v>58578</v>
      </c>
      <c r="AU6">
        <v>120</v>
      </c>
      <c r="AV6">
        <v>0.04</v>
      </c>
      <c r="AW6">
        <v>4009.92</v>
      </c>
      <c r="AX6" t="s">
        <v>3369</v>
      </c>
      <c r="AY6" s="22" t="s">
        <v>3418</v>
      </c>
      <c r="AZ6" t="s">
        <v>3419</v>
      </c>
      <c r="BA6" t="s">
        <v>13</v>
      </c>
      <c r="BB6" t="s">
        <v>14</v>
      </c>
      <c r="BC6">
        <v>77070</v>
      </c>
      <c r="BD6" t="s">
        <v>41</v>
      </c>
      <c r="BF6" t="s">
        <v>3327</v>
      </c>
      <c r="BG6" t="s">
        <v>3420</v>
      </c>
      <c r="BH6" t="s">
        <v>3381</v>
      </c>
      <c r="BI6" t="s">
        <v>3421</v>
      </c>
      <c r="BJ6" t="s">
        <v>2179</v>
      </c>
      <c r="BK6">
        <v>44987</v>
      </c>
      <c r="BL6" t="s">
        <v>1629</v>
      </c>
      <c r="BM6" t="s">
        <v>1632</v>
      </c>
      <c r="BN6">
        <v>27.56</v>
      </c>
      <c r="BO6">
        <v>107235</v>
      </c>
      <c r="BP6">
        <v>120</v>
      </c>
      <c r="BQ6">
        <v>0.04</v>
      </c>
      <c r="BR6">
        <v>7596.5999999999995</v>
      </c>
      <c r="BS6" t="s">
        <v>3369</v>
      </c>
      <c r="BT6" s="22" t="s">
        <v>3427</v>
      </c>
      <c r="BU6" t="s">
        <v>3428</v>
      </c>
      <c r="BV6" t="s">
        <v>13</v>
      </c>
      <c r="BW6" t="s">
        <v>14</v>
      </c>
      <c r="BX6">
        <v>77070</v>
      </c>
      <c r="BY6" t="s">
        <v>41</v>
      </c>
      <c r="CA6" t="s">
        <v>3327</v>
      </c>
      <c r="CB6" t="s">
        <v>3429</v>
      </c>
      <c r="CC6" t="s">
        <v>3381</v>
      </c>
      <c r="CD6" t="s">
        <v>3426</v>
      </c>
      <c r="CE6" t="s">
        <v>2179</v>
      </c>
      <c r="CF6">
        <v>18300</v>
      </c>
      <c r="CG6" t="s">
        <v>1629</v>
      </c>
      <c r="CH6" t="s">
        <v>1632</v>
      </c>
      <c r="CI6">
        <v>10.01</v>
      </c>
      <c r="CJ6">
        <v>42183</v>
      </c>
      <c r="CK6">
        <v>120</v>
      </c>
      <c r="CL6">
        <v>0.04</v>
      </c>
      <c r="CM6">
        <v>2888.52</v>
      </c>
      <c r="CN6" t="s">
        <v>3369</v>
      </c>
      <c r="CO6" s="22" t="s">
        <v>3424</v>
      </c>
      <c r="CP6" t="s">
        <v>3423</v>
      </c>
      <c r="CQ6" t="s">
        <v>13</v>
      </c>
      <c r="CR6" t="s">
        <v>14</v>
      </c>
      <c r="CS6">
        <v>77070</v>
      </c>
      <c r="CT6" t="s">
        <v>41</v>
      </c>
      <c r="CV6" t="s">
        <v>3344</v>
      </c>
      <c r="CW6" t="s">
        <v>3425</v>
      </c>
      <c r="CX6" t="s">
        <v>3381</v>
      </c>
      <c r="CY6" t="s">
        <v>3426</v>
      </c>
      <c r="CZ6" t="s">
        <v>2179</v>
      </c>
      <c r="DA6">
        <v>29258</v>
      </c>
      <c r="DB6" t="s">
        <v>1629</v>
      </c>
      <c r="DC6" t="s">
        <v>1632</v>
      </c>
      <c r="DD6">
        <v>9.41</v>
      </c>
      <c r="DE6">
        <v>14736</v>
      </c>
      <c r="DF6">
        <v>240</v>
      </c>
      <c r="DG6">
        <v>0.09</v>
      </c>
      <c r="DH6">
        <v>3584.6400000000003</v>
      </c>
      <c r="DI6" t="s">
        <v>3369</v>
      </c>
      <c r="DJ6" s="22" t="s">
        <v>3418</v>
      </c>
      <c r="DK6" t="s">
        <v>3419</v>
      </c>
      <c r="DL6" t="s">
        <v>13</v>
      </c>
      <c r="DM6" t="s">
        <v>14</v>
      </c>
      <c r="DN6">
        <v>77070</v>
      </c>
      <c r="DO6" t="s">
        <v>41</v>
      </c>
      <c r="DQ6" t="s">
        <v>3344</v>
      </c>
      <c r="DR6" t="s">
        <v>3420</v>
      </c>
      <c r="DS6" t="s">
        <v>3381</v>
      </c>
      <c r="DT6" t="s">
        <v>3421</v>
      </c>
      <c r="DU6" t="s">
        <v>2179</v>
      </c>
      <c r="DV6">
        <v>44987</v>
      </c>
      <c r="DW6" t="s">
        <v>1629</v>
      </c>
      <c r="DX6" t="s">
        <v>1632</v>
      </c>
      <c r="DY6">
        <v>26.32</v>
      </c>
      <c r="DZ6">
        <v>41207</v>
      </c>
      <c r="EA6">
        <v>240</v>
      </c>
      <c r="EB6">
        <v>0.09</v>
      </c>
      <c r="EC6">
        <v>10025.43</v>
      </c>
      <c r="ED6" t="s">
        <v>3369</v>
      </c>
      <c r="EE6" s="22" t="s">
        <v>3427</v>
      </c>
      <c r="EF6" t="s">
        <v>3428</v>
      </c>
      <c r="EG6" t="s">
        <v>13</v>
      </c>
      <c r="EH6" t="s">
        <v>14</v>
      </c>
      <c r="EI6">
        <v>77070</v>
      </c>
      <c r="EJ6" t="s">
        <v>41</v>
      </c>
      <c r="EL6" t="s">
        <v>3344</v>
      </c>
      <c r="EM6" t="s">
        <v>3429</v>
      </c>
      <c r="EN6" t="s">
        <v>3381</v>
      </c>
      <c r="EO6" t="s">
        <v>3426</v>
      </c>
      <c r="EP6" t="s">
        <v>2179</v>
      </c>
      <c r="EQ6">
        <v>18300</v>
      </c>
      <c r="ER6" t="s">
        <v>1629</v>
      </c>
      <c r="ES6" t="s">
        <v>1632</v>
      </c>
      <c r="ET6">
        <v>6.52</v>
      </c>
      <c r="EU6">
        <v>10201</v>
      </c>
      <c r="EV6">
        <v>240</v>
      </c>
      <c r="EW6">
        <v>0.09</v>
      </c>
      <c r="EX6">
        <v>2482.89</v>
      </c>
      <c r="EY6" t="s">
        <v>3369</v>
      </c>
      <c r="EZ6" s="22" t="s">
        <v>3427</v>
      </c>
      <c r="FA6" t="s">
        <v>3428</v>
      </c>
      <c r="FB6" t="s">
        <v>13</v>
      </c>
      <c r="FC6" t="s">
        <v>14</v>
      </c>
      <c r="FD6">
        <v>77070</v>
      </c>
      <c r="FE6" t="s">
        <v>41</v>
      </c>
      <c r="FG6" t="s">
        <v>3344</v>
      </c>
      <c r="FH6" t="s">
        <v>3430</v>
      </c>
      <c r="FI6" t="s">
        <v>3381</v>
      </c>
      <c r="FJ6" t="s">
        <v>3422</v>
      </c>
      <c r="FK6" t="s">
        <v>2179</v>
      </c>
      <c r="FL6">
        <v>18300</v>
      </c>
      <c r="FM6" t="s">
        <v>1629</v>
      </c>
      <c r="FN6" t="s">
        <v>1632</v>
      </c>
      <c r="FO6">
        <v>6.5100000000000007</v>
      </c>
      <c r="FP6">
        <v>10201</v>
      </c>
      <c r="FQ6">
        <v>240</v>
      </c>
      <c r="FR6">
        <v>0.09</v>
      </c>
      <c r="FS6">
        <v>2480.4899999999998</v>
      </c>
      <c r="FT6" t="s">
        <v>3369</v>
      </c>
    </row>
    <row r="7" spans="1:218" x14ac:dyDescent="0.25">
      <c r="A7" t="s">
        <v>8309</v>
      </c>
      <c r="B7" t="s">
        <v>3433</v>
      </c>
      <c r="C7" t="s">
        <v>3435</v>
      </c>
      <c r="D7" t="s">
        <v>3383</v>
      </c>
      <c r="E7" t="s">
        <v>3356</v>
      </c>
      <c r="F7" s="20">
        <v>41698</v>
      </c>
      <c r="G7" s="21">
        <v>0</v>
      </c>
      <c r="H7" s="21">
        <v>4918.18</v>
      </c>
      <c r="J7" s="20"/>
      <c r="K7" s="20"/>
      <c r="L7" s="20"/>
      <c r="M7" s="20"/>
      <c r="N7" s="21"/>
      <c r="O7" s="20"/>
      <c r="P7" s="20"/>
      <c r="Q7" s="20"/>
      <c r="R7" s="20"/>
      <c r="S7" s="21"/>
      <c r="T7" t="s">
        <v>8234</v>
      </c>
      <c r="U7" s="21">
        <v>0</v>
      </c>
      <c r="V7" t="s">
        <v>8340</v>
      </c>
      <c r="W7" t="s">
        <v>8361</v>
      </c>
      <c r="X7">
        <v>5.85</v>
      </c>
      <c r="Y7">
        <v>46121</v>
      </c>
      <c r="Z7" s="21">
        <v>4918.18</v>
      </c>
      <c r="AD7" s="22" t="s">
        <v>3432</v>
      </c>
      <c r="AE7" t="s">
        <v>3431</v>
      </c>
      <c r="AF7" t="s">
        <v>1817</v>
      </c>
      <c r="AG7" t="s">
        <v>14</v>
      </c>
      <c r="AH7">
        <v>77479</v>
      </c>
      <c r="AI7" t="s">
        <v>41</v>
      </c>
      <c r="AK7" t="s">
        <v>3340</v>
      </c>
      <c r="AL7" t="s">
        <v>3433</v>
      </c>
      <c r="AM7" t="s">
        <v>3381</v>
      </c>
      <c r="AN7" t="s">
        <v>3434</v>
      </c>
      <c r="AO7" t="s">
        <v>3436</v>
      </c>
      <c r="AP7">
        <v>40000</v>
      </c>
      <c r="AQ7" t="s">
        <v>1243</v>
      </c>
      <c r="AR7" t="s">
        <v>1248</v>
      </c>
      <c r="AS7">
        <v>5.85</v>
      </c>
      <c r="AT7">
        <v>46121</v>
      </c>
      <c r="AU7">
        <v>210</v>
      </c>
      <c r="AV7">
        <v>0.08</v>
      </c>
      <c r="AW7">
        <v>4918.18</v>
      </c>
      <c r="AX7" t="s">
        <v>3372</v>
      </c>
      <c r="AY7" s="22"/>
      <c r="BT7" s="22"/>
    </row>
    <row r="8" spans="1:218" x14ac:dyDescent="0.25">
      <c r="A8" t="s">
        <v>8312</v>
      </c>
      <c r="B8" t="s">
        <v>7824</v>
      </c>
      <c r="C8" t="s">
        <v>3405</v>
      </c>
      <c r="D8" t="s">
        <v>3383</v>
      </c>
      <c r="E8" t="s">
        <v>3356</v>
      </c>
      <c r="F8" s="20">
        <v>41729</v>
      </c>
      <c r="G8" s="21">
        <v>674</v>
      </c>
      <c r="H8" s="21">
        <v>13472.2</v>
      </c>
      <c r="I8" t="s">
        <v>3364</v>
      </c>
      <c r="J8" s="20">
        <v>41648</v>
      </c>
      <c r="K8" s="20">
        <v>41655</v>
      </c>
      <c r="L8" s="20">
        <v>41670</v>
      </c>
      <c r="M8" s="20">
        <v>41698</v>
      </c>
      <c r="N8" s="21">
        <v>188280.88</v>
      </c>
      <c r="O8" s="20">
        <v>41698</v>
      </c>
      <c r="P8" s="20">
        <v>41710</v>
      </c>
      <c r="Q8" s="20">
        <v>41712</v>
      </c>
      <c r="R8" s="20">
        <v>41711</v>
      </c>
      <c r="S8" s="21"/>
      <c r="T8" t="s">
        <v>8234</v>
      </c>
      <c r="U8" s="21">
        <v>0</v>
      </c>
      <c r="V8" t="s">
        <v>8344</v>
      </c>
      <c r="W8" t="s">
        <v>8369</v>
      </c>
      <c r="X8">
        <v>43.34</v>
      </c>
      <c r="Y8">
        <v>206785</v>
      </c>
      <c r="Z8" s="21">
        <v>13472.2</v>
      </c>
      <c r="AD8" s="22" t="s">
        <v>7827</v>
      </c>
      <c r="AE8" t="s">
        <v>7828</v>
      </c>
      <c r="AF8" t="s">
        <v>13</v>
      </c>
      <c r="AG8" t="s">
        <v>14</v>
      </c>
      <c r="AH8">
        <v>77058</v>
      </c>
      <c r="AI8" t="s">
        <v>41</v>
      </c>
      <c r="AK8" t="s">
        <v>3327</v>
      </c>
      <c r="AL8" t="s">
        <v>7825</v>
      </c>
      <c r="AM8" t="s">
        <v>3381</v>
      </c>
      <c r="AN8" t="s">
        <v>7826</v>
      </c>
      <c r="AO8" t="s">
        <v>7829</v>
      </c>
      <c r="AP8">
        <v>67194</v>
      </c>
      <c r="AQ8" t="s">
        <v>921</v>
      </c>
      <c r="AR8" t="s">
        <v>7830</v>
      </c>
      <c r="AS8">
        <v>43.34</v>
      </c>
      <c r="AT8">
        <v>206785</v>
      </c>
      <c r="AU8">
        <v>120</v>
      </c>
      <c r="AV8">
        <v>0.04</v>
      </c>
      <c r="AW8">
        <v>13472.2</v>
      </c>
      <c r="AX8" t="s">
        <v>3370</v>
      </c>
      <c r="AY8" s="22"/>
      <c r="BT8" s="22"/>
    </row>
    <row r="9" spans="1:218" x14ac:dyDescent="0.25">
      <c r="A9" t="s">
        <v>8310</v>
      </c>
      <c r="B9" t="s">
        <v>7824</v>
      </c>
      <c r="C9" t="s">
        <v>3405</v>
      </c>
      <c r="D9" t="s">
        <v>3383</v>
      </c>
      <c r="E9" t="s">
        <v>3356</v>
      </c>
      <c r="F9" s="20">
        <v>41729</v>
      </c>
      <c r="G9" s="21">
        <v>674</v>
      </c>
      <c r="H9" s="21">
        <v>13472.2</v>
      </c>
      <c r="I9" t="s">
        <v>3364</v>
      </c>
      <c r="J9" s="20">
        <v>41648</v>
      </c>
      <c r="K9" s="20">
        <v>41655</v>
      </c>
      <c r="L9" s="20">
        <v>41670</v>
      </c>
      <c r="M9" s="20">
        <v>41698</v>
      </c>
      <c r="N9" s="21">
        <v>188280.88</v>
      </c>
      <c r="O9" s="20">
        <v>41698</v>
      </c>
      <c r="P9" s="20">
        <v>41710</v>
      </c>
      <c r="Q9" s="20">
        <v>41712</v>
      </c>
      <c r="R9" s="20">
        <v>41711</v>
      </c>
      <c r="S9" s="21"/>
      <c r="T9" t="s">
        <v>8234</v>
      </c>
      <c r="U9" s="21">
        <v>0</v>
      </c>
      <c r="V9" t="s">
        <v>8344</v>
      </c>
      <c r="W9" t="s">
        <v>8369</v>
      </c>
      <c r="X9">
        <v>43.34</v>
      </c>
      <c r="Y9">
        <v>206785</v>
      </c>
      <c r="Z9" s="21">
        <v>13472.2</v>
      </c>
      <c r="AD9" s="22" t="s">
        <v>7827</v>
      </c>
      <c r="AE9" t="s">
        <v>7828</v>
      </c>
      <c r="AF9" t="s">
        <v>13</v>
      </c>
      <c r="AG9" t="s">
        <v>14</v>
      </c>
      <c r="AH9">
        <v>77058</v>
      </c>
      <c r="AI9" t="s">
        <v>41</v>
      </c>
      <c r="AK9" t="s">
        <v>3327</v>
      </c>
      <c r="AL9" t="s">
        <v>7825</v>
      </c>
      <c r="AM9" t="s">
        <v>3381</v>
      </c>
      <c r="AN9" t="s">
        <v>7826</v>
      </c>
      <c r="AO9" t="s">
        <v>7829</v>
      </c>
      <c r="AP9">
        <v>67194</v>
      </c>
      <c r="AQ9" t="s">
        <v>921</v>
      </c>
      <c r="AR9" t="s">
        <v>7830</v>
      </c>
      <c r="AS9">
        <v>43.34</v>
      </c>
      <c r="AT9">
        <v>206785</v>
      </c>
      <c r="AU9">
        <v>120</v>
      </c>
      <c r="AV9">
        <v>0.04</v>
      </c>
      <c r="AW9">
        <v>13472.2</v>
      </c>
      <c r="AX9" t="s">
        <v>3370</v>
      </c>
      <c r="AY9" s="22"/>
      <c r="BT9" s="22"/>
    </row>
    <row r="10" spans="1:218" x14ac:dyDescent="0.25">
      <c r="A10" t="s">
        <v>8313</v>
      </c>
      <c r="B10" t="s">
        <v>7833</v>
      </c>
      <c r="C10" t="s">
        <v>7836</v>
      </c>
      <c r="D10" t="s">
        <v>3383</v>
      </c>
      <c r="E10" t="s">
        <v>3356</v>
      </c>
      <c r="F10" s="20">
        <v>41685</v>
      </c>
      <c r="G10" s="21">
        <v>624.86</v>
      </c>
      <c r="H10" s="21">
        <v>9730.06</v>
      </c>
      <c r="I10" t="s">
        <v>3364</v>
      </c>
      <c r="J10" s="20">
        <v>41648</v>
      </c>
      <c r="K10" s="20">
        <v>42005</v>
      </c>
      <c r="L10" s="20">
        <v>42009</v>
      </c>
      <c r="M10" s="20"/>
      <c r="N10" s="21"/>
      <c r="O10" s="20"/>
      <c r="P10" s="20"/>
      <c r="Q10" s="20"/>
      <c r="R10" s="20"/>
      <c r="S10" s="21">
        <v>9730.6</v>
      </c>
      <c r="T10" t="s">
        <v>8234</v>
      </c>
      <c r="U10" s="21">
        <v>0</v>
      </c>
      <c r="V10" t="s">
        <v>8341</v>
      </c>
      <c r="W10" t="s">
        <v>8362</v>
      </c>
      <c r="X10">
        <v>19.399999999999999</v>
      </c>
      <c r="Y10">
        <v>147267</v>
      </c>
      <c r="Z10" s="21">
        <v>9730.06</v>
      </c>
      <c r="AD10" s="22" t="s">
        <v>7831</v>
      </c>
      <c r="AE10" t="s">
        <v>7832</v>
      </c>
      <c r="AF10" t="s">
        <v>13</v>
      </c>
      <c r="AG10" t="s">
        <v>14</v>
      </c>
      <c r="AH10">
        <v>77041</v>
      </c>
      <c r="AI10" t="s">
        <v>41</v>
      </c>
      <c r="AK10" t="s">
        <v>3327</v>
      </c>
      <c r="AL10" t="s">
        <v>7833</v>
      </c>
      <c r="AM10" t="s">
        <v>3381</v>
      </c>
      <c r="AN10" t="s">
        <v>3434</v>
      </c>
      <c r="AO10" t="s">
        <v>7834</v>
      </c>
      <c r="AP10">
        <v>100000</v>
      </c>
      <c r="AQ10" t="s">
        <v>7835</v>
      </c>
      <c r="AR10" t="s">
        <v>277</v>
      </c>
      <c r="AS10">
        <v>15.11</v>
      </c>
      <c r="AT10">
        <v>119135</v>
      </c>
      <c r="AU10">
        <v>120</v>
      </c>
      <c r="AV10">
        <v>0.04</v>
      </c>
      <c r="AW10">
        <v>6578.6</v>
      </c>
      <c r="AX10" t="s">
        <v>3370</v>
      </c>
      <c r="AY10" s="22" t="s">
        <v>7831</v>
      </c>
      <c r="AZ10" t="s">
        <v>7832</v>
      </c>
      <c r="BA10" t="s">
        <v>13</v>
      </c>
      <c r="BB10" t="s">
        <v>14</v>
      </c>
      <c r="BC10">
        <v>77041</v>
      </c>
      <c r="BD10" t="s">
        <v>41</v>
      </c>
      <c r="BF10" t="s">
        <v>3340</v>
      </c>
      <c r="BG10" t="s">
        <v>7833</v>
      </c>
      <c r="BH10" t="s">
        <v>3381</v>
      </c>
      <c r="BI10" t="s">
        <v>3400</v>
      </c>
      <c r="BJ10" t="s">
        <v>7834</v>
      </c>
      <c r="BK10">
        <v>100000</v>
      </c>
      <c r="BL10" t="s">
        <v>7835</v>
      </c>
      <c r="BM10" t="s">
        <v>277</v>
      </c>
      <c r="BN10">
        <v>4.29</v>
      </c>
      <c r="BO10">
        <v>28132</v>
      </c>
      <c r="BP10">
        <v>210</v>
      </c>
      <c r="BQ10">
        <v>0.08</v>
      </c>
      <c r="BR10">
        <v>3151.46</v>
      </c>
      <c r="BS10" t="s">
        <v>3370</v>
      </c>
      <c r="BT10" s="22"/>
    </row>
    <row r="11" spans="1:218" x14ac:dyDescent="0.25">
      <c r="A11" t="s">
        <v>8298</v>
      </c>
      <c r="B11" t="s">
        <v>7833</v>
      </c>
      <c r="C11" t="s">
        <v>7836</v>
      </c>
      <c r="D11" t="s">
        <v>3383</v>
      </c>
      <c r="E11" t="s">
        <v>3356</v>
      </c>
      <c r="F11" s="20">
        <v>41685</v>
      </c>
      <c r="G11" s="21">
        <v>624.86</v>
      </c>
      <c r="H11" s="21">
        <v>9730.06</v>
      </c>
      <c r="I11" t="s">
        <v>3364</v>
      </c>
      <c r="J11" s="20">
        <v>41648</v>
      </c>
      <c r="K11" s="20"/>
      <c r="L11" s="20"/>
      <c r="M11" s="20"/>
      <c r="N11" s="21"/>
      <c r="O11" s="20"/>
      <c r="P11" s="20"/>
      <c r="Q11" s="20"/>
      <c r="R11" s="20"/>
      <c r="S11" s="21"/>
      <c r="T11" t="s">
        <v>8234</v>
      </c>
      <c r="U11" s="21">
        <v>0</v>
      </c>
      <c r="V11" t="s">
        <v>8344</v>
      </c>
      <c r="W11" t="s">
        <v>8362</v>
      </c>
      <c r="X11">
        <v>19.399999999999999</v>
      </c>
      <c r="Y11">
        <v>147267</v>
      </c>
      <c r="Z11" s="21">
        <v>9730.06</v>
      </c>
      <c r="AD11" s="22" t="s">
        <v>7831</v>
      </c>
      <c r="AE11" t="s">
        <v>7832</v>
      </c>
      <c r="AF11" t="s">
        <v>13</v>
      </c>
      <c r="AG11" t="s">
        <v>14</v>
      </c>
      <c r="AH11">
        <v>77041</v>
      </c>
      <c r="AI11" t="s">
        <v>41</v>
      </c>
      <c r="AK11" t="s">
        <v>3327</v>
      </c>
      <c r="AL11" t="s">
        <v>7833</v>
      </c>
      <c r="AM11" t="s">
        <v>3381</v>
      </c>
      <c r="AN11" t="s">
        <v>3434</v>
      </c>
      <c r="AO11" t="s">
        <v>7834</v>
      </c>
      <c r="AP11">
        <v>100000</v>
      </c>
      <c r="AQ11" t="s">
        <v>7835</v>
      </c>
      <c r="AR11" t="s">
        <v>277</v>
      </c>
      <c r="AS11">
        <v>15.11</v>
      </c>
      <c r="AT11">
        <v>119135</v>
      </c>
      <c r="AU11">
        <v>120</v>
      </c>
      <c r="AV11">
        <v>0.04</v>
      </c>
      <c r="AW11">
        <v>6578.6</v>
      </c>
      <c r="AX11" t="s">
        <v>3370</v>
      </c>
      <c r="AY11" s="22" t="s">
        <v>7831</v>
      </c>
      <c r="AZ11" t="s">
        <v>7832</v>
      </c>
      <c r="BA11" t="s">
        <v>13</v>
      </c>
      <c r="BB11" t="s">
        <v>14</v>
      </c>
      <c r="BC11">
        <v>77041</v>
      </c>
      <c r="BD11" t="s">
        <v>41</v>
      </c>
      <c r="BF11" t="s">
        <v>3340</v>
      </c>
      <c r="BG11" t="s">
        <v>7833</v>
      </c>
      <c r="BH11" t="s">
        <v>3381</v>
      </c>
      <c r="BI11" t="s">
        <v>3400</v>
      </c>
      <c r="BJ11" t="s">
        <v>7834</v>
      </c>
      <c r="BK11">
        <v>100000</v>
      </c>
      <c r="BL11" t="s">
        <v>7835</v>
      </c>
      <c r="BM11" t="s">
        <v>277</v>
      </c>
      <c r="BN11">
        <v>4.29</v>
      </c>
      <c r="BO11">
        <v>28132</v>
      </c>
      <c r="BP11">
        <v>210</v>
      </c>
      <c r="BQ11">
        <v>0.08</v>
      </c>
      <c r="BR11">
        <v>3151.46</v>
      </c>
      <c r="BS11" t="s">
        <v>3370</v>
      </c>
      <c r="BT11" s="22"/>
    </row>
    <row r="12" spans="1:218" x14ac:dyDescent="0.25">
      <c r="A12" t="s">
        <v>8299</v>
      </c>
      <c r="B12" t="s">
        <v>7833</v>
      </c>
      <c r="C12" t="s">
        <v>7836</v>
      </c>
      <c r="D12" t="s">
        <v>3383</v>
      </c>
      <c r="E12" t="s">
        <v>3356</v>
      </c>
      <c r="F12" s="20">
        <v>41685</v>
      </c>
      <c r="G12" s="21">
        <v>624.86</v>
      </c>
      <c r="H12" s="21">
        <v>9730.06</v>
      </c>
      <c r="I12" t="s">
        <v>3364</v>
      </c>
      <c r="J12" s="20">
        <v>41648</v>
      </c>
      <c r="K12" s="20"/>
      <c r="L12" s="20"/>
      <c r="M12" s="20"/>
      <c r="N12" s="21"/>
      <c r="O12" s="20"/>
      <c r="P12" s="20"/>
      <c r="Q12" s="20"/>
      <c r="R12" s="20"/>
      <c r="S12" s="21"/>
      <c r="T12" t="s">
        <v>8234</v>
      </c>
      <c r="U12" s="21">
        <v>0</v>
      </c>
      <c r="V12" t="s">
        <v>8344</v>
      </c>
      <c r="W12" t="s">
        <v>8362</v>
      </c>
      <c r="X12">
        <v>19.399999999999999</v>
      </c>
      <c r="Y12">
        <v>147267</v>
      </c>
      <c r="Z12" s="21">
        <v>9730.06</v>
      </c>
      <c r="AD12" s="22" t="s">
        <v>7831</v>
      </c>
      <c r="AE12" t="s">
        <v>7832</v>
      </c>
      <c r="AF12" t="s">
        <v>13</v>
      </c>
      <c r="AG12" t="s">
        <v>14</v>
      </c>
      <c r="AH12">
        <v>77041</v>
      </c>
      <c r="AI12" t="s">
        <v>41</v>
      </c>
      <c r="AK12" t="s">
        <v>3327</v>
      </c>
      <c r="AL12" t="s">
        <v>7833</v>
      </c>
      <c r="AM12" t="s">
        <v>3381</v>
      </c>
      <c r="AN12" t="s">
        <v>3434</v>
      </c>
      <c r="AO12" t="s">
        <v>7834</v>
      </c>
      <c r="AP12">
        <v>100000</v>
      </c>
      <c r="AQ12" t="s">
        <v>7835</v>
      </c>
      <c r="AR12" t="s">
        <v>277</v>
      </c>
      <c r="AS12">
        <v>15.11</v>
      </c>
      <c r="AT12">
        <v>119135</v>
      </c>
      <c r="AU12">
        <v>120</v>
      </c>
      <c r="AV12">
        <v>0.04</v>
      </c>
      <c r="AW12">
        <v>6578.6</v>
      </c>
      <c r="AX12" t="s">
        <v>3370</v>
      </c>
      <c r="AY12" s="22" t="s">
        <v>7831</v>
      </c>
      <c r="AZ12" t="s">
        <v>7832</v>
      </c>
      <c r="BA12" t="s">
        <v>13</v>
      </c>
      <c r="BB12" t="s">
        <v>14</v>
      </c>
      <c r="BC12">
        <v>77041</v>
      </c>
      <c r="BD12" t="s">
        <v>41</v>
      </c>
      <c r="BF12" t="s">
        <v>3340</v>
      </c>
      <c r="BG12" t="s">
        <v>7833</v>
      </c>
      <c r="BH12" t="s">
        <v>3381</v>
      </c>
      <c r="BI12" t="s">
        <v>3400</v>
      </c>
      <c r="BJ12" t="s">
        <v>7834</v>
      </c>
      <c r="BK12">
        <v>100000</v>
      </c>
      <c r="BL12" t="s">
        <v>7835</v>
      </c>
      <c r="BM12" t="s">
        <v>277</v>
      </c>
      <c r="BN12">
        <v>4.29</v>
      </c>
      <c r="BO12">
        <v>28132</v>
      </c>
      <c r="BP12">
        <v>210</v>
      </c>
      <c r="BQ12">
        <v>0.08</v>
      </c>
      <c r="BR12">
        <v>3151.46</v>
      </c>
      <c r="BS12" t="s">
        <v>3370</v>
      </c>
      <c r="BT12" s="22"/>
    </row>
    <row r="13" spans="1:218" x14ac:dyDescent="0.25">
      <c r="A13" t="s">
        <v>8301</v>
      </c>
      <c r="B13" t="s">
        <v>3416</v>
      </c>
      <c r="C13" t="s">
        <v>3417</v>
      </c>
      <c r="D13" t="s">
        <v>3404</v>
      </c>
      <c r="E13" t="s">
        <v>3358</v>
      </c>
      <c r="F13" s="20">
        <v>41698</v>
      </c>
      <c r="G13" s="21">
        <v>1426.45</v>
      </c>
      <c r="H13" s="21">
        <v>27326.18</v>
      </c>
      <c r="I13" t="s">
        <v>3363</v>
      </c>
      <c r="J13" s="20">
        <v>41655</v>
      </c>
      <c r="K13" s="20">
        <v>1</v>
      </c>
      <c r="L13" s="20">
        <v>41675</v>
      </c>
      <c r="M13" s="20">
        <v>41725</v>
      </c>
      <c r="N13" s="21">
        <v>487987.04</v>
      </c>
      <c r="O13" s="20">
        <v>41725</v>
      </c>
      <c r="P13" s="20">
        <v>41759</v>
      </c>
      <c r="Q13" s="20">
        <v>41760</v>
      </c>
      <c r="R13" s="20">
        <v>1</v>
      </c>
      <c r="S13" s="21">
        <v>30588</v>
      </c>
      <c r="T13" t="s">
        <v>8234</v>
      </c>
      <c r="U13" s="21">
        <v>0</v>
      </c>
      <c r="V13" t="s">
        <v>8344</v>
      </c>
      <c r="W13" t="s">
        <v>8360</v>
      </c>
      <c r="X13">
        <v>93.71</v>
      </c>
      <c r="Y13">
        <v>274140</v>
      </c>
      <c r="Z13" s="21">
        <v>30588</v>
      </c>
      <c r="AD13" s="22" t="s">
        <v>3424</v>
      </c>
      <c r="AE13" t="s">
        <v>3423</v>
      </c>
      <c r="AF13" t="s">
        <v>13</v>
      </c>
      <c r="AG13" t="s">
        <v>14</v>
      </c>
      <c r="AH13">
        <v>77070</v>
      </c>
      <c r="AI13" t="s">
        <v>41</v>
      </c>
      <c r="AK13" t="s">
        <v>3327</v>
      </c>
      <c r="AL13" t="s">
        <v>3425</v>
      </c>
      <c r="AM13" t="s">
        <v>3381</v>
      </c>
      <c r="AN13" t="s">
        <v>3426</v>
      </c>
      <c r="AO13" t="s">
        <v>2179</v>
      </c>
      <c r="AP13">
        <v>29258</v>
      </c>
      <c r="AQ13" t="s">
        <v>1629</v>
      </c>
      <c r="AR13" t="s">
        <v>1632</v>
      </c>
      <c r="AS13">
        <v>13.89</v>
      </c>
      <c r="AT13">
        <v>58578</v>
      </c>
      <c r="AU13">
        <v>120</v>
      </c>
      <c r="AV13">
        <v>0.04</v>
      </c>
      <c r="AW13">
        <v>4009.92</v>
      </c>
      <c r="AX13" t="s">
        <v>3369</v>
      </c>
      <c r="AY13" s="22" t="s">
        <v>3418</v>
      </c>
      <c r="AZ13" t="s">
        <v>3419</v>
      </c>
      <c r="BA13" t="s">
        <v>13</v>
      </c>
      <c r="BB13" t="s">
        <v>14</v>
      </c>
      <c r="BC13">
        <v>77070</v>
      </c>
      <c r="BD13" t="s">
        <v>41</v>
      </c>
      <c r="BF13" t="s">
        <v>3327</v>
      </c>
      <c r="BG13" t="s">
        <v>3420</v>
      </c>
      <c r="BH13" t="s">
        <v>3381</v>
      </c>
      <c r="BI13" t="s">
        <v>3421</v>
      </c>
      <c r="BJ13" t="s">
        <v>2179</v>
      </c>
      <c r="BK13">
        <v>44987</v>
      </c>
      <c r="BL13" t="s">
        <v>1629</v>
      </c>
      <c r="BM13" t="s">
        <v>1632</v>
      </c>
      <c r="BN13">
        <v>27.56</v>
      </c>
      <c r="BO13">
        <v>107235</v>
      </c>
      <c r="BP13">
        <v>120</v>
      </c>
      <c r="BQ13">
        <v>0.04</v>
      </c>
      <c r="BR13">
        <v>7596.5999999999995</v>
      </c>
      <c r="BS13" t="s">
        <v>3369</v>
      </c>
      <c r="BT13" s="22" t="s">
        <v>3427</v>
      </c>
      <c r="BU13" t="s">
        <v>3428</v>
      </c>
      <c r="BV13" t="s">
        <v>13</v>
      </c>
      <c r="BW13" t="s">
        <v>14</v>
      </c>
      <c r="BX13">
        <v>77070</v>
      </c>
      <c r="BY13" t="s">
        <v>41</v>
      </c>
      <c r="CA13" t="s">
        <v>3327</v>
      </c>
      <c r="CB13" t="s">
        <v>3429</v>
      </c>
      <c r="CC13" t="s">
        <v>3381</v>
      </c>
      <c r="CD13" t="s">
        <v>3426</v>
      </c>
      <c r="CE13" t="s">
        <v>2179</v>
      </c>
      <c r="CF13">
        <v>18300</v>
      </c>
      <c r="CG13" t="s">
        <v>1629</v>
      </c>
      <c r="CH13" t="s">
        <v>1632</v>
      </c>
      <c r="CI13">
        <v>10.01</v>
      </c>
      <c r="CJ13">
        <v>42183</v>
      </c>
      <c r="CK13">
        <v>120</v>
      </c>
      <c r="CL13">
        <v>0.04</v>
      </c>
      <c r="CM13">
        <v>2888.52</v>
      </c>
      <c r="CN13" t="s">
        <v>3369</v>
      </c>
      <c r="CO13" s="22" t="s">
        <v>3424</v>
      </c>
      <c r="CP13" t="s">
        <v>3423</v>
      </c>
      <c r="CQ13" t="s">
        <v>13</v>
      </c>
      <c r="CR13" t="s">
        <v>14</v>
      </c>
      <c r="CS13">
        <v>77070</v>
      </c>
      <c r="CT13" t="s">
        <v>41</v>
      </c>
      <c r="CV13" t="s">
        <v>3344</v>
      </c>
      <c r="CW13" t="s">
        <v>3425</v>
      </c>
      <c r="CX13" t="s">
        <v>3381</v>
      </c>
      <c r="CY13" t="s">
        <v>3426</v>
      </c>
      <c r="CZ13" t="s">
        <v>2179</v>
      </c>
      <c r="DA13">
        <v>29258</v>
      </c>
      <c r="DB13" t="s">
        <v>1629</v>
      </c>
      <c r="DC13" t="s">
        <v>1632</v>
      </c>
      <c r="DD13">
        <v>9.41</v>
      </c>
      <c r="DE13">
        <v>14736</v>
      </c>
      <c r="DF13">
        <v>240</v>
      </c>
      <c r="DG13">
        <v>0.09</v>
      </c>
      <c r="DH13">
        <v>3584.6400000000003</v>
      </c>
      <c r="DI13" t="s">
        <v>3369</v>
      </c>
      <c r="DJ13" s="22" t="s">
        <v>3418</v>
      </c>
      <c r="DK13" t="s">
        <v>3419</v>
      </c>
      <c r="DL13" t="s">
        <v>13</v>
      </c>
      <c r="DM13" t="s">
        <v>14</v>
      </c>
      <c r="DN13">
        <v>77070</v>
      </c>
      <c r="DO13" t="s">
        <v>41</v>
      </c>
      <c r="DQ13" t="s">
        <v>3344</v>
      </c>
      <c r="DR13" t="s">
        <v>3420</v>
      </c>
      <c r="DS13" t="s">
        <v>3381</v>
      </c>
      <c r="DT13" t="s">
        <v>3421</v>
      </c>
      <c r="DU13" t="s">
        <v>2179</v>
      </c>
      <c r="DV13">
        <v>44987</v>
      </c>
      <c r="DW13" t="s">
        <v>1629</v>
      </c>
      <c r="DX13" t="s">
        <v>1632</v>
      </c>
      <c r="DY13">
        <v>26.32</v>
      </c>
      <c r="DZ13">
        <v>41207</v>
      </c>
      <c r="EA13">
        <v>240</v>
      </c>
      <c r="EB13">
        <v>0.09</v>
      </c>
      <c r="EC13">
        <v>10025.43</v>
      </c>
      <c r="ED13" t="s">
        <v>3369</v>
      </c>
      <c r="EE13" s="22" t="s">
        <v>3427</v>
      </c>
      <c r="EF13" t="s">
        <v>3428</v>
      </c>
      <c r="EG13" t="s">
        <v>13</v>
      </c>
      <c r="EH13" t="s">
        <v>14</v>
      </c>
      <c r="EI13">
        <v>77070</v>
      </c>
      <c r="EJ13" t="s">
        <v>41</v>
      </c>
      <c r="EL13" t="s">
        <v>3344</v>
      </c>
      <c r="EM13" t="s">
        <v>3429</v>
      </c>
      <c r="EN13" t="s">
        <v>3381</v>
      </c>
      <c r="EO13" t="s">
        <v>3426</v>
      </c>
      <c r="EP13" t="s">
        <v>2179</v>
      </c>
      <c r="EQ13">
        <v>18300</v>
      </c>
      <c r="ER13" t="s">
        <v>1629</v>
      </c>
      <c r="ES13" t="s">
        <v>1632</v>
      </c>
      <c r="ET13">
        <v>6.52</v>
      </c>
      <c r="EU13">
        <v>10201</v>
      </c>
      <c r="EV13">
        <v>240</v>
      </c>
      <c r="EW13">
        <v>0.09</v>
      </c>
      <c r="EX13">
        <v>2482.89</v>
      </c>
      <c r="EY13" t="s">
        <v>3369</v>
      </c>
    </row>
    <row r="14" spans="1:218" x14ac:dyDescent="0.25">
      <c r="A14" t="s">
        <v>8302</v>
      </c>
      <c r="B14" t="s">
        <v>7843</v>
      </c>
      <c r="C14" t="s">
        <v>7837</v>
      </c>
      <c r="D14" t="s">
        <v>3383</v>
      </c>
      <c r="E14" t="s">
        <v>3357</v>
      </c>
      <c r="F14" s="20">
        <v>41744</v>
      </c>
      <c r="G14" s="21">
        <v>1637.09</v>
      </c>
      <c r="H14" s="21">
        <v>32739.26</v>
      </c>
      <c r="I14" t="s">
        <v>3363</v>
      </c>
      <c r="J14" s="20">
        <v>41648</v>
      </c>
      <c r="K14" s="20">
        <v>41652</v>
      </c>
      <c r="L14" s="20">
        <v>41674</v>
      </c>
      <c r="M14" s="20">
        <v>41746</v>
      </c>
      <c r="N14" s="21">
        <v>192375.96</v>
      </c>
      <c r="O14" s="20">
        <v>41746</v>
      </c>
      <c r="P14" s="20">
        <v>41750</v>
      </c>
      <c r="Q14" s="20">
        <v>41761</v>
      </c>
      <c r="R14" s="20">
        <v>1</v>
      </c>
      <c r="S14" s="21">
        <v>32739.26</v>
      </c>
      <c r="T14" t="s">
        <v>8234</v>
      </c>
      <c r="U14" s="21">
        <v>0</v>
      </c>
      <c r="V14" t="s">
        <v>8343</v>
      </c>
      <c r="W14" t="s">
        <v>8363</v>
      </c>
      <c r="X14">
        <v>17.98</v>
      </c>
      <c r="Y14">
        <v>47919</v>
      </c>
      <c r="Z14" s="21">
        <v>9945.89</v>
      </c>
      <c r="AD14" s="22" t="s">
        <v>7838</v>
      </c>
      <c r="AE14" t="s">
        <v>7839</v>
      </c>
      <c r="AF14" t="s">
        <v>13</v>
      </c>
      <c r="AG14" t="s">
        <v>14</v>
      </c>
      <c r="AH14">
        <v>77030</v>
      </c>
      <c r="AI14" t="s">
        <v>41</v>
      </c>
      <c r="AK14" t="s">
        <v>3343</v>
      </c>
      <c r="AL14" t="s">
        <v>8051</v>
      </c>
      <c r="AM14" t="s">
        <v>3381</v>
      </c>
      <c r="AN14" t="s">
        <v>3370</v>
      </c>
      <c r="AO14" t="s">
        <v>7840</v>
      </c>
      <c r="AP14">
        <v>134910</v>
      </c>
      <c r="AQ14" t="s">
        <v>7841</v>
      </c>
      <c r="AR14" t="s">
        <v>7842</v>
      </c>
      <c r="AS14">
        <v>17.98</v>
      </c>
      <c r="AT14">
        <v>47919</v>
      </c>
      <c r="AU14">
        <v>260</v>
      </c>
      <c r="AV14">
        <v>0.11</v>
      </c>
      <c r="AW14">
        <v>9945.89</v>
      </c>
      <c r="AX14" t="s">
        <v>3370</v>
      </c>
      <c r="AY14" s="22"/>
      <c r="BT14" s="22"/>
    </row>
    <row r="15" spans="1:218" x14ac:dyDescent="0.25">
      <c r="A15" t="s">
        <v>8315</v>
      </c>
      <c r="B15" t="s">
        <v>7855</v>
      </c>
      <c r="C15" t="s">
        <v>7862</v>
      </c>
      <c r="D15" t="s">
        <v>3383</v>
      </c>
      <c r="E15" t="s">
        <v>3356</v>
      </c>
      <c r="F15" s="20">
        <v>41713</v>
      </c>
      <c r="G15" s="21">
        <v>0</v>
      </c>
      <c r="H15" s="21">
        <v>20759.34</v>
      </c>
      <c r="I15" t="s">
        <v>3364</v>
      </c>
      <c r="J15" s="20">
        <v>41669</v>
      </c>
      <c r="K15" s="20">
        <v>41680</v>
      </c>
      <c r="L15" s="20">
        <v>41682</v>
      </c>
      <c r="M15" s="20">
        <v>41760</v>
      </c>
      <c r="N15" s="21">
        <v>49584.76</v>
      </c>
      <c r="O15" s="20">
        <v>41760</v>
      </c>
      <c r="P15" s="20">
        <v>41764</v>
      </c>
      <c r="Q15" s="20">
        <v>41766</v>
      </c>
      <c r="R15" s="20">
        <v>1</v>
      </c>
      <c r="S15" s="21">
        <v>21127.8</v>
      </c>
      <c r="T15" t="s">
        <v>8234</v>
      </c>
      <c r="U15" s="21">
        <v>0</v>
      </c>
      <c r="V15" t="s">
        <v>8343</v>
      </c>
      <c r="W15" t="s">
        <v>8356</v>
      </c>
      <c r="X15">
        <v>41.48</v>
      </c>
      <c r="Y15">
        <v>175033</v>
      </c>
      <c r="Z15" s="21">
        <v>22713.439999999999</v>
      </c>
      <c r="AD15" s="22" t="s">
        <v>8332</v>
      </c>
      <c r="AE15" t="s">
        <v>7852</v>
      </c>
      <c r="AF15" t="s">
        <v>1505</v>
      </c>
      <c r="AG15" t="s">
        <v>14</v>
      </c>
      <c r="AH15">
        <v>77598</v>
      </c>
      <c r="AI15" t="s">
        <v>41</v>
      </c>
      <c r="AK15" t="s">
        <v>3340</v>
      </c>
      <c r="AL15" t="s">
        <v>7854</v>
      </c>
      <c r="AM15" t="s">
        <v>3381</v>
      </c>
      <c r="AN15" t="s">
        <v>3426</v>
      </c>
      <c r="AO15" t="s">
        <v>2508</v>
      </c>
      <c r="AP15">
        <v>1700</v>
      </c>
      <c r="AQ15" t="s">
        <v>7864</v>
      </c>
      <c r="AR15" t="s">
        <v>7865</v>
      </c>
      <c r="AS15">
        <v>2.4900000000000002</v>
      </c>
      <c r="AT15">
        <v>10491</v>
      </c>
      <c r="AU15">
        <v>210</v>
      </c>
      <c r="AV15">
        <v>0.08</v>
      </c>
      <c r="AW15">
        <v>1362.18</v>
      </c>
      <c r="AX15" t="s">
        <v>3369</v>
      </c>
      <c r="AY15" s="22" t="s">
        <v>7844</v>
      </c>
      <c r="AZ15" t="s">
        <v>7853</v>
      </c>
      <c r="BA15" t="s">
        <v>1817</v>
      </c>
      <c r="BB15" t="s">
        <v>14</v>
      </c>
      <c r="BC15">
        <v>77479</v>
      </c>
      <c r="BD15" t="s">
        <v>7845</v>
      </c>
      <c r="BF15" t="s">
        <v>3340</v>
      </c>
      <c r="BG15" t="s">
        <v>7854</v>
      </c>
      <c r="BH15" t="s">
        <v>3381</v>
      </c>
      <c r="BI15" t="s">
        <v>3426</v>
      </c>
      <c r="BJ15" t="s">
        <v>2508</v>
      </c>
      <c r="BK15">
        <v>1700</v>
      </c>
      <c r="BL15" t="s">
        <v>7864</v>
      </c>
      <c r="BM15" t="s">
        <v>7865</v>
      </c>
      <c r="BN15">
        <v>3.1</v>
      </c>
      <c r="BO15">
        <v>13039</v>
      </c>
      <c r="BP15">
        <v>210</v>
      </c>
      <c r="BQ15">
        <v>0.08</v>
      </c>
      <c r="BR15">
        <v>1694.1200000000001</v>
      </c>
      <c r="BS15" t="s">
        <v>3369</v>
      </c>
      <c r="BT15" s="22" t="s">
        <v>8333</v>
      </c>
      <c r="BU15" t="s">
        <v>7846</v>
      </c>
      <c r="BV15" t="s">
        <v>13</v>
      </c>
      <c r="BW15" t="s">
        <v>14</v>
      </c>
      <c r="BX15">
        <v>77070</v>
      </c>
      <c r="BY15" t="s">
        <v>41</v>
      </c>
      <c r="CA15" t="s">
        <v>3340</v>
      </c>
      <c r="CB15" t="s">
        <v>7854</v>
      </c>
      <c r="CC15" t="s">
        <v>3381</v>
      </c>
      <c r="CD15" t="s">
        <v>3426</v>
      </c>
      <c r="CE15" t="s">
        <v>2508</v>
      </c>
      <c r="CF15">
        <v>1700</v>
      </c>
      <c r="CG15" t="s">
        <v>7864</v>
      </c>
      <c r="CH15" t="s">
        <v>7865</v>
      </c>
      <c r="CI15">
        <v>7.02</v>
      </c>
      <c r="CJ15">
        <v>29526</v>
      </c>
      <c r="CK15">
        <v>210</v>
      </c>
      <c r="CL15">
        <v>0.08</v>
      </c>
      <c r="CM15">
        <v>3836.2799999999997</v>
      </c>
      <c r="CN15" t="s">
        <v>3369</v>
      </c>
      <c r="CO15" s="22" t="s">
        <v>8334</v>
      </c>
      <c r="CP15" t="s">
        <v>7848</v>
      </c>
      <c r="CQ15" t="s">
        <v>13</v>
      </c>
      <c r="CR15" t="s">
        <v>14</v>
      </c>
      <c r="CS15">
        <v>77084</v>
      </c>
      <c r="CT15" t="s">
        <v>41</v>
      </c>
      <c r="CV15" t="s">
        <v>3340</v>
      </c>
      <c r="CW15" t="s">
        <v>7854</v>
      </c>
      <c r="CX15" t="s">
        <v>3381</v>
      </c>
      <c r="CY15" t="s">
        <v>3426</v>
      </c>
      <c r="CZ15" t="s">
        <v>2508</v>
      </c>
      <c r="DA15">
        <v>1700</v>
      </c>
      <c r="DB15" t="s">
        <v>7864</v>
      </c>
      <c r="DC15" t="s">
        <v>7865</v>
      </c>
      <c r="DD15">
        <v>6.59</v>
      </c>
      <c r="DE15">
        <v>27727</v>
      </c>
      <c r="DF15">
        <v>210</v>
      </c>
      <c r="DG15">
        <v>0.08</v>
      </c>
      <c r="DH15">
        <v>3602.0599999999995</v>
      </c>
      <c r="DI15" t="s">
        <v>3369</v>
      </c>
      <c r="DJ15" s="22" t="s">
        <v>8335</v>
      </c>
      <c r="DK15" t="s">
        <v>7847</v>
      </c>
      <c r="DL15" t="s">
        <v>885</v>
      </c>
      <c r="DM15" t="s">
        <v>14</v>
      </c>
      <c r="DN15">
        <v>77449</v>
      </c>
      <c r="DO15" t="s">
        <v>41</v>
      </c>
      <c r="DQ15" t="s">
        <v>3340</v>
      </c>
      <c r="DR15" t="s">
        <v>7854</v>
      </c>
      <c r="DS15" t="s">
        <v>3381</v>
      </c>
      <c r="DT15" t="s">
        <v>3426</v>
      </c>
      <c r="DU15" t="s">
        <v>2508</v>
      </c>
      <c r="DV15">
        <v>1700</v>
      </c>
      <c r="DW15" t="s">
        <v>7864</v>
      </c>
      <c r="DX15" t="s">
        <v>7865</v>
      </c>
      <c r="DY15">
        <v>6.24</v>
      </c>
      <c r="DZ15">
        <v>26228</v>
      </c>
      <c r="EA15">
        <v>210</v>
      </c>
      <c r="EB15">
        <v>0.08</v>
      </c>
      <c r="EC15">
        <v>3408.6400000000003</v>
      </c>
      <c r="ED15" t="s">
        <v>3369</v>
      </c>
      <c r="EE15" s="22" t="s">
        <v>8336</v>
      </c>
      <c r="EF15" t="s">
        <v>7849</v>
      </c>
      <c r="EG15" t="s">
        <v>248</v>
      </c>
      <c r="EH15" t="s">
        <v>14</v>
      </c>
      <c r="EI15">
        <v>77505</v>
      </c>
      <c r="EJ15" t="s">
        <v>41</v>
      </c>
      <c r="EL15" t="s">
        <v>3340</v>
      </c>
      <c r="EM15" t="s">
        <v>7854</v>
      </c>
      <c r="EN15" t="s">
        <v>3381</v>
      </c>
      <c r="EO15" t="s">
        <v>3426</v>
      </c>
      <c r="EP15" t="s">
        <v>2508</v>
      </c>
      <c r="EQ15">
        <v>1700</v>
      </c>
      <c r="ER15" t="s">
        <v>7864</v>
      </c>
      <c r="ES15" t="s">
        <v>7865</v>
      </c>
      <c r="ET15">
        <v>6.45</v>
      </c>
      <c r="EU15">
        <v>27128</v>
      </c>
      <c r="EV15">
        <v>210</v>
      </c>
      <c r="EW15">
        <v>0.08</v>
      </c>
      <c r="EX15">
        <v>3524.7400000000002</v>
      </c>
      <c r="EY15" t="s">
        <v>3369</v>
      </c>
      <c r="EZ15" s="22" t="s">
        <v>8337</v>
      </c>
      <c r="FA15" t="s">
        <v>7850</v>
      </c>
      <c r="FB15" t="s">
        <v>13</v>
      </c>
      <c r="FC15" t="s">
        <v>14</v>
      </c>
      <c r="FD15">
        <v>77067</v>
      </c>
      <c r="FE15" t="s">
        <v>41</v>
      </c>
      <c r="FG15" t="s">
        <v>3340</v>
      </c>
      <c r="FH15" t="s">
        <v>7854</v>
      </c>
      <c r="FI15" t="s">
        <v>3381</v>
      </c>
      <c r="FJ15" t="s">
        <v>3426</v>
      </c>
      <c r="FK15" t="s">
        <v>2508</v>
      </c>
      <c r="FL15">
        <v>1700</v>
      </c>
      <c r="FM15" t="s">
        <v>7864</v>
      </c>
      <c r="FN15" t="s">
        <v>7865</v>
      </c>
      <c r="FO15">
        <v>3.1</v>
      </c>
      <c r="FP15">
        <v>13039</v>
      </c>
      <c r="FQ15">
        <v>210</v>
      </c>
      <c r="FR15">
        <v>0.08</v>
      </c>
      <c r="FS15">
        <v>1694.1200000000001</v>
      </c>
      <c r="FT15" t="s">
        <v>3369</v>
      </c>
      <c r="FU15" s="22" t="s">
        <v>8338</v>
      </c>
      <c r="FV15" t="s">
        <v>7851</v>
      </c>
      <c r="FW15" t="s">
        <v>13</v>
      </c>
      <c r="FX15" t="s">
        <v>14</v>
      </c>
      <c r="FY15">
        <v>77094</v>
      </c>
      <c r="FZ15" t="s">
        <v>41</v>
      </c>
      <c r="GB15" t="s">
        <v>3340</v>
      </c>
      <c r="GC15" t="s">
        <v>7854</v>
      </c>
      <c r="GD15" t="s">
        <v>3381</v>
      </c>
      <c r="GE15" t="s">
        <v>3426</v>
      </c>
      <c r="GF15" t="s">
        <v>2508</v>
      </c>
      <c r="GG15">
        <v>1700</v>
      </c>
      <c r="GH15" t="s">
        <v>7864</v>
      </c>
      <c r="GI15" t="s">
        <v>7865</v>
      </c>
      <c r="GJ15">
        <v>3.67</v>
      </c>
      <c r="GK15">
        <v>15437</v>
      </c>
      <c r="GL15">
        <v>210</v>
      </c>
      <c r="GM15">
        <v>0.08</v>
      </c>
      <c r="GN15">
        <v>2005.6599999999999</v>
      </c>
      <c r="GO15" t="s">
        <v>3369</v>
      </c>
      <c r="GP15" s="22" t="s">
        <v>7844</v>
      </c>
      <c r="GQ15" t="s">
        <v>7853</v>
      </c>
      <c r="GR15" t="s">
        <v>1817</v>
      </c>
      <c r="GS15" t="s">
        <v>14</v>
      </c>
      <c r="GT15">
        <v>77479</v>
      </c>
      <c r="GU15" t="s">
        <v>7845</v>
      </c>
      <c r="GW15" t="s">
        <v>3340</v>
      </c>
      <c r="GX15" t="s">
        <v>7854</v>
      </c>
      <c r="GY15" t="s">
        <v>3381</v>
      </c>
      <c r="GZ15" t="s">
        <v>3426</v>
      </c>
      <c r="HA15" t="s">
        <v>2508</v>
      </c>
      <c r="HB15">
        <v>1700</v>
      </c>
      <c r="HC15" t="s">
        <v>7864</v>
      </c>
      <c r="HD15" t="s">
        <v>7865</v>
      </c>
      <c r="HE15">
        <v>2.82</v>
      </c>
      <c r="HF15">
        <v>12418</v>
      </c>
      <c r="HG15">
        <v>210</v>
      </c>
      <c r="HH15">
        <v>0.08</v>
      </c>
      <c r="HI15">
        <v>1585.6399999999999</v>
      </c>
      <c r="HJ15" t="s">
        <v>3369</v>
      </c>
    </row>
    <row r="16" spans="1:218" x14ac:dyDescent="0.25">
      <c r="A16" t="s">
        <v>8316</v>
      </c>
      <c r="B16" t="s">
        <v>7868</v>
      </c>
      <c r="C16" t="s">
        <v>7866</v>
      </c>
      <c r="D16" t="s">
        <v>3383</v>
      </c>
      <c r="E16" t="s">
        <v>3356</v>
      </c>
      <c r="F16" s="20">
        <v>41759</v>
      </c>
      <c r="G16" s="21">
        <v>578.26</v>
      </c>
      <c r="H16" s="21">
        <v>11594.92</v>
      </c>
      <c r="I16" t="s">
        <v>3364</v>
      </c>
      <c r="J16" s="20">
        <v>41654</v>
      </c>
      <c r="K16" s="20">
        <v>41659</v>
      </c>
      <c r="L16" s="20">
        <v>41675</v>
      </c>
      <c r="M16" s="20">
        <v>41695</v>
      </c>
      <c r="N16" s="21">
        <v>58368.02</v>
      </c>
      <c r="O16" s="20">
        <v>41682</v>
      </c>
      <c r="P16" s="20">
        <v>41684</v>
      </c>
      <c r="Q16" s="20">
        <v>41702</v>
      </c>
      <c r="R16" s="20">
        <v>41701</v>
      </c>
      <c r="S16" s="21"/>
      <c r="T16" t="s">
        <v>8234</v>
      </c>
      <c r="U16" s="21">
        <v>0</v>
      </c>
      <c r="V16" t="s">
        <v>8341</v>
      </c>
      <c r="W16" t="s">
        <v>8364</v>
      </c>
      <c r="X16">
        <v>31.400000000000002</v>
      </c>
      <c r="Y16">
        <v>147794</v>
      </c>
      <c r="Z16" s="21">
        <v>10771.56</v>
      </c>
      <c r="AD16" s="22" t="s">
        <v>7867</v>
      </c>
      <c r="AE16" t="s">
        <v>7869</v>
      </c>
      <c r="AF16" t="s">
        <v>13</v>
      </c>
      <c r="AG16" t="s">
        <v>14</v>
      </c>
      <c r="AH16">
        <v>77040</v>
      </c>
      <c r="AI16" t="s">
        <v>41</v>
      </c>
      <c r="AK16" t="s">
        <v>3327</v>
      </c>
      <c r="AL16" t="s">
        <v>7868</v>
      </c>
      <c r="AM16" t="s">
        <v>3381</v>
      </c>
      <c r="AN16" t="s">
        <v>3403</v>
      </c>
      <c r="AO16" t="s">
        <v>7871</v>
      </c>
      <c r="AP16">
        <v>60000</v>
      </c>
      <c r="AQ16" t="s">
        <v>7870</v>
      </c>
      <c r="AR16" t="s">
        <v>7872</v>
      </c>
      <c r="AS16">
        <v>28.3</v>
      </c>
      <c r="AT16">
        <v>127474</v>
      </c>
      <c r="AU16">
        <v>120</v>
      </c>
      <c r="AV16">
        <v>0.04</v>
      </c>
      <c r="AW16">
        <v>8494.9599999999991</v>
      </c>
      <c r="AX16" t="s">
        <v>3368</v>
      </c>
      <c r="AY16" s="22" t="s">
        <v>7867</v>
      </c>
      <c r="AZ16" t="s">
        <v>7869</v>
      </c>
      <c r="BA16" t="s">
        <v>13</v>
      </c>
      <c r="BB16" t="s">
        <v>14</v>
      </c>
      <c r="BC16">
        <v>77040</v>
      </c>
      <c r="BD16" t="s">
        <v>41</v>
      </c>
      <c r="BF16" t="s">
        <v>3340</v>
      </c>
      <c r="BG16" t="s">
        <v>7868</v>
      </c>
      <c r="BH16" t="s">
        <v>3381</v>
      </c>
      <c r="BI16" t="s">
        <v>3400</v>
      </c>
      <c r="BJ16" t="s">
        <v>7871</v>
      </c>
      <c r="BK16">
        <v>60000</v>
      </c>
      <c r="BL16" t="s">
        <v>7870</v>
      </c>
      <c r="BM16" t="s">
        <v>7872</v>
      </c>
      <c r="BN16">
        <v>3.1</v>
      </c>
      <c r="BO16">
        <v>20320</v>
      </c>
      <c r="BP16">
        <v>210</v>
      </c>
      <c r="BQ16">
        <v>0.08</v>
      </c>
      <c r="BR16">
        <v>2276.6000000000004</v>
      </c>
      <c r="BS16" t="s">
        <v>3368</v>
      </c>
      <c r="BT16" s="22"/>
    </row>
    <row r="17" spans="1:218" x14ac:dyDescent="0.25">
      <c r="A17" t="s">
        <v>8317</v>
      </c>
      <c r="B17" t="s">
        <v>7879</v>
      </c>
      <c r="C17" t="s">
        <v>7866</v>
      </c>
      <c r="D17" t="s">
        <v>3383</v>
      </c>
      <c r="E17" t="s">
        <v>3356</v>
      </c>
      <c r="F17" s="20">
        <v>41759</v>
      </c>
      <c r="G17" s="21">
        <v>4765.8999999999996</v>
      </c>
      <c r="H17" s="21">
        <v>107519.66</v>
      </c>
      <c r="I17" t="s">
        <v>3363</v>
      </c>
      <c r="J17" s="20">
        <v>41659</v>
      </c>
      <c r="K17" s="20"/>
      <c r="L17" s="20"/>
      <c r="M17" s="20"/>
      <c r="N17" s="21"/>
      <c r="O17" s="20"/>
      <c r="P17" s="20"/>
      <c r="Q17" s="20"/>
      <c r="R17" s="20"/>
      <c r="S17" s="21"/>
      <c r="T17" t="s">
        <v>8234</v>
      </c>
      <c r="U17" s="21">
        <v>0</v>
      </c>
      <c r="V17" t="s">
        <v>8339</v>
      </c>
      <c r="W17" t="s">
        <v>8364</v>
      </c>
      <c r="X17">
        <v>146.47</v>
      </c>
      <c r="Y17">
        <v>959512</v>
      </c>
      <c r="Z17" s="21">
        <v>107519.66</v>
      </c>
      <c r="AD17" s="22" t="s">
        <v>7873</v>
      </c>
      <c r="AE17" t="s">
        <v>7875</v>
      </c>
      <c r="AF17" t="s">
        <v>13</v>
      </c>
      <c r="AG17" t="s">
        <v>14</v>
      </c>
      <c r="AH17">
        <v>77074</v>
      </c>
      <c r="AI17" t="s">
        <v>41</v>
      </c>
      <c r="AK17" t="s">
        <v>3340</v>
      </c>
      <c r="AL17" t="s">
        <v>7874</v>
      </c>
      <c r="AM17" t="s">
        <v>3381</v>
      </c>
      <c r="AN17" t="s">
        <v>3400</v>
      </c>
      <c r="AO17" t="s">
        <v>7876</v>
      </c>
      <c r="AP17">
        <v>100000</v>
      </c>
      <c r="AQ17" t="s">
        <v>7877</v>
      </c>
      <c r="AR17" t="s">
        <v>7878</v>
      </c>
      <c r="AS17">
        <v>146.47</v>
      </c>
      <c r="AT17">
        <v>959512</v>
      </c>
      <c r="AU17">
        <v>210</v>
      </c>
      <c r="AV17">
        <v>0.08</v>
      </c>
      <c r="AW17">
        <v>107519.66</v>
      </c>
      <c r="AX17" t="s">
        <v>3369</v>
      </c>
      <c r="AY17" s="22"/>
      <c r="BT17" s="22"/>
    </row>
    <row r="18" spans="1:218" x14ac:dyDescent="0.25">
      <c r="A18" t="s">
        <v>8318</v>
      </c>
      <c r="B18" t="s">
        <v>7886</v>
      </c>
      <c r="C18" t="s">
        <v>7866</v>
      </c>
      <c r="D18" t="s">
        <v>3383</v>
      </c>
      <c r="E18" t="s">
        <v>3356</v>
      </c>
      <c r="F18" s="20">
        <v>41759</v>
      </c>
      <c r="G18" s="21">
        <v>2339.56</v>
      </c>
      <c r="H18" s="21">
        <v>43847.94</v>
      </c>
      <c r="I18" t="s">
        <v>3363</v>
      </c>
      <c r="J18" s="20">
        <v>41659</v>
      </c>
      <c r="K18" s="20"/>
      <c r="L18" s="20"/>
      <c r="M18" s="20"/>
      <c r="N18" s="21"/>
      <c r="O18" s="20"/>
      <c r="P18" s="20"/>
      <c r="Q18" s="20"/>
      <c r="R18" s="20"/>
      <c r="S18" s="21"/>
      <c r="T18" t="s">
        <v>8234</v>
      </c>
      <c r="U18" s="21">
        <v>0</v>
      </c>
      <c r="V18" t="s">
        <v>8346</v>
      </c>
      <c r="W18" t="s">
        <v>8364</v>
      </c>
      <c r="X18">
        <v>59.73</v>
      </c>
      <c r="Y18">
        <v>391308</v>
      </c>
      <c r="Z18" s="21">
        <v>43847.94</v>
      </c>
      <c r="AD18" s="22" t="s">
        <v>7880</v>
      </c>
      <c r="AE18" t="s">
        <v>7882</v>
      </c>
      <c r="AF18" t="s">
        <v>13</v>
      </c>
      <c r="AG18" t="s">
        <v>14</v>
      </c>
      <c r="AH18">
        <v>77074</v>
      </c>
      <c r="AI18" t="s">
        <v>41</v>
      </c>
      <c r="AK18" t="s">
        <v>3340</v>
      </c>
      <c r="AL18" t="s">
        <v>7881</v>
      </c>
      <c r="AM18" t="s">
        <v>3381</v>
      </c>
      <c r="AN18" t="s">
        <v>3400</v>
      </c>
      <c r="AO18" t="s">
        <v>7883</v>
      </c>
      <c r="AP18">
        <v>100000</v>
      </c>
      <c r="AQ18" t="s">
        <v>7884</v>
      </c>
      <c r="AR18" t="s">
        <v>7885</v>
      </c>
      <c r="AS18">
        <v>59.73</v>
      </c>
      <c r="AT18">
        <v>391308</v>
      </c>
      <c r="AU18">
        <v>210</v>
      </c>
      <c r="AV18">
        <v>0.08</v>
      </c>
      <c r="AW18">
        <v>43847.94</v>
      </c>
      <c r="AX18" t="s">
        <v>3369</v>
      </c>
      <c r="AY18" s="22"/>
      <c r="BT18" s="22"/>
    </row>
    <row r="19" spans="1:218" x14ac:dyDescent="0.25">
      <c r="A19" t="s">
        <v>8319</v>
      </c>
      <c r="B19" t="s">
        <v>7892</v>
      </c>
      <c r="C19" t="s">
        <v>7866</v>
      </c>
      <c r="D19" t="s">
        <v>3383</v>
      </c>
      <c r="E19" t="s">
        <v>3356</v>
      </c>
      <c r="F19" s="20">
        <v>41759</v>
      </c>
      <c r="G19" s="21">
        <v>423.31</v>
      </c>
      <c r="H19" s="21">
        <v>8468.24</v>
      </c>
      <c r="I19" t="s">
        <v>3363</v>
      </c>
      <c r="J19" s="20">
        <v>41660</v>
      </c>
      <c r="K19" s="20">
        <v>41669</v>
      </c>
      <c r="L19" s="20">
        <v>41675</v>
      </c>
      <c r="M19" s="20">
        <v>41682</v>
      </c>
      <c r="N19" s="21">
        <v>49678.09</v>
      </c>
      <c r="O19" s="20">
        <v>41682</v>
      </c>
      <c r="P19" s="20">
        <v>41684</v>
      </c>
      <c r="Q19" s="20">
        <v>41710</v>
      </c>
      <c r="R19" s="20">
        <v>41701</v>
      </c>
      <c r="S19" s="21"/>
      <c r="T19" t="s">
        <v>8234</v>
      </c>
      <c r="U19" s="21">
        <v>0</v>
      </c>
      <c r="V19" t="s">
        <v>8341</v>
      </c>
      <c r="W19" t="s">
        <v>8364</v>
      </c>
      <c r="X19">
        <v>29.46</v>
      </c>
      <c r="Y19">
        <v>111502</v>
      </c>
      <c r="Z19" s="21">
        <v>8753.64</v>
      </c>
      <c r="AD19" s="22" t="s">
        <v>7887</v>
      </c>
      <c r="AE19" t="s">
        <v>7888</v>
      </c>
      <c r="AF19" t="s">
        <v>13</v>
      </c>
      <c r="AG19" t="s">
        <v>14</v>
      </c>
      <c r="AH19">
        <v>77074</v>
      </c>
      <c r="AI19" t="s">
        <v>41</v>
      </c>
      <c r="AK19" t="s">
        <v>3327</v>
      </c>
      <c r="AL19" t="s">
        <v>7889</v>
      </c>
      <c r="AM19" t="s">
        <v>3381</v>
      </c>
      <c r="AN19" t="s">
        <v>7890</v>
      </c>
      <c r="AO19" t="s">
        <v>7876</v>
      </c>
      <c r="AP19">
        <v>55000</v>
      </c>
      <c r="AQ19" t="s">
        <v>7877</v>
      </c>
      <c r="AR19" t="s">
        <v>7891</v>
      </c>
      <c r="AS19">
        <v>26.32</v>
      </c>
      <c r="AT19">
        <v>99608</v>
      </c>
      <c r="AU19">
        <v>120</v>
      </c>
      <c r="AV19">
        <v>0.04</v>
      </c>
      <c r="AW19">
        <v>7142.72</v>
      </c>
      <c r="AX19" t="s">
        <v>3369</v>
      </c>
      <c r="AY19" s="22" t="s">
        <v>7887</v>
      </c>
      <c r="AZ19" t="s">
        <v>7888</v>
      </c>
      <c r="BA19" t="s">
        <v>13</v>
      </c>
      <c r="BB19" t="s">
        <v>14</v>
      </c>
      <c r="BC19">
        <v>77074</v>
      </c>
      <c r="BD19" t="s">
        <v>41</v>
      </c>
      <c r="BF19" t="s">
        <v>3340</v>
      </c>
      <c r="BG19" t="s">
        <v>7889</v>
      </c>
      <c r="BH19" t="s">
        <v>3381</v>
      </c>
      <c r="BI19" t="s">
        <v>7890</v>
      </c>
      <c r="BJ19" t="s">
        <v>7876</v>
      </c>
      <c r="BK19">
        <v>55000</v>
      </c>
      <c r="BL19" t="s">
        <v>7877</v>
      </c>
      <c r="BM19" t="s">
        <v>7891</v>
      </c>
      <c r="BN19">
        <v>3.14</v>
      </c>
      <c r="BO19">
        <v>11894</v>
      </c>
      <c r="BP19">
        <v>210</v>
      </c>
      <c r="BQ19">
        <v>0.08</v>
      </c>
      <c r="BR19">
        <v>1610.92</v>
      </c>
      <c r="BS19" t="s">
        <v>3369</v>
      </c>
      <c r="BT19" s="22"/>
    </row>
    <row r="20" spans="1:218" x14ac:dyDescent="0.25">
      <c r="A20" t="s">
        <v>8320</v>
      </c>
      <c r="B20" t="s">
        <v>7898</v>
      </c>
      <c r="C20" t="s">
        <v>7866</v>
      </c>
      <c r="D20" t="s">
        <v>3383</v>
      </c>
      <c r="E20" t="s">
        <v>3356</v>
      </c>
      <c r="F20" s="20">
        <v>41759</v>
      </c>
      <c r="G20" s="21">
        <v>7254.55</v>
      </c>
      <c r="H20" s="21"/>
      <c r="I20" t="s">
        <v>3364</v>
      </c>
      <c r="J20" s="20">
        <v>41662</v>
      </c>
      <c r="K20" s="20">
        <v>41669</v>
      </c>
      <c r="L20" s="20">
        <v>41675</v>
      </c>
      <c r="M20" s="20">
        <v>41701</v>
      </c>
      <c r="N20" s="21">
        <v>422822.34</v>
      </c>
      <c r="O20" s="20">
        <v>41701</v>
      </c>
      <c r="P20" s="20">
        <v>41709</v>
      </c>
      <c r="Q20" s="20">
        <v>41715</v>
      </c>
      <c r="R20" s="20">
        <v>41708</v>
      </c>
      <c r="S20" s="21"/>
      <c r="T20" t="s">
        <v>8234</v>
      </c>
      <c r="U20" s="21">
        <v>0</v>
      </c>
      <c r="V20" t="s">
        <v>8339</v>
      </c>
      <c r="W20" t="s">
        <v>8364</v>
      </c>
      <c r="X20">
        <v>201.48</v>
      </c>
      <c r="Y20">
        <v>1281995</v>
      </c>
      <c r="Z20" s="21">
        <v>141563.4</v>
      </c>
      <c r="AD20" s="22" t="s">
        <v>7893</v>
      </c>
      <c r="AE20" t="s">
        <v>7894</v>
      </c>
      <c r="AF20" t="s">
        <v>13</v>
      </c>
      <c r="AG20" t="s">
        <v>14</v>
      </c>
      <c r="AH20">
        <v>77074</v>
      </c>
      <c r="AI20" t="s">
        <v>41</v>
      </c>
      <c r="AK20" t="s">
        <v>3340</v>
      </c>
      <c r="AL20" t="s">
        <v>7895</v>
      </c>
      <c r="AM20" t="s">
        <v>3381</v>
      </c>
      <c r="AN20" t="s">
        <v>3400</v>
      </c>
      <c r="AO20" t="s">
        <v>7897</v>
      </c>
      <c r="AP20">
        <v>100000</v>
      </c>
      <c r="AQ20" t="s">
        <v>7896</v>
      </c>
      <c r="AR20" t="s">
        <v>7878</v>
      </c>
      <c r="AS20">
        <v>187.78</v>
      </c>
      <c r="AT20">
        <v>1230145</v>
      </c>
      <c r="AU20">
        <v>210</v>
      </c>
      <c r="AV20">
        <v>0.08</v>
      </c>
      <c r="AW20">
        <v>137845.40000000002</v>
      </c>
      <c r="AX20" t="s">
        <v>3369</v>
      </c>
      <c r="AY20" s="22" t="s">
        <v>7893</v>
      </c>
      <c r="AZ20" t="s">
        <v>7894</v>
      </c>
      <c r="BA20" t="s">
        <v>13</v>
      </c>
      <c r="BB20" t="s">
        <v>14</v>
      </c>
      <c r="BC20">
        <v>77074</v>
      </c>
      <c r="BD20" t="s">
        <v>41</v>
      </c>
      <c r="BF20" t="s">
        <v>3327</v>
      </c>
      <c r="BG20" t="s">
        <v>7895</v>
      </c>
      <c r="BH20" t="s">
        <v>3381</v>
      </c>
      <c r="BI20" t="s">
        <v>7890</v>
      </c>
      <c r="BJ20" t="s">
        <v>7897</v>
      </c>
      <c r="BK20">
        <v>100000</v>
      </c>
      <c r="BL20" t="s">
        <v>7896</v>
      </c>
      <c r="BM20" t="s">
        <v>7878</v>
      </c>
      <c r="BN20">
        <v>13.7</v>
      </c>
      <c r="BO20">
        <v>51850</v>
      </c>
      <c r="BP20">
        <v>120</v>
      </c>
      <c r="BQ20">
        <v>0.04</v>
      </c>
      <c r="BR20">
        <v>3718</v>
      </c>
      <c r="BS20" t="s">
        <v>3369</v>
      </c>
      <c r="BT20" s="22"/>
    </row>
    <row r="21" spans="1:218" x14ac:dyDescent="0.25">
      <c r="A21" t="s">
        <v>8321</v>
      </c>
      <c r="B21" t="s">
        <v>7904</v>
      </c>
      <c r="C21" t="s">
        <v>7866</v>
      </c>
      <c r="D21" t="s">
        <v>3383</v>
      </c>
      <c r="E21" t="s">
        <v>3356</v>
      </c>
      <c r="F21" s="20">
        <v>41759</v>
      </c>
      <c r="G21" s="21">
        <v>765.4</v>
      </c>
      <c r="H21" s="21">
        <v>15878.24</v>
      </c>
      <c r="I21" t="s">
        <v>3364</v>
      </c>
      <c r="J21" s="20">
        <v>41662</v>
      </c>
      <c r="K21" s="20">
        <v>41669</v>
      </c>
      <c r="L21" s="20">
        <v>41675</v>
      </c>
      <c r="M21" s="20">
        <v>41689</v>
      </c>
      <c r="N21" s="21">
        <v>77077.25</v>
      </c>
      <c r="O21" s="20">
        <v>41689</v>
      </c>
      <c r="P21" s="20">
        <v>41691</v>
      </c>
      <c r="Q21" s="20">
        <v>41712</v>
      </c>
      <c r="R21" s="20">
        <v>41701</v>
      </c>
      <c r="S21" s="21"/>
      <c r="T21" t="s">
        <v>8234</v>
      </c>
      <c r="U21" s="21">
        <v>0</v>
      </c>
      <c r="V21" t="s">
        <v>8341</v>
      </c>
      <c r="W21" t="s">
        <v>8364</v>
      </c>
      <c r="X21">
        <v>60.78</v>
      </c>
      <c r="Y21">
        <v>226643</v>
      </c>
      <c r="Z21" s="21">
        <v>16393.16</v>
      </c>
      <c r="AD21" s="22" t="s">
        <v>7899</v>
      </c>
      <c r="AE21" t="s">
        <v>7900</v>
      </c>
      <c r="AF21" t="s">
        <v>7901</v>
      </c>
      <c r="AG21" t="s">
        <v>14</v>
      </c>
      <c r="AH21">
        <v>77469</v>
      </c>
      <c r="AI21" t="s">
        <v>7845</v>
      </c>
      <c r="AK21" t="s">
        <v>3327</v>
      </c>
      <c r="AL21" t="s">
        <v>7902</v>
      </c>
      <c r="AM21" t="s">
        <v>3381</v>
      </c>
      <c r="AN21" t="s">
        <v>7890</v>
      </c>
      <c r="AO21" t="s">
        <v>7903</v>
      </c>
      <c r="AP21">
        <v>55000</v>
      </c>
      <c r="AQ21" t="s">
        <v>7877</v>
      </c>
      <c r="AR21" t="s">
        <v>7878</v>
      </c>
      <c r="AS21">
        <v>60.64</v>
      </c>
      <c r="AT21">
        <v>226112</v>
      </c>
      <c r="AU21">
        <v>120</v>
      </c>
      <c r="AV21">
        <v>0.04</v>
      </c>
      <c r="AW21">
        <v>16321.279999999999</v>
      </c>
      <c r="AX21" t="s">
        <v>3369</v>
      </c>
      <c r="AY21" s="22" t="s">
        <v>7899</v>
      </c>
      <c r="AZ21" t="s">
        <v>7900</v>
      </c>
      <c r="BA21" t="s">
        <v>7901</v>
      </c>
      <c r="BB21" t="s">
        <v>14</v>
      </c>
      <c r="BC21">
        <v>77469</v>
      </c>
      <c r="BD21" t="s">
        <v>7845</v>
      </c>
      <c r="BF21" t="s">
        <v>3340</v>
      </c>
      <c r="BG21" t="s">
        <v>7902</v>
      </c>
      <c r="BH21" t="s">
        <v>3381</v>
      </c>
      <c r="BI21" t="s">
        <v>7890</v>
      </c>
      <c r="BJ21" t="s">
        <v>7903</v>
      </c>
      <c r="BK21">
        <v>55000</v>
      </c>
      <c r="BL21" t="s">
        <v>7877</v>
      </c>
      <c r="BM21" t="s">
        <v>7878</v>
      </c>
      <c r="BN21">
        <v>0.14000000000000001</v>
      </c>
      <c r="BO21">
        <v>531</v>
      </c>
      <c r="BP21">
        <v>210</v>
      </c>
      <c r="BQ21">
        <v>0.08</v>
      </c>
      <c r="BR21">
        <v>71.88000000000001</v>
      </c>
      <c r="BS21" t="s">
        <v>3369</v>
      </c>
      <c r="BT21" s="22"/>
    </row>
    <row r="22" spans="1:218" x14ac:dyDescent="0.25">
      <c r="A22" t="s">
        <v>8322</v>
      </c>
      <c r="B22" t="s">
        <v>7910</v>
      </c>
      <c r="C22" t="s">
        <v>7913</v>
      </c>
      <c r="D22" t="s">
        <v>3383</v>
      </c>
      <c r="E22" t="s">
        <v>3356</v>
      </c>
      <c r="F22" s="20">
        <v>41760</v>
      </c>
      <c r="G22" s="21">
        <v>497.64</v>
      </c>
      <c r="H22" s="21">
        <v>9952.76</v>
      </c>
      <c r="I22" t="s">
        <v>3363</v>
      </c>
      <c r="J22" s="20">
        <v>41675</v>
      </c>
      <c r="K22" s="20">
        <v>41682</v>
      </c>
      <c r="L22" s="20">
        <v>41736</v>
      </c>
      <c r="M22" s="20">
        <v>41750</v>
      </c>
      <c r="N22" s="21">
        <v>126652.5</v>
      </c>
      <c r="O22" s="20">
        <v>41750</v>
      </c>
      <c r="P22" s="20">
        <v>41753</v>
      </c>
      <c r="Q22" s="20">
        <v>41779</v>
      </c>
      <c r="R22" s="20">
        <v>41779</v>
      </c>
      <c r="S22" s="21">
        <v>9952.76</v>
      </c>
      <c r="T22" t="s">
        <v>8234</v>
      </c>
      <c r="U22" s="21">
        <v>0</v>
      </c>
      <c r="V22" t="s">
        <v>8344</v>
      </c>
      <c r="W22" t="s">
        <v>8370</v>
      </c>
      <c r="X22">
        <v>26.05</v>
      </c>
      <c r="Y22">
        <v>170669</v>
      </c>
      <c r="Z22" s="21">
        <v>9952.76</v>
      </c>
      <c r="AD22" s="22" t="s">
        <v>7912</v>
      </c>
      <c r="AE22" t="s">
        <v>7914</v>
      </c>
      <c r="AF22" t="s">
        <v>7915</v>
      </c>
      <c r="AG22" t="s">
        <v>14</v>
      </c>
      <c r="AH22">
        <v>77338</v>
      </c>
      <c r="AI22" t="s">
        <v>41</v>
      </c>
      <c r="AK22" t="s">
        <v>3327</v>
      </c>
      <c r="AL22" t="s">
        <v>7911</v>
      </c>
      <c r="AM22" t="s">
        <v>3381</v>
      </c>
      <c r="AN22" t="s">
        <v>7906</v>
      </c>
      <c r="AO22" t="s">
        <v>7916</v>
      </c>
      <c r="AP22">
        <v>400000</v>
      </c>
      <c r="AQ22" t="s">
        <v>7917</v>
      </c>
      <c r="AR22" t="s">
        <v>7918</v>
      </c>
      <c r="AS22">
        <v>26.05</v>
      </c>
      <c r="AT22">
        <v>170669</v>
      </c>
      <c r="AU22">
        <v>120</v>
      </c>
      <c r="AV22">
        <v>0.04</v>
      </c>
      <c r="AW22">
        <v>9952.76</v>
      </c>
      <c r="AX22" t="s">
        <v>3359</v>
      </c>
      <c r="AY22" s="22"/>
      <c r="BT22" s="22"/>
    </row>
    <row r="23" spans="1:218" x14ac:dyDescent="0.25">
      <c r="A23" t="s">
        <v>8323</v>
      </c>
      <c r="B23" t="s">
        <v>7925</v>
      </c>
      <c r="C23" t="s">
        <v>7919</v>
      </c>
      <c r="D23" t="s">
        <v>3383</v>
      </c>
      <c r="E23" t="s">
        <v>3357</v>
      </c>
      <c r="F23" s="20">
        <v>41729</v>
      </c>
      <c r="G23" s="21">
        <v>1088.52</v>
      </c>
      <c r="H23" s="21">
        <v>22677.5</v>
      </c>
      <c r="I23" t="s">
        <v>3364</v>
      </c>
      <c r="J23" s="20">
        <v>41675</v>
      </c>
      <c r="K23" s="20">
        <v>41680</v>
      </c>
      <c r="L23" s="20">
        <v>41708</v>
      </c>
      <c r="M23" s="20">
        <v>41750</v>
      </c>
      <c r="N23" s="21">
        <v>381040</v>
      </c>
      <c r="O23" s="20">
        <v>41750</v>
      </c>
      <c r="P23" s="20">
        <v>41751</v>
      </c>
      <c r="Q23" s="20">
        <v>41752</v>
      </c>
      <c r="R23" s="20"/>
      <c r="S23" s="21">
        <v>22677.5</v>
      </c>
      <c r="T23" t="s">
        <v>8234</v>
      </c>
      <c r="U23" s="21">
        <v>0</v>
      </c>
      <c r="V23" t="s">
        <v>8344</v>
      </c>
      <c r="W23" t="s">
        <v>8371</v>
      </c>
      <c r="X23">
        <v>21.24</v>
      </c>
      <c r="Y23">
        <v>56587</v>
      </c>
      <c r="Z23" s="21">
        <v>11746.97</v>
      </c>
      <c r="AD23" s="22" t="s">
        <v>7920</v>
      </c>
      <c r="AE23" t="s">
        <v>7921</v>
      </c>
      <c r="AF23" t="s">
        <v>13</v>
      </c>
      <c r="AG23" t="s">
        <v>14</v>
      </c>
      <c r="AH23">
        <v>77057</v>
      </c>
      <c r="AI23" t="s">
        <v>41</v>
      </c>
      <c r="AK23" t="s">
        <v>3343</v>
      </c>
      <c r="AL23" t="s">
        <v>8041</v>
      </c>
      <c r="AM23" t="s">
        <v>3381</v>
      </c>
      <c r="AN23" t="s">
        <v>3370</v>
      </c>
      <c r="AO23" t="s">
        <v>7922</v>
      </c>
      <c r="AP23">
        <v>130090</v>
      </c>
      <c r="AQ23" t="s">
        <v>7923</v>
      </c>
      <c r="AR23" t="s">
        <v>7924</v>
      </c>
      <c r="AS23">
        <v>21.24</v>
      </c>
      <c r="AT23">
        <v>56587</v>
      </c>
      <c r="AU23">
        <v>260</v>
      </c>
      <c r="AV23">
        <v>0.11</v>
      </c>
      <c r="AW23">
        <v>11746.97</v>
      </c>
      <c r="AX23" t="s">
        <v>3370</v>
      </c>
      <c r="AY23" s="22"/>
      <c r="BT23" s="22"/>
    </row>
    <row r="24" spans="1:218" x14ac:dyDescent="0.25">
      <c r="A24" t="s">
        <v>8324</v>
      </c>
      <c r="B24" t="s">
        <v>7929</v>
      </c>
      <c r="C24" t="s">
        <v>7926</v>
      </c>
      <c r="D24" t="s">
        <v>3383</v>
      </c>
      <c r="E24" t="s">
        <v>3356</v>
      </c>
      <c r="F24" s="20">
        <v>41759</v>
      </c>
      <c r="G24" s="21">
        <v>1186</v>
      </c>
      <c r="H24" s="21">
        <v>32273.98</v>
      </c>
      <c r="I24" t="s">
        <v>3364</v>
      </c>
      <c r="J24" s="20">
        <v>41647</v>
      </c>
      <c r="K24" s="20">
        <v>41654</v>
      </c>
      <c r="L24" s="20">
        <v>41677</v>
      </c>
      <c r="M24" s="20">
        <v>41752</v>
      </c>
      <c r="N24" s="21">
        <v>126323.42</v>
      </c>
      <c r="O24" s="20">
        <v>41752</v>
      </c>
      <c r="P24" s="20">
        <v>41758</v>
      </c>
      <c r="Q24" s="20">
        <v>41774</v>
      </c>
      <c r="R24" s="20">
        <v>41772</v>
      </c>
      <c r="S24" s="21">
        <v>32939.519999999997</v>
      </c>
      <c r="T24" t="s">
        <v>8234</v>
      </c>
      <c r="U24" s="21">
        <v>0</v>
      </c>
      <c r="V24" t="s">
        <v>8344</v>
      </c>
      <c r="W24" t="s">
        <v>8372</v>
      </c>
      <c r="X24">
        <v>64.14</v>
      </c>
      <c r="Y24">
        <v>259054</v>
      </c>
      <c r="Z24" s="21">
        <v>32939.519999999997</v>
      </c>
      <c r="AD24" s="22" t="s">
        <v>7927</v>
      </c>
      <c r="AE24" t="s">
        <v>7928</v>
      </c>
      <c r="AF24" t="s">
        <v>13</v>
      </c>
      <c r="AG24" t="s">
        <v>14</v>
      </c>
      <c r="AH24">
        <v>77064</v>
      </c>
      <c r="AI24" t="s">
        <v>41</v>
      </c>
      <c r="AK24" t="s">
        <v>3340</v>
      </c>
      <c r="AL24" t="s">
        <v>7929</v>
      </c>
      <c r="AM24" t="s">
        <v>3381</v>
      </c>
      <c r="AN24" t="s">
        <v>3403</v>
      </c>
      <c r="AO24" t="s">
        <v>2543</v>
      </c>
      <c r="AP24">
        <v>28000</v>
      </c>
      <c r="AQ24" t="s">
        <v>727</v>
      </c>
      <c r="AR24" t="s">
        <v>733</v>
      </c>
      <c r="AS24">
        <v>0.93</v>
      </c>
      <c r="AT24">
        <v>4022</v>
      </c>
      <c r="AU24">
        <v>210</v>
      </c>
      <c r="AV24">
        <v>0.08</v>
      </c>
      <c r="AW24">
        <v>517.05999999999995</v>
      </c>
      <c r="AX24" t="s">
        <v>3369</v>
      </c>
      <c r="AY24" s="22" t="s">
        <v>7927</v>
      </c>
      <c r="AZ24" t="s">
        <v>7928</v>
      </c>
      <c r="BA24" t="s">
        <v>13</v>
      </c>
      <c r="BB24" t="s">
        <v>14</v>
      </c>
      <c r="BC24">
        <v>77064</v>
      </c>
      <c r="BD24" t="s">
        <v>41</v>
      </c>
      <c r="BF24" t="s">
        <v>3327</v>
      </c>
      <c r="BG24" t="s">
        <v>7929</v>
      </c>
      <c r="BH24" t="s">
        <v>3381</v>
      </c>
      <c r="BI24" t="s">
        <v>3403</v>
      </c>
      <c r="BJ24" t="s">
        <v>2543</v>
      </c>
      <c r="BK24">
        <v>28000</v>
      </c>
      <c r="BL24" t="s">
        <v>727</v>
      </c>
      <c r="BM24" t="s">
        <v>733</v>
      </c>
      <c r="BN24">
        <v>4.76</v>
      </c>
      <c r="BO24">
        <v>20645</v>
      </c>
      <c r="BP24">
        <v>120</v>
      </c>
      <c r="BQ24">
        <v>0.04</v>
      </c>
      <c r="BR24">
        <v>1397</v>
      </c>
      <c r="BS24" t="s">
        <v>3369</v>
      </c>
      <c r="BT24" s="22" t="s">
        <v>7927</v>
      </c>
      <c r="BU24" t="s">
        <v>7928</v>
      </c>
      <c r="BV24" t="s">
        <v>13</v>
      </c>
      <c r="BW24" t="s">
        <v>14</v>
      </c>
      <c r="BX24">
        <v>77064</v>
      </c>
      <c r="BY24" t="s">
        <v>41</v>
      </c>
      <c r="CA24" t="s">
        <v>3340</v>
      </c>
      <c r="CB24" t="s">
        <v>7929</v>
      </c>
      <c r="CC24" t="s">
        <v>3381</v>
      </c>
      <c r="CD24" t="s">
        <v>3400</v>
      </c>
      <c r="CE24" t="s">
        <v>2543</v>
      </c>
      <c r="CF24">
        <v>28000</v>
      </c>
      <c r="CG24" t="s">
        <v>727</v>
      </c>
      <c r="CH24" t="s">
        <v>733</v>
      </c>
      <c r="CI24">
        <v>1.57</v>
      </c>
      <c r="CJ24">
        <v>10254</v>
      </c>
      <c r="CK24">
        <v>210</v>
      </c>
      <c r="CL24">
        <v>0.08</v>
      </c>
      <c r="CM24">
        <v>1150.02</v>
      </c>
      <c r="CN24" t="s">
        <v>3369</v>
      </c>
      <c r="CO24" s="22" t="s">
        <v>7930</v>
      </c>
      <c r="CP24" t="s">
        <v>7931</v>
      </c>
      <c r="CQ24" t="s">
        <v>13</v>
      </c>
      <c r="CR24" t="s">
        <v>14</v>
      </c>
      <c r="CS24">
        <v>77034</v>
      </c>
      <c r="CT24" t="s">
        <v>41</v>
      </c>
      <c r="CV24" t="s">
        <v>3340</v>
      </c>
      <c r="CW24" t="s">
        <v>7929</v>
      </c>
      <c r="CX24" t="s">
        <v>3381</v>
      </c>
      <c r="CY24" t="s">
        <v>3421</v>
      </c>
      <c r="CZ24" t="s">
        <v>2543</v>
      </c>
      <c r="DA24">
        <v>10050</v>
      </c>
      <c r="DB24" t="s">
        <v>727</v>
      </c>
      <c r="DC24" t="s">
        <v>733</v>
      </c>
      <c r="DD24">
        <v>32.520000000000003</v>
      </c>
      <c r="DE24">
        <v>126522</v>
      </c>
      <c r="DF24">
        <v>210</v>
      </c>
      <c r="DG24">
        <v>0.08</v>
      </c>
      <c r="DH24">
        <v>16950.96</v>
      </c>
      <c r="DI24" t="s">
        <v>3369</v>
      </c>
      <c r="DJ24" s="22" t="s">
        <v>7930</v>
      </c>
      <c r="DK24" t="s">
        <v>7931</v>
      </c>
      <c r="DL24" t="s">
        <v>13</v>
      </c>
      <c r="DM24" t="s">
        <v>14</v>
      </c>
      <c r="DN24">
        <v>77034</v>
      </c>
      <c r="DO24" t="s">
        <v>41</v>
      </c>
      <c r="DQ24" t="s">
        <v>3340</v>
      </c>
      <c r="DR24" t="s">
        <v>7929</v>
      </c>
      <c r="DS24" t="s">
        <v>3381</v>
      </c>
      <c r="DT24" t="s">
        <v>3400</v>
      </c>
      <c r="DU24" t="s">
        <v>733</v>
      </c>
      <c r="DV24">
        <v>10050</v>
      </c>
      <c r="DY24">
        <v>0.42</v>
      </c>
      <c r="DZ24">
        <v>2733</v>
      </c>
      <c r="EA24">
        <v>210</v>
      </c>
      <c r="EB24">
        <v>0.08</v>
      </c>
      <c r="EC24">
        <v>306.84000000000003</v>
      </c>
      <c r="ED24" t="s">
        <v>3369</v>
      </c>
      <c r="EE24" s="22" t="s">
        <v>7932</v>
      </c>
      <c r="EF24" t="s">
        <v>7933</v>
      </c>
      <c r="EG24" t="s">
        <v>262</v>
      </c>
      <c r="EH24" t="s">
        <v>14</v>
      </c>
      <c r="EI24">
        <v>77477</v>
      </c>
      <c r="EJ24" t="s">
        <v>7845</v>
      </c>
      <c r="EL24" t="s">
        <v>3340</v>
      </c>
      <c r="EM24" t="s">
        <v>7929</v>
      </c>
      <c r="EN24" t="s">
        <v>3381</v>
      </c>
      <c r="EO24" t="s">
        <v>3421</v>
      </c>
      <c r="EP24" t="s">
        <v>2543</v>
      </c>
      <c r="EQ24">
        <v>8100</v>
      </c>
      <c r="ER24" t="s">
        <v>727</v>
      </c>
      <c r="ES24" t="s">
        <v>733</v>
      </c>
      <c r="ET24">
        <v>11.24</v>
      </c>
      <c r="EU24">
        <v>43736</v>
      </c>
      <c r="EV24">
        <v>210</v>
      </c>
      <c r="EW24">
        <v>0.08</v>
      </c>
      <c r="EX24">
        <v>5859.2800000000007</v>
      </c>
      <c r="EY24" t="s">
        <v>3369</v>
      </c>
      <c r="EZ24" s="22" t="s">
        <v>7932</v>
      </c>
      <c r="FA24" t="s">
        <v>7933</v>
      </c>
      <c r="FB24" t="s">
        <v>262</v>
      </c>
      <c r="FC24" t="s">
        <v>14</v>
      </c>
      <c r="FD24">
        <v>77477</v>
      </c>
      <c r="FE24" t="s">
        <v>7845</v>
      </c>
      <c r="FG24" t="s">
        <v>3340</v>
      </c>
      <c r="FH24" t="s">
        <v>7929</v>
      </c>
      <c r="FI24" t="s">
        <v>3381</v>
      </c>
      <c r="FJ24" t="s">
        <v>3400</v>
      </c>
      <c r="FK24" t="s">
        <v>2543</v>
      </c>
      <c r="FL24">
        <v>8100</v>
      </c>
      <c r="FM24" t="s">
        <v>727</v>
      </c>
      <c r="FN24" t="s">
        <v>733</v>
      </c>
      <c r="FO24">
        <v>0.51</v>
      </c>
      <c r="FP24">
        <v>3333</v>
      </c>
      <c r="FQ24">
        <v>210</v>
      </c>
      <c r="FR24">
        <v>0.08</v>
      </c>
      <c r="FS24">
        <v>373.74</v>
      </c>
      <c r="FT24" t="s">
        <v>3369</v>
      </c>
      <c r="FU24" s="22" t="s">
        <v>7934</v>
      </c>
      <c r="FV24" t="s">
        <v>7935</v>
      </c>
      <c r="FW24" t="s">
        <v>398</v>
      </c>
      <c r="FX24" t="s">
        <v>14</v>
      </c>
      <c r="FY24">
        <v>77380</v>
      </c>
      <c r="FZ24" t="s">
        <v>1312</v>
      </c>
      <c r="GB24" t="s">
        <v>3340</v>
      </c>
      <c r="GC24" t="s">
        <v>7929</v>
      </c>
      <c r="GD24" t="s">
        <v>3381</v>
      </c>
      <c r="GE24" t="s">
        <v>3421</v>
      </c>
      <c r="GF24" t="s">
        <v>2543</v>
      </c>
      <c r="GG24">
        <v>5400</v>
      </c>
      <c r="GH24" t="s">
        <v>727</v>
      </c>
      <c r="GI24" t="s">
        <v>733</v>
      </c>
      <c r="GJ24">
        <v>10.039999999999999</v>
      </c>
      <c r="GK24">
        <v>39061</v>
      </c>
      <c r="GL24">
        <v>210</v>
      </c>
      <c r="GM24">
        <v>0.08</v>
      </c>
      <c r="GN24">
        <v>5233.28</v>
      </c>
      <c r="GO24" t="s">
        <v>3369</v>
      </c>
      <c r="GP24" s="22" t="s">
        <v>7934</v>
      </c>
      <c r="GQ24" t="s">
        <v>7935</v>
      </c>
      <c r="GR24" t="s">
        <v>398</v>
      </c>
      <c r="GS24" t="s">
        <v>14</v>
      </c>
      <c r="GT24">
        <v>77380</v>
      </c>
      <c r="GU24" t="s">
        <v>1312</v>
      </c>
      <c r="GW24" t="s">
        <v>3340</v>
      </c>
      <c r="GX24" t="s">
        <v>7929</v>
      </c>
      <c r="GY24" t="s">
        <v>3381</v>
      </c>
      <c r="GZ24" t="s">
        <v>3421</v>
      </c>
      <c r="HA24" t="s">
        <v>2543</v>
      </c>
      <c r="HB24">
        <v>5400</v>
      </c>
      <c r="HC24" t="s">
        <v>727</v>
      </c>
      <c r="HD24" t="s">
        <v>733</v>
      </c>
      <c r="HE24">
        <v>2.15</v>
      </c>
      <c r="HF24">
        <v>8748</v>
      </c>
      <c r="HG24">
        <v>210</v>
      </c>
      <c r="HH24">
        <v>0.08</v>
      </c>
      <c r="HI24">
        <v>1151.3400000000001</v>
      </c>
      <c r="HJ24" t="s">
        <v>3369</v>
      </c>
    </row>
    <row r="25" spans="1:218" x14ac:dyDescent="0.25">
      <c r="A25" t="s">
        <v>8325</v>
      </c>
      <c r="B25" t="s">
        <v>7943</v>
      </c>
      <c r="C25" t="s">
        <v>7936</v>
      </c>
      <c r="D25" t="s">
        <v>3383</v>
      </c>
      <c r="E25" t="s">
        <v>3356</v>
      </c>
      <c r="F25" s="20">
        <v>41698</v>
      </c>
      <c r="G25" s="21">
        <v>656.58</v>
      </c>
      <c r="H25" s="21">
        <v>13131.58</v>
      </c>
      <c r="I25" t="s">
        <v>3364</v>
      </c>
      <c r="J25" s="20">
        <v>41677</v>
      </c>
      <c r="K25" s="20">
        <v>41683</v>
      </c>
      <c r="L25" s="20">
        <v>41702</v>
      </c>
      <c r="M25" s="20">
        <v>41719</v>
      </c>
      <c r="N25" s="21">
        <v>86515.66</v>
      </c>
      <c r="O25" s="20">
        <v>41719</v>
      </c>
      <c r="P25" s="20">
        <v>41738</v>
      </c>
      <c r="Q25" s="20">
        <v>41745</v>
      </c>
      <c r="R25" s="20">
        <v>41740</v>
      </c>
      <c r="S25" s="21">
        <v>10278.86</v>
      </c>
      <c r="T25" t="s">
        <v>8234</v>
      </c>
      <c r="U25" s="21">
        <v>0</v>
      </c>
      <c r="V25" t="s">
        <v>8343</v>
      </c>
      <c r="W25" t="s">
        <v>8365</v>
      </c>
      <c r="X25">
        <v>21.049999999999997</v>
      </c>
      <c r="Y25">
        <v>133424</v>
      </c>
      <c r="Z25" s="21">
        <v>10278.86</v>
      </c>
      <c r="AD25" s="22" t="s">
        <v>7937</v>
      </c>
      <c r="AE25" t="s">
        <v>7938</v>
      </c>
      <c r="AF25" t="s">
        <v>13</v>
      </c>
      <c r="AG25" t="s">
        <v>14</v>
      </c>
      <c r="AH25">
        <v>77079</v>
      </c>
      <c r="AI25" t="s">
        <v>41</v>
      </c>
      <c r="AK25" t="s">
        <v>3327</v>
      </c>
      <c r="AL25" t="s">
        <v>7939</v>
      </c>
      <c r="AM25" t="s">
        <v>3381</v>
      </c>
      <c r="AN25" t="s">
        <v>7826</v>
      </c>
      <c r="AO25" t="s">
        <v>7940</v>
      </c>
      <c r="AP25">
        <v>180536</v>
      </c>
      <c r="AQ25" t="s">
        <v>7941</v>
      </c>
      <c r="AR25" t="s">
        <v>7942</v>
      </c>
      <c r="AS25">
        <v>0.57999999999999996</v>
      </c>
      <c r="AT25">
        <v>2684</v>
      </c>
      <c r="AU25">
        <v>120</v>
      </c>
      <c r="AV25">
        <v>0.04</v>
      </c>
      <c r="AW25">
        <v>176.95999999999998</v>
      </c>
      <c r="AX25" t="s">
        <v>3370</v>
      </c>
      <c r="AY25" s="22" t="s">
        <v>7937</v>
      </c>
      <c r="AZ25" t="s">
        <v>7938</v>
      </c>
      <c r="BA25" t="s">
        <v>13</v>
      </c>
      <c r="BB25" t="s">
        <v>14</v>
      </c>
      <c r="BC25">
        <v>77079</v>
      </c>
      <c r="BD25" t="s">
        <v>41</v>
      </c>
      <c r="BF25" t="s">
        <v>3340</v>
      </c>
      <c r="BG25" t="s">
        <v>7939</v>
      </c>
      <c r="BH25" t="s">
        <v>3381</v>
      </c>
      <c r="BI25" t="s">
        <v>7826</v>
      </c>
      <c r="BJ25" t="s">
        <v>7940</v>
      </c>
      <c r="BK25">
        <v>180536</v>
      </c>
      <c r="BL25" t="s">
        <v>7941</v>
      </c>
      <c r="BM25" t="s">
        <v>7942</v>
      </c>
      <c r="BN25">
        <v>0.03</v>
      </c>
      <c r="BO25">
        <v>145</v>
      </c>
      <c r="BP25">
        <v>210</v>
      </c>
      <c r="BQ25">
        <v>0.08</v>
      </c>
      <c r="BR25">
        <v>17.899999999999999</v>
      </c>
      <c r="BS25" t="s">
        <v>3370</v>
      </c>
      <c r="BT25" s="22" t="s">
        <v>7937</v>
      </c>
      <c r="BU25" t="s">
        <v>7938</v>
      </c>
      <c r="BV25" t="s">
        <v>13</v>
      </c>
      <c r="BW25" t="s">
        <v>14</v>
      </c>
      <c r="BX25">
        <v>77079</v>
      </c>
      <c r="BY25" t="s">
        <v>41</v>
      </c>
      <c r="CA25" t="s">
        <v>3340</v>
      </c>
      <c r="CB25" t="s">
        <v>7939</v>
      </c>
      <c r="CC25" t="s">
        <v>3381</v>
      </c>
      <c r="CD25" t="s">
        <v>3434</v>
      </c>
      <c r="CE25" t="s">
        <v>7940</v>
      </c>
      <c r="CF25">
        <v>180536</v>
      </c>
      <c r="CG25" t="s">
        <v>7941</v>
      </c>
      <c r="CH25" t="s">
        <v>7942</v>
      </c>
      <c r="CI25">
        <v>11.08</v>
      </c>
      <c r="CJ25">
        <v>87347</v>
      </c>
      <c r="CK25">
        <v>210</v>
      </c>
      <c r="CL25">
        <v>0.08</v>
      </c>
      <c r="CM25">
        <v>9314.5600000000013</v>
      </c>
      <c r="CN25" t="s">
        <v>3370</v>
      </c>
      <c r="CO25" s="22" t="s">
        <v>7937</v>
      </c>
      <c r="CP25" t="s">
        <v>7938</v>
      </c>
      <c r="CQ25" t="s">
        <v>13</v>
      </c>
      <c r="CR25" t="s">
        <v>14</v>
      </c>
      <c r="CS25">
        <v>77079</v>
      </c>
      <c r="CT25" t="s">
        <v>41</v>
      </c>
      <c r="CV25" t="s">
        <v>3341</v>
      </c>
      <c r="CW25" t="s">
        <v>7939</v>
      </c>
      <c r="CX25" t="s">
        <v>3381</v>
      </c>
      <c r="CY25" t="s">
        <v>7826</v>
      </c>
      <c r="CZ25" t="s">
        <v>7940</v>
      </c>
      <c r="DA25">
        <v>180536</v>
      </c>
      <c r="DB25" t="s">
        <v>7941</v>
      </c>
      <c r="DC25" t="s">
        <v>7942</v>
      </c>
      <c r="DD25">
        <v>9.36</v>
      </c>
      <c r="DE25">
        <v>43248</v>
      </c>
      <c r="DF25">
        <v>36</v>
      </c>
      <c r="DG25">
        <v>0.01</v>
      </c>
      <c r="DH25">
        <v>769.44</v>
      </c>
      <c r="DI25" t="s">
        <v>3370</v>
      </c>
    </row>
    <row r="26" spans="1:218" x14ac:dyDescent="0.25">
      <c r="A26" t="s">
        <v>8326</v>
      </c>
      <c r="B26" t="s">
        <v>7950</v>
      </c>
      <c r="C26" t="s">
        <v>7945</v>
      </c>
      <c r="D26" t="s">
        <v>3383</v>
      </c>
      <c r="E26" t="s">
        <v>3359</v>
      </c>
      <c r="F26" s="20">
        <v>41760</v>
      </c>
      <c r="G26" s="21">
        <v>3798.88</v>
      </c>
      <c r="H26" s="21">
        <v>63746.64</v>
      </c>
      <c r="I26" t="s">
        <v>3363</v>
      </c>
      <c r="J26" s="20">
        <v>41681</v>
      </c>
      <c r="K26" s="20">
        <v>41682</v>
      </c>
      <c r="L26" s="20">
        <v>41704</v>
      </c>
      <c r="M26" s="20">
        <v>41733</v>
      </c>
      <c r="N26" s="21">
        <v>223625.02</v>
      </c>
      <c r="O26" s="20">
        <v>41733</v>
      </c>
      <c r="P26" s="20">
        <v>41739</v>
      </c>
      <c r="Q26" s="20">
        <v>41759</v>
      </c>
      <c r="R26" s="20">
        <v>1</v>
      </c>
      <c r="S26" s="21">
        <v>63746.64</v>
      </c>
      <c r="T26" t="s">
        <v>8234</v>
      </c>
      <c r="U26" s="21">
        <v>0</v>
      </c>
      <c r="V26" t="s">
        <v>8343</v>
      </c>
      <c r="W26" t="s">
        <v>8366</v>
      </c>
      <c r="X26">
        <v>227.87</v>
      </c>
      <c r="Y26">
        <v>227158</v>
      </c>
      <c r="Z26" s="21">
        <v>63746.64</v>
      </c>
      <c r="AD26" s="22" t="s">
        <v>7946</v>
      </c>
      <c r="AE26" t="s">
        <v>7948</v>
      </c>
      <c r="AF26" t="s">
        <v>56</v>
      </c>
      <c r="AG26" t="s">
        <v>14</v>
      </c>
      <c r="AH26">
        <v>77060</v>
      </c>
      <c r="AI26" t="s">
        <v>41</v>
      </c>
      <c r="AK26" t="s">
        <v>3347</v>
      </c>
      <c r="AL26" t="s">
        <v>7944</v>
      </c>
      <c r="AM26" t="s">
        <v>3381</v>
      </c>
      <c r="AO26" t="s">
        <v>2981</v>
      </c>
      <c r="AP26">
        <v>300000</v>
      </c>
      <c r="AQ26" t="s">
        <v>7947</v>
      </c>
      <c r="AR26" t="s">
        <v>7949</v>
      </c>
      <c r="AS26">
        <v>227.87</v>
      </c>
      <c r="AT26">
        <v>227158</v>
      </c>
      <c r="AU26">
        <v>200</v>
      </c>
      <c r="AV26">
        <v>0.08</v>
      </c>
      <c r="AW26">
        <v>63746.64</v>
      </c>
      <c r="AX26" t="s">
        <v>3366</v>
      </c>
      <c r="AY26" s="22"/>
      <c r="BT26" s="22"/>
    </row>
    <row r="27" spans="1:218" x14ac:dyDescent="0.25">
      <c r="A27" t="s">
        <v>8327</v>
      </c>
      <c r="B27" t="s">
        <v>8300</v>
      </c>
      <c r="C27" t="s">
        <v>8229</v>
      </c>
      <c r="D27" t="s">
        <v>3404</v>
      </c>
      <c r="E27" t="s">
        <v>3358</v>
      </c>
      <c r="F27" s="20">
        <v>41855</v>
      </c>
      <c r="G27" s="21">
        <v>2000</v>
      </c>
      <c r="H27" s="21">
        <v>41288.43</v>
      </c>
      <c r="I27" t="s">
        <v>3363</v>
      </c>
      <c r="J27" s="20">
        <v>41740</v>
      </c>
      <c r="K27" s="20">
        <v>1</v>
      </c>
      <c r="L27" s="20">
        <v>41955</v>
      </c>
      <c r="M27" s="20">
        <v>41973</v>
      </c>
      <c r="N27" s="21">
        <v>100000</v>
      </c>
      <c r="O27" s="20">
        <v>41973</v>
      </c>
      <c r="P27" s="20">
        <v>41978</v>
      </c>
      <c r="Q27" s="20">
        <v>41995</v>
      </c>
      <c r="R27" s="20">
        <v>1</v>
      </c>
      <c r="S27" s="21">
        <v>41288.43</v>
      </c>
      <c r="T27" t="s">
        <v>8289</v>
      </c>
      <c r="U27" s="21">
        <v>27755.33</v>
      </c>
      <c r="V27" t="s">
        <v>8343</v>
      </c>
      <c r="W27" t="s">
        <v>8367</v>
      </c>
      <c r="X27">
        <v>139.72</v>
      </c>
      <c r="Y27">
        <v>435274</v>
      </c>
      <c r="Z27" s="21">
        <v>69043.759999999995</v>
      </c>
      <c r="AD27" s="22" t="s">
        <v>8017</v>
      </c>
      <c r="AE27" t="s">
        <v>8018</v>
      </c>
      <c r="AF27" t="s">
        <v>8010</v>
      </c>
      <c r="AG27" t="s">
        <v>14</v>
      </c>
      <c r="AH27">
        <v>77523</v>
      </c>
      <c r="AI27" t="s">
        <v>8019</v>
      </c>
      <c r="AK27" t="s">
        <v>3340</v>
      </c>
      <c r="AL27" t="s">
        <v>8014</v>
      </c>
      <c r="AM27" t="s">
        <v>3381</v>
      </c>
      <c r="AN27" t="s">
        <v>3400</v>
      </c>
      <c r="AO27" t="s">
        <v>7952</v>
      </c>
      <c r="AP27">
        <v>499217</v>
      </c>
      <c r="AQ27" t="s">
        <v>2090</v>
      </c>
      <c r="AR27" t="s">
        <v>8016</v>
      </c>
      <c r="AS27">
        <v>19.18</v>
      </c>
      <c r="AT27">
        <v>125645</v>
      </c>
      <c r="AU27">
        <v>210</v>
      </c>
      <c r="AV27">
        <v>0.08</v>
      </c>
      <c r="AW27">
        <v>14079.4</v>
      </c>
      <c r="AX27" t="s">
        <v>3369</v>
      </c>
      <c r="AY27" s="22" t="s">
        <v>8017</v>
      </c>
      <c r="AZ27" t="s">
        <v>8018</v>
      </c>
      <c r="BA27" t="s">
        <v>8010</v>
      </c>
      <c r="BB27" t="s">
        <v>14</v>
      </c>
      <c r="BC27">
        <v>77523</v>
      </c>
      <c r="BD27" t="s">
        <v>8019</v>
      </c>
      <c r="BF27" t="s">
        <v>3340</v>
      </c>
      <c r="BG27" t="s">
        <v>8014</v>
      </c>
      <c r="BH27" t="s">
        <v>3381</v>
      </c>
      <c r="BI27" t="s">
        <v>3400</v>
      </c>
      <c r="BJ27" t="s">
        <v>7952</v>
      </c>
      <c r="BK27">
        <v>499217</v>
      </c>
      <c r="BL27" t="s">
        <v>2090</v>
      </c>
      <c r="BM27" t="s">
        <v>8016</v>
      </c>
      <c r="BN27">
        <v>19.18</v>
      </c>
      <c r="BO27">
        <v>125645</v>
      </c>
      <c r="BP27">
        <v>210</v>
      </c>
      <c r="BQ27">
        <v>0.08</v>
      </c>
      <c r="BR27">
        <v>14079.4</v>
      </c>
      <c r="BS27" t="s">
        <v>3369</v>
      </c>
      <c r="BT27" s="22" t="s">
        <v>8017</v>
      </c>
      <c r="BU27" t="s">
        <v>8018</v>
      </c>
      <c r="BV27" t="s">
        <v>8010</v>
      </c>
      <c r="BW27" t="s">
        <v>14</v>
      </c>
      <c r="BX27">
        <v>77523</v>
      </c>
      <c r="BY27" t="s">
        <v>8019</v>
      </c>
      <c r="CA27" t="s">
        <v>3344</v>
      </c>
      <c r="CB27" t="s">
        <v>8014</v>
      </c>
      <c r="CC27" t="s">
        <v>3381</v>
      </c>
      <c r="CE27" t="s">
        <v>7952</v>
      </c>
      <c r="CF27">
        <v>499217</v>
      </c>
      <c r="CG27" t="s">
        <v>2090</v>
      </c>
      <c r="CH27" t="s">
        <v>8016</v>
      </c>
      <c r="CI27">
        <v>50.68</v>
      </c>
      <c r="CJ27">
        <v>91992</v>
      </c>
      <c r="CK27">
        <v>240</v>
      </c>
      <c r="CL27">
        <v>0.09</v>
      </c>
      <c r="CM27">
        <v>20442.48</v>
      </c>
      <c r="CN27" t="s">
        <v>3369</v>
      </c>
      <c r="CO27" s="22" t="s">
        <v>8017</v>
      </c>
      <c r="CP27" t="s">
        <v>8018</v>
      </c>
      <c r="CQ27" t="s">
        <v>8010</v>
      </c>
      <c r="CR27" t="s">
        <v>14</v>
      </c>
      <c r="CS27">
        <v>77523</v>
      </c>
      <c r="CT27" t="s">
        <v>8019</v>
      </c>
      <c r="CV27" t="s">
        <v>3344</v>
      </c>
      <c r="CW27" t="s">
        <v>8014</v>
      </c>
      <c r="CX27" t="s">
        <v>3381</v>
      </c>
      <c r="CZ27" t="s">
        <v>7952</v>
      </c>
      <c r="DA27">
        <v>499217</v>
      </c>
      <c r="DB27" t="s">
        <v>2090</v>
      </c>
      <c r="DC27" t="s">
        <v>8016</v>
      </c>
      <c r="DD27">
        <v>50.68</v>
      </c>
      <c r="DE27">
        <v>91992</v>
      </c>
      <c r="DF27">
        <v>240</v>
      </c>
      <c r="DG27">
        <v>0.09</v>
      </c>
      <c r="DH27">
        <v>20442.48</v>
      </c>
      <c r="DI27" t="s">
        <v>3369</v>
      </c>
    </row>
    <row r="28" spans="1:218" x14ac:dyDescent="0.25">
      <c r="A28" t="s">
        <v>8328</v>
      </c>
      <c r="B28" t="s">
        <v>8300</v>
      </c>
      <c r="C28" t="s">
        <v>8229</v>
      </c>
      <c r="D28" t="s">
        <v>3404</v>
      </c>
      <c r="E28" t="s">
        <v>3358</v>
      </c>
      <c r="F28" s="20">
        <v>41855</v>
      </c>
      <c r="G28" s="21">
        <v>2000</v>
      </c>
      <c r="H28" s="21">
        <v>41288.43</v>
      </c>
      <c r="I28" t="s">
        <v>3363</v>
      </c>
      <c r="J28" s="20">
        <v>41740</v>
      </c>
      <c r="K28" s="20">
        <v>1</v>
      </c>
      <c r="L28" s="20">
        <v>41955</v>
      </c>
      <c r="M28" s="20">
        <v>41973</v>
      </c>
      <c r="N28" s="21">
        <v>100000</v>
      </c>
      <c r="O28" s="20">
        <v>41973</v>
      </c>
      <c r="P28" s="20">
        <v>41978</v>
      </c>
      <c r="Q28" s="20">
        <v>41995</v>
      </c>
      <c r="R28" s="20">
        <v>1</v>
      </c>
      <c r="S28" s="21">
        <v>41288.43</v>
      </c>
      <c r="T28" t="s">
        <v>8289</v>
      </c>
      <c r="U28" s="21">
        <v>27755.33</v>
      </c>
      <c r="V28" t="s">
        <v>8344</v>
      </c>
      <c r="W28" t="s">
        <v>8367</v>
      </c>
      <c r="X28">
        <v>139.72</v>
      </c>
      <c r="Y28">
        <v>435274</v>
      </c>
      <c r="Z28" s="21">
        <v>69043.759999999995</v>
      </c>
      <c r="AD28" s="22" t="s">
        <v>8017</v>
      </c>
      <c r="AE28" t="s">
        <v>8018</v>
      </c>
      <c r="AF28" t="s">
        <v>8010</v>
      </c>
      <c r="AG28" t="s">
        <v>14</v>
      </c>
      <c r="AH28">
        <v>77523</v>
      </c>
      <c r="AI28" t="s">
        <v>8019</v>
      </c>
      <c r="AK28" t="s">
        <v>3340</v>
      </c>
      <c r="AL28" t="s">
        <v>8014</v>
      </c>
      <c r="AM28" t="s">
        <v>3381</v>
      </c>
      <c r="AN28" t="s">
        <v>3400</v>
      </c>
      <c r="AO28" t="s">
        <v>7952</v>
      </c>
      <c r="AP28">
        <v>499217</v>
      </c>
      <c r="AQ28" t="s">
        <v>2090</v>
      </c>
      <c r="AR28" t="s">
        <v>8016</v>
      </c>
      <c r="AS28">
        <v>19.18</v>
      </c>
      <c r="AT28">
        <v>125645</v>
      </c>
      <c r="AU28">
        <v>210</v>
      </c>
      <c r="AV28">
        <v>0.08</v>
      </c>
      <c r="AW28">
        <v>14079.4</v>
      </c>
      <c r="AX28" t="s">
        <v>3369</v>
      </c>
      <c r="AY28" s="22" t="s">
        <v>8017</v>
      </c>
      <c r="AZ28" t="s">
        <v>8018</v>
      </c>
      <c r="BA28" t="s">
        <v>8010</v>
      </c>
      <c r="BB28" t="s">
        <v>14</v>
      </c>
      <c r="BC28">
        <v>77523</v>
      </c>
      <c r="BD28" t="s">
        <v>8019</v>
      </c>
      <c r="BF28" t="s">
        <v>3340</v>
      </c>
      <c r="BG28" t="s">
        <v>8014</v>
      </c>
      <c r="BH28" t="s">
        <v>3381</v>
      </c>
      <c r="BI28" t="s">
        <v>3400</v>
      </c>
      <c r="BJ28" t="s">
        <v>7952</v>
      </c>
      <c r="BK28">
        <v>499217</v>
      </c>
      <c r="BL28" t="s">
        <v>2090</v>
      </c>
      <c r="BM28" t="s">
        <v>8016</v>
      </c>
      <c r="BN28">
        <v>19.18</v>
      </c>
      <c r="BO28">
        <v>125645</v>
      </c>
      <c r="BP28">
        <v>210</v>
      </c>
      <c r="BQ28">
        <v>0.08</v>
      </c>
      <c r="BR28">
        <v>14079.4</v>
      </c>
      <c r="BS28" t="s">
        <v>3369</v>
      </c>
      <c r="BT28" s="22" t="s">
        <v>8017</v>
      </c>
      <c r="BU28" t="s">
        <v>8018</v>
      </c>
      <c r="BV28" t="s">
        <v>8010</v>
      </c>
      <c r="BW28" t="s">
        <v>14</v>
      </c>
      <c r="BX28">
        <v>77523</v>
      </c>
      <c r="BY28" t="s">
        <v>8019</v>
      </c>
      <c r="CA28" t="s">
        <v>3344</v>
      </c>
      <c r="CB28" t="s">
        <v>8014</v>
      </c>
      <c r="CC28" t="s">
        <v>3381</v>
      </c>
      <c r="CE28" t="s">
        <v>7952</v>
      </c>
      <c r="CF28">
        <v>499217</v>
      </c>
      <c r="CG28" t="s">
        <v>2090</v>
      </c>
      <c r="CH28" t="s">
        <v>8016</v>
      </c>
      <c r="CI28">
        <v>50.68</v>
      </c>
      <c r="CJ28">
        <v>91992</v>
      </c>
      <c r="CK28">
        <v>240</v>
      </c>
      <c r="CL28">
        <v>0.09</v>
      </c>
      <c r="CM28">
        <v>20442.48</v>
      </c>
      <c r="CN28" t="s">
        <v>3369</v>
      </c>
      <c r="CO28" s="22" t="s">
        <v>8017</v>
      </c>
      <c r="CP28" t="s">
        <v>8018</v>
      </c>
      <c r="CQ28" t="s">
        <v>8010</v>
      </c>
      <c r="CR28" t="s">
        <v>14</v>
      </c>
      <c r="CS28">
        <v>77523</v>
      </c>
      <c r="CT28" t="s">
        <v>8019</v>
      </c>
      <c r="CV28" t="s">
        <v>3344</v>
      </c>
      <c r="CW28" t="s">
        <v>8014</v>
      </c>
      <c r="CX28" t="s">
        <v>3381</v>
      </c>
      <c r="CZ28" t="s">
        <v>7952</v>
      </c>
      <c r="DA28">
        <v>499217</v>
      </c>
      <c r="DB28" t="s">
        <v>2090</v>
      </c>
      <c r="DC28" t="s">
        <v>8016</v>
      </c>
      <c r="DD28">
        <v>50.68</v>
      </c>
      <c r="DE28">
        <v>91992</v>
      </c>
      <c r="DF28">
        <v>240</v>
      </c>
      <c r="DG28">
        <v>0.09</v>
      </c>
      <c r="DH28">
        <v>20442.48</v>
      </c>
      <c r="DI28" t="s">
        <v>3369</v>
      </c>
    </row>
    <row r="29" spans="1:218" x14ac:dyDescent="0.25">
      <c r="A29" t="s">
        <v>8329</v>
      </c>
      <c r="B29" t="s">
        <v>8300</v>
      </c>
      <c r="C29" t="s">
        <v>8229</v>
      </c>
      <c r="D29" t="s">
        <v>3404</v>
      </c>
      <c r="E29" t="s">
        <v>3358</v>
      </c>
      <c r="F29" s="20">
        <v>41855</v>
      </c>
      <c r="G29" s="21">
        <v>2000</v>
      </c>
      <c r="H29" s="21">
        <v>41288.43</v>
      </c>
      <c r="I29" t="s">
        <v>3363</v>
      </c>
      <c r="J29" s="20">
        <v>41740</v>
      </c>
      <c r="K29" s="20">
        <v>1</v>
      </c>
      <c r="L29" s="20">
        <v>41955</v>
      </c>
      <c r="M29" s="20">
        <v>41973</v>
      </c>
      <c r="N29" s="21">
        <v>100000</v>
      </c>
      <c r="O29" s="20">
        <v>41973</v>
      </c>
      <c r="P29" s="20">
        <v>41978</v>
      </c>
      <c r="Q29" s="20">
        <v>41995</v>
      </c>
      <c r="R29" s="20">
        <v>1</v>
      </c>
      <c r="S29" s="21">
        <v>41288.43</v>
      </c>
      <c r="T29" t="s">
        <v>8289</v>
      </c>
      <c r="U29" s="21">
        <v>27755.33</v>
      </c>
      <c r="V29" t="s">
        <v>8343</v>
      </c>
      <c r="W29" t="s">
        <v>8367</v>
      </c>
      <c r="X29">
        <v>139.72</v>
      </c>
      <c r="Y29">
        <v>435274</v>
      </c>
      <c r="Z29" s="21">
        <v>69043.759999999995</v>
      </c>
      <c r="AD29" s="22" t="s">
        <v>8017</v>
      </c>
      <c r="AE29" t="s">
        <v>8018</v>
      </c>
      <c r="AF29" t="s">
        <v>8010</v>
      </c>
      <c r="AG29" t="s">
        <v>14</v>
      </c>
      <c r="AH29">
        <v>77523</v>
      </c>
      <c r="AI29" t="s">
        <v>8019</v>
      </c>
      <c r="AK29" t="s">
        <v>3340</v>
      </c>
      <c r="AL29" t="s">
        <v>8014</v>
      </c>
      <c r="AM29" t="s">
        <v>3381</v>
      </c>
      <c r="AN29" t="s">
        <v>3400</v>
      </c>
      <c r="AO29" t="s">
        <v>7952</v>
      </c>
      <c r="AP29">
        <v>499217</v>
      </c>
      <c r="AQ29" t="s">
        <v>2090</v>
      </c>
      <c r="AR29" t="s">
        <v>8016</v>
      </c>
      <c r="AS29">
        <v>19.18</v>
      </c>
      <c r="AT29">
        <v>125645</v>
      </c>
      <c r="AU29">
        <v>210</v>
      </c>
      <c r="AV29">
        <v>0.08</v>
      </c>
      <c r="AW29">
        <v>14079.4</v>
      </c>
      <c r="AX29" t="s">
        <v>3369</v>
      </c>
      <c r="AY29" s="22" t="s">
        <v>8017</v>
      </c>
      <c r="AZ29" t="s">
        <v>8018</v>
      </c>
      <c r="BA29" t="s">
        <v>8010</v>
      </c>
      <c r="BB29" t="s">
        <v>14</v>
      </c>
      <c r="BC29">
        <v>77523</v>
      </c>
      <c r="BD29" t="s">
        <v>8019</v>
      </c>
      <c r="BF29" t="s">
        <v>3340</v>
      </c>
      <c r="BG29" t="s">
        <v>8014</v>
      </c>
      <c r="BH29" t="s">
        <v>3381</v>
      </c>
      <c r="BI29" t="s">
        <v>3400</v>
      </c>
      <c r="BJ29" t="s">
        <v>7952</v>
      </c>
      <c r="BK29">
        <v>499217</v>
      </c>
      <c r="BL29" t="s">
        <v>2090</v>
      </c>
      <c r="BM29" t="s">
        <v>8016</v>
      </c>
      <c r="BN29">
        <v>19.18</v>
      </c>
      <c r="BO29">
        <v>125645</v>
      </c>
      <c r="BP29">
        <v>210</v>
      </c>
      <c r="BQ29">
        <v>0.08</v>
      </c>
      <c r="BR29">
        <v>14079.4</v>
      </c>
      <c r="BS29" t="s">
        <v>3369</v>
      </c>
      <c r="BT29" s="22" t="s">
        <v>8017</v>
      </c>
      <c r="BU29" t="s">
        <v>8018</v>
      </c>
      <c r="BV29" t="s">
        <v>8010</v>
      </c>
      <c r="BW29" t="s">
        <v>14</v>
      </c>
      <c r="BX29">
        <v>77523</v>
      </c>
      <c r="BY29" t="s">
        <v>8019</v>
      </c>
      <c r="CA29" t="s">
        <v>3344</v>
      </c>
      <c r="CB29" t="s">
        <v>8014</v>
      </c>
      <c r="CC29" t="s">
        <v>3381</v>
      </c>
      <c r="CE29" t="s">
        <v>7952</v>
      </c>
      <c r="CF29">
        <v>499217</v>
      </c>
      <c r="CG29" t="s">
        <v>2090</v>
      </c>
      <c r="CH29" t="s">
        <v>8016</v>
      </c>
      <c r="CI29">
        <v>50.68</v>
      </c>
      <c r="CJ29">
        <v>91992</v>
      </c>
      <c r="CK29">
        <v>240</v>
      </c>
      <c r="CL29">
        <v>0.09</v>
      </c>
      <c r="CM29">
        <v>20442.48</v>
      </c>
      <c r="CN29" t="s">
        <v>3369</v>
      </c>
      <c r="CO29" s="22" t="s">
        <v>8017</v>
      </c>
      <c r="CP29" t="s">
        <v>8018</v>
      </c>
      <c r="CQ29" t="s">
        <v>8010</v>
      </c>
      <c r="CR29" t="s">
        <v>14</v>
      </c>
      <c r="CS29">
        <v>77523</v>
      </c>
      <c r="CT29" t="s">
        <v>8019</v>
      </c>
      <c r="CV29" t="s">
        <v>3344</v>
      </c>
      <c r="CW29" t="s">
        <v>8014</v>
      </c>
      <c r="CX29" t="s">
        <v>3381</v>
      </c>
      <c r="CZ29" t="s">
        <v>7952</v>
      </c>
      <c r="DA29">
        <v>499217</v>
      </c>
      <c r="DB29" t="s">
        <v>2090</v>
      </c>
      <c r="DC29" t="s">
        <v>8016</v>
      </c>
      <c r="DD29">
        <v>50.68</v>
      </c>
      <c r="DE29">
        <v>91992</v>
      </c>
      <c r="DF29">
        <v>240</v>
      </c>
      <c r="DG29">
        <v>0.09</v>
      </c>
      <c r="DH29">
        <v>20442.48</v>
      </c>
      <c r="DI29" t="s">
        <v>3369</v>
      </c>
    </row>
    <row r="30" spans="1:218" x14ac:dyDescent="0.25">
      <c r="A30" t="s">
        <v>8330</v>
      </c>
      <c r="B30" t="s">
        <v>8303</v>
      </c>
      <c r="C30" t="s">
        <v>8229</v>
      </c>
      <c r="D30" t="s">
        <v>3404</v>
      </c>
      <c r="E30" t="s">
        <v>3358</v>
      </c>
      <c r="F30" s="20">
        <v>41855</v>
      </c>
      <c r="G30" s="21">
        <v>2000</v>
      </c>
      <c r="H30" s="21">
        <v>41288.43</v>
      </c>
      <c r="I30" t="s">
        <v>3363</v>
      </c>
      <c r="J30" s="20">
        <v>41740</v>
      </c>
      <c r="K30" s="20">
        <v>1</v>
      </c>
      <c r="L30" s="20">
        <v>41955</v>
      </c>
      <c r="M30" s="20">
        <v>41973</v>
      </c>
      <c r="N30" s="21">
        <v>100000</v>
      </c>
      <c r="O30" s="20">
        <v>41973</v>
      </c>
      <c r="P30" s="20">
        <v>41978</v>
      </c>
      <c r="Q30" s="20">
        <v>41995</v>
      </c>
      <c r="R30" s="20">
        <v>1</v>
      </c>
      <c r="S30" s="21">
        <v>41288.43</v>
      </c>
      <c r="T30" t="s">
        <v>8289</v>
      </c>
      <c r="U30" s="21">
        <v>27755.33</v>
      </c>
      <c r="V30" t="s">
        <v>8343</v>
      </c>
      <c r="W30" t="s">
        <v>8367</v>
      </c>
      <c r="X30">
        <v>139.72</v>
      </c>
      <c r="Y30">
        <v>435274</v>
      </c>
      <c r="Z30" s="21">
        <v>69043.759999999995</v>
      </c>
      <c r="AD30" s="22" t="s">
        <v>8017</v>
      </c>
      <c r="AE30" t="s">
        <v>8018</v>
      </c>
      <c r="AF30" t="s">
        <v>8010</v>
      </c>
      <c r="AG30" t="s">
        <v>14</v>
      </c>
      <c r="AH30">
        <v>77523</v>
      </c>
      <c r="AI30" t="s">
        <v>8019</v>
      </c>
      <c r="AK30" t="s">
        <v>3340</v>
      </c>
      <c r="AL30" t="s">
        <v>8014</v>
      </c>
      <c r="AM30" t="s">
        <v>3381</v>
      </c>
      <c r="AN30" t="s">
        <v>3400</v>
      </c>
      <c r="AO30" t="s">
        <v>7952</v>
      </c>
      <c r="AP30">
        <v>499217</v>
      </c>
      <c r="AQ30" t="s">
        <v>2090</v>
      </c>
      <c r="AR30" t="s">
        <v>8016</v>
      </c>
      <c r="AS30">
        <v>19.18</v>
      </c>
      <c r="AT30">
        <v>125645</v>
      </c>
      <c r="AU30">
        <v>210</v>
      </c>
      <c r="AV30">
        <v>0.08</v>
      </c>
      <c r="AW30">
        <v>14079.4</v>
      </c>
      <c r="AX30" t="s">
        <v>3369</v>
      </c>
      <c r="AY30" s="22" t="s">
        <v>8017</v>
      </c>
      <c r="AZ30" t="s">
        <v>8018</v>
      </c>
      <c r="BA30" t="s">
        <v>8010</v>
      </c>
      <c r="BB30" t="s">
        <v>14</v>
      </c>
      <c r="BC30">
        <v>77523</v>
      </c>
      <c r="BD30" t="s">
        <v>8019</v>
      </c>
      <c r="BF30" t="s">
        <v>3340</v>
      </c>
      <c r="BG30" t="s">
        <v>8014</v>
      </c>
      <c r="BH30" t="s">
        <v>3381</v>
      </c>
      <c r="BI30" t="s">
        <v>3400</v>
      </c>
      <c r="BJ30" t="s">
        <v>7952</v>
      </c>
      <c r="BK30">
        <v>499217</v>
      </c>
      <c r="BL30" t="s">
        <v>2090</v>
      </c>
      <c r="BM30" t="s">
        <v>8016</v>
      </c>
      <c r="BN30">
        <v>19.18</v>
      </c>
      <c r="BO30">
        <v>125645</v>
      </c>
      <c r="BP30">
        <v>210</v>
      </c>
      <c r="BQ30">
        <v>0.08</v>
      </c>
      <c r="BR30">
        <v>14079.4</v>
      </c>
      <c r="BS30" t="s">
        <v>3369</v>
      </c>
      <c r="BT30" s="22" t="s">
        <v>8017</v>
      </c>
      <c r="BU30" t="s">
        <v>8018</v>
      </c>
      <c r="BV30" t="s">
        <v>8010</v>
      </c>
      <c r="BW30" t="s">
        <v>14</v>
      </c>
      <c r="BX30">
        <v>77523</v>
      </c>
      <c r="BY30" t="s">
        <v>8019</v>
      </c>
      <c r="CA30" t="s">
        <v>3344</v>
      </c>
      <c r="CB30" t="s">
        <v>8014</v>
      </c>
      <c r="CC30" t="s">
        <v>3381</v>
      </c>
      <c r="CE30" t="s">
        <v>7952</v>
      </c>
      <c r="CF30">
        <v>499217</v>
      </c>
      <c r="CG30" t="s">
        <v>2090</v>
      </c>
      <c r="CH30" t="s">
        <v>8016</v>
      </c>
      <c r="CI30">
        <v>50.68</v>
      </c>
      <c r="CJ30">
        <v>91992</v>
      </c>
      <c r="CK30">
        <v>240</v>
      </c>
      <c r="CL30">
        <v>0.09</v>
      </c>
      <c r="CM30">
        <v>20442.48</v>
      </c>
      <c r="CN30" t="s">
        <v>3369</v>
      </c>
      <c r="CO30" s="22" t="s">
        <v>8017</v>
      </c>
      <c r="CP30" t="s">
        <v>8018</v>
      </c>
      <c r="CQ30" t="s">
        <v>8010</v>
      </c>
      <c r="CR30" t="s">
        <v>14</v>
      </c>
      <c r="CS30">
        <v>77523</v>
      </c>
      <c r="CT30" t="s">
        <v>8019</v>
      </c>
      <c r="CV30" t="s">
        <v>3344</v>
      </c>
      <c r="CW30" t="s">
        <v>8014</v>
      </c>
      <c r="CX30" t="s">
        <v>3381</v>
      </c>
      <c r="CZ30" t="s">
        <v>7952</v>
      </c>
      <c r="DA30">
        <v>499217</v>
      </c>
      <c r="DB30" t="s">
        <v>2090</v>
      </c>
      <c r="DC30" t="s">
        <v>8016</v>
      </c>
      <c r="DD30">
        <v>50.68</v>
      </c>
      <c r="DE30">
        <v>91992</v>
      </c>
      <c r="DF30">
        <v>240</v>
      </c>
      <c r="DG30">
        <v>0.09</v>
      </c>
      <c r="DH30">
        <v>20442.48</v>
      </c>
      <c r="DI30" t="s">
        <v>3369</v>
      </c>
    </row>
    <row r="31" spans="1:218" x14ac:dyDescent="0.25">
      <c r="A31" t="s">
        <v>8331</v>
      </c>
      <c r="B31" t="s">
        <v>7833</v>
      </c>
      <c r="C31" t="s">
        <v>7836</v>
      </c>
      <c r="D31" t="s">
        <v>3383</v>
      </c>
      <c r="E31" t="s">
        <v>3356</v>
      </c>
      <c r="F31" s="20">
        <v>41685</v>
      </c>
      <c r="G31" s="21">
        <v>900</v>
      </c>
      <c r="H31" s="21">
        <v>18147.88</v>
      </c>
      <c r="I31" t="s">
        <v>3363</v>
      </c>
      <c r="J31" s="20">
        <v>42013</v>
      </c>
      <c r="K31" s="20">
        <v>42019</v>
      </c>
      <c r="L31" s="20">
        <v>42029</v>
      </c>
      <c r="M31" s="20"/>
      <c r="N31" s="21"/>
      <c r="O31" s="20"/>
      <c r="P31" s="20"/>
      <c r="Q31" s="20"/>
      <c r="R31" s="20"/>
      <c r="S31" s="21"/>
      <c r="T31" t="s">
        <v>8234</v>
      </c>
      <c r="U31" s="21">
        <v>0</v>
      </c>
      <c r="V31" t="s">
        <v>8341</v>
      </c>
      <c r="W31" t="s">
        <v>8362</v>
      </c>
      <c r="X31">
        <v>33.04</v>
      </c>
      <c r="Y31">
        <v>247987</v>
      </c>
      <c r="Z31" s="21">
        <v>18147.88</v>
      </c>
      <c r="AD31" s="22" t="s">
        <v>7831</v>
      </c>
      <c r="AE31" t="s">
        <v>7832</v>
      </c>
      <c r="AF31" t="s">
        <v>13</v>
      </c>
      <c r="AG31" t="s">
        <v>14</v>
      </c>
      <c r="AH31">
        <v>77041</v>
      </c>
      <c r="AI31" t="s">
        <v>41</v>
      </c>
      <c r="AK31" t="s">
        <v>3340</v>
      </c>
      <c r="AL31" t="s">
        <v>8176</v>
      </c>
      <c r="AM31" t="s">
        <v>3381</v>
      </c>
      <c r="AN31" t="s">
        <v>3412</v>
      </c>
      <c r="AO31" t="s">
        <v>2309</v>
      </c>
      <c r="AP31">
        <v>100000</v>
      </c>
      <c r="AQ31" t="s">
        <v>273</v>
      </c>
      <c r="AR31" t="s">
        <v>277</v>
      </c>
      <c r="AS31">
        <v>20</v>
      </c>
      <c r="AT31">
        <v>150097</v>
      </c>
      <c r="AU31">
        <v>180</v>
      </c>
      <c r="AV31">
        <v>7.0000000000000007E-2</v>
      </c>
      <c r="AW31">
        <v>14106.79</v>
      </c>
      <c r="AX31" t="s">
        <v>3371</v>
      </c>
      <c r="AY31" s="22" t="s">
        <v>7831</v>
      </c>
      <c r="AZ31" t="s">
        <v>7832</v>
      </c>
      <c r="BA31" t="s">
        <v>13</v>
      </c>
      <c r="BB31" t="s">
        <v>14</v>
      </c>
      <c r="BC31">
        <v>77041</v>
      </c>
      <c r="BD31" t="s">
        <v>41</v>
      </c>
      <c r="BF31" t="s">
        <v>3341</v>
      </c>
      <c r="BG31" t="s">
        <v>8176</v>
      </c>
      <c r="BH31" t="s">
        <v>3381</v>
      </c>
      <c r="BI31" t="s">
        <v>3412</v>
      </c>
      <c r="BJ31" t="s">
        <v>2309</v>
      </c>
      <c r="BK31">
        <v>100000</v>
      </c>
      <c r="BL31" t="s">
        <v>273</v>
      </c>
      <c r="BM31" t="s">
        <v>277</v>
      </c>
      <c r="BN31">
        <v>1.79</v>
      </c>
      <c r="BO31">
        <v>13416</v>
      </c>
      <c r="BP31">
        <v>32</v>
      </c>
      <c r="BQ31">
        <v>0.02</v>
      </c>
      <c r="BR31">
        <v>325.60000000000002</v>
      </c>
      <c r="BS31" t="s">
        <v>3371</v>
      </c>
      <c r="BT31" s="22" t="s">
        <v>7831</v>
      </c>
      <c r="BU31" t="s">
        <v>7832</v>
      </c>
      <c r="BV31" t="s">
        <v>13</v>
      </c>
      <c r="BW31" t="s">
        <v>14</v>
      </c>
      <c r="BX31">
        <v>77041</v>
      </c>
      <c r="BY31" t="s">
        <v>41</v>
      </c>
      <c r="CA31" t="s">
        <v>3327</v>
      </c>
      <c r="CB31" t="s">
        <v>8176</v>
      </c>
      <c r="CC31" t="s">
        <v>3381</v>
      </c>
      <c r="CD31" t="s">
        <v>3412</v>
      </c>
      <c r="CE31" t="s">
        <v>2309</v>
      </c>
      <c r="CF31">
        <v>100000</v>
      </c>
      <c r="CG31" t="s">
        <v>273</v>
      </c>
      <c r="CH31" t="s">
        <v>277</v>
      </c>
      <c r="CI31">
        <v>11.25</v>
      </c>
      <c r="CJ31">
        <v>84474</v>
      </c>
      <c r="CK31">
        <v>32</v>
      </c>
      <c r="CL31">
        <v>0.02</v>
      </c>
      <c r="CM31">
        <v>3715.4900000000002</v>
      </c>
      <c r="CN31" t="s">
        <v>3371</v>
      </c>
    </row>
    <row r="32" spans="1:218" x14ac:dyDescent="0.25">
      <c r="A32" t="s">
        <v>8314</v>
      </c>
      <c r="B32" t="s">
        <v>7843</v>
      </c>
      <c r="C32" t="s">
        <v>7837</v>
      </c>
      <c r="D32" t="s">
        <v>3383</v>
      </c>
      <c r="E32" t="s">
        <v>3357</v>
      </c>
      <c r="F32" s="20">
        <v>41744</v>
      </c>
      <c r="G32" s="21">
        <v>1637.09</v>
      </c>
      <c r="H32" s="21">
        <v>56343.11</v>
      </c>
      <c r="I32" t="s">
        <v>3363</v>
      </c>
      <c r="J32" s="20">
        <v>41648</v>
      </c>
      <c r="K32" s="20">
        <v>42019</v>
      </c>
      <c r="L32" s="20">
        <v>42029</v>
      </c>
      <c r="M32" s="20">
        <v>42050</v>
      </c>
      <c r="N32" s="21">
        <v>200000</v>
      </c>
      <c r="O32" s="20">
        <v>42036</v>
      </c>
      <c r="P32" s="20">
        <v>42038</v>
      </c>
      <c r="Q32" s="20">
        <v>42040</v>
      </c>
      <c r="R32" s="20">
        <v>42040</v>
      </c>
      <c r="S32" s="21">
        <v>56343.11</v>
      </c>
      <c r="T32" t="s">
        <v>8234</v>
      </c>
      <c r="U32" s="21">
        <v>0</v>
      </c>
      <c r="V32" t="s">
        <v>8339</v>
      </c>
      <c r="W32" t="s">
        <v>8363</v>
      </c>
      <c r="X32">
        <v>99.109999999999985</v>
      </c>
      <c r="Y32">
        <v>424035</v>
      </c>
      <c r="Z32" s="21">
        <v>56343.11</v>
      </c>
      <c r="AD32" s="22" t="s">
        <v>7838</v>
      </c>
      <c r="AE32" t="s">
        <v>7839</v>
      </c>
      <c r="AF32" t="s">
        <v>13</v>
      </c>
      <c r="AG32" t="s">
        <v>14</v>
      </c>
      <c r="AH32">
        <v>77030</v>
      </c>
      <c r="AI32" t="s">
        <v>41</v>
      </c>
      <c r="AK32" t="s">
        <v>3327</v>
      </c>
      <c r="AL32" t="s">
        <v>8176</v>
      </c>
      <c r="AM32" t="s">
        <v>3381</v>
      </c>
      <c r="AN32" t="s">
        <v>3412</v>
      </c>
      <c r="AO32" t="s">
        <v>2580</v>
      </c>
      <c r="AP32">
        <v>100000</v>
      </c>
      <c r="AQ32" t="s">
        <v>1953</v>
      </c>
      <c r="AR32" t="s">
        <v>1957</v>
      </c>
      <c r="AS32">
        <v>11.25</v>
      </c>
      <c r="AT32">
        <v>84474</v>
      </c>
      <c r="AU32">
        <v>32</v>
      </c>
      <c r="AV32">
        <v>0.02</v>
      </c>
      <c r="AW32">
        <v>3715.4900000000002</v>
      </c>
      <c r="AX32" t="s">
        <v>3371</v>
      </c>
      <c r="AY32" s="22" t="s">
        <v>7838</v>
      </c>
      <c r="AZ32" t="s">
        <v>7839</v>
      </c>
      <c r="BA32" t="s">
        <v>13</v>
      </c>
      <c r="BB32" t="s">
        <v>14</v>
      </c>
      <c r="BC32">
        <v>77030</v>
      </c>
      <c r="BD32" t="s">
        <v>41</v>
      </c>
      <c r="BF32" t="s">
        <v>3340</v>
      </c>
      <c r="BG32" t="s">
        <v>8176</v>
      </c>
      <c r="BH32" t="s">
        <v>3381</v>
      </c>
      <c r="BI32" t="s">
        <v>3412</v>
      </c>
      <c r="BJ32" t="s">
        <v>2580</v>
      </c>
      <c r="BK32">
        <v>100000</v>
      </c>
      <c r="BL32" t="s">
        <v>1953</v>
      </c>
      <c r="BM32" t="s">
        <v>1957</v>
      </c>
      <c r="BN32">
        <v>20</v>
      </c>
      <c r="BO32">
        <v>150097</v>
      </c>
      <c r="BP32">
        <v>180</v>
      </c>
      <c r="BQ32">
        <v>7.0000000000000007E-2</v>
      </c>
      <c r="BR32">
        <v>14106.79</v>
      </c>
      <c r="BS32" t="s">
        <v>3371</v>
      </c>
      <c r="BT32" s="22" t="s">
        <v>7838</v>
      </c>
      <c r="BU32" t="s">
        <v>7839</v>
      </c>
      <c r="BV32" t="s">
        <v>13</v>
      </c>
      <c r="BW32" t="s">
        <v>14</v>
      </c>
      <c r="BX32">
        <v>77030</v>
      </c>
      <c r="BY32" t="s">
        <v>41</v>
      </c>
      <c r="CA32" t="s">
        <v>3341</v>
      </c>
      <c r="CB32" t="s">
        <v>8176</v>
      </c>
      <c r="CC32" t="s">
        <v>3381</v>
      </c>
      <c r="CD32" t="s">
        <v>3412</v>
      </c>
      <c r="CE32" t="s">
        <v>2580</v>
      </c>
      <c r="CF32">
        <v>100000</v>
      </c>
      <c r="CG32" t="s">
        <v>1953</v>
      </c>
      <c r="CH32" t="s">
        <v>1957</v>
      </c>
      <c r="CI32">
        <v>1.79</v>
      </c>
      <c r="CJ32">
        <v>13416</v>
      </c>
      <c r="CK32">
        <v>32</v>
      </c>
      <c r="CL32">
        <v>0.02</v>
      </c>
      <c r="CM32">
        <v>325.60000000000002</v>
      </c>
      <c r="CN32" t="s">
        <v>3371</v>
      </c>
      <c r="CO32" s="22" t="s">
        <v>7838</v>
      </c>
      <c r="CP32" t="s">
        <v>7839</v>
      </c>
      <c r="CQ32" t="s">
        <v>13</v>
      </c>
      <c r="CR32" t="s">
        <v>14</v>
      </c>
      <c r="CS32">
        <v>77030</v>
      </c>
      <c r="CT32" t="s">
        <v>41</v>
      </c>
      <c r="CV32" t="s">
        <v>3343</v>
      </c>
      <c r="CW32" t="s">
        <v>7843</v>
      </c>
      <c r="CX32" t="s">
        <v>3381</v>
      </c>
      <c r="CY32" t="s">
        <v>8264</v>
      </c>
      <c r="CZ32" t="s">
        <v>2580</v>
      </c>
      <c r="DB32" t="s">
        <v>1953</v>
      </c>
      <c r="DC32" t="s">
        <v>1957</v>
      </c>
      <c r="DD32">
        <v>66.069999999999993</v>
      </c>
      <c r="DE32">
        <v>176048</v>
      </c>
      <c r="DF32">
        <v>285</v>
      </c>
      <c r="DG32">
        <v>0.11</v>
      </c>
      <c r="DH32">
        <v>38195.229999999996</v>
      </c>
      <c r="DI32" t="s">
        <v>3370</v>
      </c>
    </row>
    <row r="33" spans="1:113" x14ac:dyDescent="0.25">
      <c r="A33" t="s">
        <v>8349</v>
      </c>
      <c r="B33" t="s">
        <v>8350</v>
      </c>
      <c r="C33" t="s">
        <v>7945</v>
      </c>
      <c r="D33" t="s">
        <v>3383</v>
      </c>
      <c r="E33" t="s">
        <v>3356</v>
      </c>
      <c r="F33" s="20">
        <v>41760</v>
      </c>
      <c r="G33" s="21">
        <v>1000</v>
      </c>
      <c r="H33" s="21">
        <v>12000</v>
      </c>
      <c r="I33" t="s">
        <v>3364</v>
      </c>
      <c r="J33" s="20">
        <v>42005</v>
      </c>
      <c r="K33" s="20">
        <v>41649</v>
      </c>
      <c r="L33" s="20">
        <v>41654</v>
      </c>
      <c r="T33" t="s">
        <v>8289</v>
      </c>
      <c r="U33" s="21">
        <v>12000</v>
      </c>
      <c r="V33" t="s">
        <v>8341</v>
      </c>
      <c r="W33" t="s">
        <v>8366</v>
      </c>
      <c r="X33">
        <v>65.510000000000005</v>
      </c>
      <c r="Y33">
        <v>303133</v>
      </c>
      <c r="Z33" s="21">
        <v>15964.39</v>
      </c>
      <c r="AD33" s="22" t="s">
        <v>8351</v>
      </c>
      <c r="AE33" t="s">
        <v>8352</v>
      </c>
      <c r="AF33" t="s">
        <v>730</v>
      </c>
      <c r="AG33" t="s">
        <v>14</v>
      </c>
      <c r="AH33">
        <v>77002</v>
      </c>
      <c r="AI33" t="s">
        <v>41</v>
      </c>
      <c r="AK33" t="s">
        <v>3327</v>
      </c>
      <c r="AL33" t="s">
        <v>8353</v>
      </c>
      <c r="AM33" t="s">
        <v>3381</v>
      </c>
      <c r="AN33" t="s">
        <v>7826</v>
      </c>
      <c r="AO33" t="s">
        <v>2189</v>
      </c>
      <c r="AP33">
        <v>300000</v>
      </c>
      <c r="AQ33" t="s">
        <v>24</v>
      </c>
      <c r="AR33" t="s">
        <v>28</v>
      </c>
      <c r="AS33">
        <v>65.510000000000005</v>
      </c>
      <c r="AT33">
        <v>303133</v>
      </c>
      <c r="AW33">
        <v>15964.39</v>
      </c>
      <c r="AX33" t="s">
        <v>3370</v>
      </c>
    </row>
    <row r="34" spans="1:113" x14ac:dyDescent="0.25">
      <c r="A34" t="s">
        <v>8373</v>
      </c>
      <c r="B34" t="s">
        <v>8374</v>
      </c>
      <c r="C34" t="s">
        <v>8375</v>
      </c>
      <c r="D34" t="s">
        <v>3383</v>
      </c>
      <c r="E34" t="s">
        <v>3356</v>
      </c>
      <c r="F34" s="20">
        <v>42339</v>
      </c>
      <c r="G34" s="21">
        <v>1000</v>
      </c>
      <c r="H34" s="20">
        <v>42019</v>
      </c>
      <c r="I34" t="s">
        <v>3363</v>
      </c>
      <c r="J34" s="20">
        <v>42353</v>
      </c>
      <c r="V34" t="s">
        <v>8339</v>
      </c>
      <c r="W34" t="s">
        <v>8378</v>
      </c>
      <c r="X34">
        <v>44.29</v>
      </c>
      <c r="Y34">
        <v>332461</v>
      </c>
      <c r="Z34" s="21">
        <v>21863.37</v>
      </c>
      <c r="AD34" s="22" t="s">
        <v>8376</v>
      </c>
      <c r="AE34" t="s">
        <v>8377</v>
      </c>
      <c r="AF34" t="s">
        <v>13</v>
      </c>
      <c r="AG34" t="s">
        <v>14</v>
      </c>
      <c r="AH34">
        <v>77010</v>
      </c>
      <c r="AI34" t="s">
        <v>41</v>
      </c>
      <c r="AK34" t="s">
        <v>3340</v>
      </c>
      <c r="AL34" t="s">
        <v>8176</v>
      </c>
      <c r="AM34" t="s">
        <v>3381</v>
      </c>
      <c r="AN34" t="s">
        <v>3412</v>
      </c>
      <c r="AO34" t="s">
        <v>2195</v>
      </c>
      <c r="AP34">
        <v>100000</v>
      </c>
      <c r="AQ34" t="s">
        <v>35</v>
      </c>
      <c r="AR34" t="s">
        <v>40</v>
      </c>
      <c r="AS34">
        <v>20</v>
      </c>
      <c r="AT34">
        <v>150097</v>
      </c>
      <c r="AU34">
        <v>180</v>
      </c>
      <c r="AV34">
        <v>7.0000000000000007E-2</v>
      </c>
      <c r="AW34">
        <v>14106.79</v>
      </c>
      <c r="AX34" t="s">
        <v>3371</v>
      </c>
      <c r="AY34" s="22" t="s">
        <v>8376</v>
      </c>
      <c r="AZ34" t="s">
        <v>8377</v>
      </c>
      <c r="BA34" t="s">
        <v>13</v>
      </c>
      <c r="BB34" t="s">
        <v>14</v>
      </c>
      <c r="BC34">
        <v>77010</v>
      </c>
      <c r="BD34" t="s">
        <v>41</v>
      </c>
      <c r="BF34" t="s">
        <v>3341</v>
      </c>
      <c r="BG34" t="s">
        <v>8176</v>
      </c>
      <c r="BH34" t="s">
        <v>3381</v>
      </c>
      <c r="BI34" t="s">
        <v>3412</v>
      </c>
      <c r="BJ34" t="s">
        <v>2195</v>
      </c>
      <c r="BK34">
        <v>100000</v>
      </c>
      <c r="BL34" t="s">
        <v>35</v>
      </c>
      <c r="BM34" t="s">
        <v>40</v>
      </c>
      <c r="BN34">
        <v>1.79</v>
      </c>
      <c r="BO34">
        <v>13416</v>
      </c>
      <c r="BP34">
        <v>32</v>
      </c>
      <c r="BQ34">
        <v>0.02</v>
      </c>
      <c r="BR34">
        <v>325.60000000000002</v>
      </c>
      <c r="BS34" t="s">
        <v>3371</v>
      </c>
      <c r="BT34" s="22" t="s">
        <v>8376</v>
      </c>
      <c r="BU34" t="s">
        <v>8377</v>
      </c>
      <c r="BV34" t="s">
        <v>13</v>
      </c>
      <c r="BW34" t="s">
        <v>14</v>
      </c>
      <c r="BX34">
        <v>77010</v>
      </c>
      <c r="BY34" t="s">
        <v>41</v>
      </c>
      <c r="CA34" t="s">
        <v>3327</v>
      </c>
      <c r="CB34" t="s">
        <v>8176</v>
      </c>
      <c r="CC34" t="s">
        <v>3381</v>
      </c>
      <c r="CD34" t="s">
        <v>3412</v>
      </c>
      <c r="CE34" t="s">
        <v>2195</v>
      </c>
      <c r="CF34">
        <v>100000</v>
      </c>
      <c r="CG34" t="s">
        <v>35</v>
      </c>
      <c r="CH34" t="s">
        <v>40</v>
      </c>
      <c r="CI34">
        <v>11.25</v>
      </c>
      <c r="CJ34">
        <v>84474</v>
      </c>
      <c r="CK34">
        <v>32</v>
      </c>
      <c r="CL34">
        <v>0.02</v>
      </c>
      <c r="CM34">
        <v>3715.4900000000002</v>
      </c>
      <c r="CN34" t="s">
        <v>3371</v>
      </c>
      <c r="CO34" s="22" t="s">
        <v>8376</v>
      </c>
      <c r="CP34" t="s">
        <v>8377</v>
      </c>
      <c r="CQ34" t="s">
        <v>13</v>
      </c>
      <c r="CR34" t="s">
        <v>14</v>
      </c>
      <c r="CS34">
        <v>77010</v>
      </c>
      <c r="CT34" t="s">
        <v>41</v>
      </c>
      <c r="CV34" t="s">
        <v>3327</v>
      </c>
      <c r="CW34" t="s">
        <v>8176</v>
      </c>
      <c r="CX34" t="s">
        <v>3381</v>
      </c>
      <c r="CY34" t="s">
        <v>3412</v>
      </c>
      <c r="CZ34" t="s">
        <v>2195</v>
      </c>
      <c r="DA34">
        <v>100000</v>
      </c>
      <c r="DB34" t="s">
        <v>35</v>
      </c>
      <c r="DC34" t="s">
        <v>40</v>
      </c>
      <c r="DD34">
        <v>11.25</v>
      </c>
      <c r="DE34">
        <v>84474</v>
      </c>
      <c r="DF34">
        <v>32</v>
      </c>
      <c r="DG34">
        <v>0.02</v>
      </c>
      <c r="DH34">
        <v>3715.4900000000002</v>
      </c>
      <c r="DI34" t="s">
        <v>3371</v>
      </c>
    </row>
    <row r="35" spans="1:113" x14ac:dyDescent="0.25">
      <c r="A35" t="s">
        <v>8379</v>
      </c>
      <c r="B35" t="s">
        <v>8374</v>
      </c>
      <c r="C35" t="s">
        <v>8375</v>
      </c>
      <c r="D35" t="s">
        <v>3383</v>
      </c>
      <c r="E35" t="s">
        <v>3356</v>
      </c>
      <c r="F35" s="20">
        <v>42339</v>
      </c>
      <c r="G35" s="21">
        <v>1000</v>
      </c>
      <c r="H35" s="20">
        <v>42019</v>
      </c>
      <c r="I35" t="s">
        <v>3363</v>
      </c>
      <c r="J35" s="20">
        <v>42353</v>
      </c>
      <c r="V35" t="s">
        <v>8339</v>
      </c>
      <c r="W35" t="s">
        <v>8378</v>
      </c>
      <c r="X35">
        <v>44.29</v>
      </c>
      <c r="Y35">
        <v>332461</v>
      </c>
      <c r="Z35" s="21">
        <v>21863.37</v>
      </c>
      <c r="AD35" s="22" t="s">
        <v>8376</v>
      </c>
      <c r="AE35" t="s">
        <v>8377</v>
      </c>
      <c r="AF35" t="s">
        <v>13</v>
      </c>
      <c r="AG35" t="s">
        <v>14</v>
      </c>
      <c r="AH35">
        <v>77010</v>
      </c>
      <c r="AI35" t="s">
        <v>41</v>
      </c>
      <c r="AK35" t="s">
        <v>3340</v>
      </c>
      <c r="AL35" t="s">
        <v>8176</v>
      </c>
      <c r="AM35" t="s">
        <v>3381</v>
      </c>
      <c r="AN35" t="s">
        <v>3412</v>
      </c>
      <c r="AO35" t="s">
        <v>2195</v>
      </c>
      <c r="AP35">
        <v>100000</v>
      </c>
      <c r="AQ35" t="s">
        <v>35</v>
      </c>
      <c r="AR35" t="s">
        <v>40</v>
      </c>
      <c r="AS35">
        <v>20</v>
      </c>
      <c r="AT35">
        <v>150097</v>
      </c>
      <c r="AU35">
        <v>180</v>
      </c>
      <c r="AV35">
        <v>7.0000000000000007E-2</v>
      </c>
      <c r="AW35">
        <v>14106.79</v>
      </c>
      <c r="AX35" t="s">
        <v>3371</v>
      </c>
      <c r="AY35" s="22" t="s">
        <v>8376</v>
      </c>
      <c r="AZ35" t="s">
        <v>8377</v>
      </c>
      <c r="BA35" t="s">
        <v>13</v>
      </c>
      <c r="BB35" t="s">
        <v>14</v>
      </c>
      <c r="BC35">
        <v>77010</v>
      </c>
      <c r="BD35" t="s">
        <v>41</v>
      </c>
      <c r="BF35" t="s">
        <v>3341</v>
      </c>
      <c r="BG35" t="s">
        <v>8176</v>
      </c>
      <c r="BH35" t="s">
        <v>3381</v>
      </c>
      <c r="BI35" t="s">
        <v>3412</v>
      </c>
      <c r="BJ35" t="s">
        <v>2195</v>
      </c>
      <c r="BK35">
        <v>100000</v>
      </c>
      <c r="BL35" t="s">
        <v>35</v>
      </c>
      <c r="BM35" t="s">
        <v>40</v>
      </c>
      <c r="BN35">
        <v>1.79</v>
      </c>
      <c r="BO35">
        <v>13416</v>
      </c>
      <c r="BP35">
        <v>32</v>
      </c>
      <c r="BQ35">
        <v>0.02</v>
      </c>
      <c r="BR35">
        <v>325.60000000000002</v>
      </c>
      <c r="BS35" t="s">
        <v>3371</v>
      </c>
      <c r="BT35" s="22" t="s">
        <v>8376</v>
      </c>
      <c r="BU35" t="s">
        <v>8377</v>
      </c>
      <c r="BV35" t="s">
        <v>13</v>
      </c>
      <c r="BW35" t="s">
        <v>14</v>
      </c>
      <c r="BX35">
        <v>77010</v>
      </c>
      <c r="BY35" t="s">
        <v>41</v>
      </c>
      <c r="CA35" t="s">
        <v>3327</v>
      </c>
      <c r="CB35" t="s">
        <v>8176</v>
      </c>
      <c r="CC35" t="s">
        <v>3381</v>
      </c>
      <c r="CD35" t="s">
        <v>3412</v>
      </c>
      <c r="CE35" t="s">
        <v>2195</v>
      </c>
      <c r="CF35">
        <v>100000</v>
      </c>
      <c r="CG35" t="s">
        <v>35</v>
      </c>
      <c r="CH35" t="s">
        <v>40</v>
      </c>
      <c r="CI35">
        <v>11.25</v>
      </c>
      <c r="CJ35">
        <v>84474</v>
      </c>
      <c r="CK35">
        <v>32</v>
      </c>
      <c r="CL35">
        <v>0.02</v>
      </c>
      <c r="CM35">
        <v>3715.4900000000002</v>
      </c>
      <c r="CN35" t="s">
        <v>3371</v>
      </c>
      <c r="CO35" s="22" t="s">
        <v>8376</v>
      </c>
      <c r="CP35" t="s">
        <v>8377</v>
      </c>
      <c r="CQ35" t="s">
        <v>13</v>
      </c>
      <c r="CR35" t="s">
        <v>14</v>
      </c>
      <c r="CS35">
        <v>77010</v>
      </c>
      <c r="CT35" t="s">
        <v>41</v>
      </c>
      <c r="CV35" t="s">
        <v>3327</v>
      </c>
      <c r="CW35" t="s">
        <v>8176</v>
      </c>
      <c r="CX35" t="s">
        <v>3381</v>
      </c>
      <c r="CY35" t="s">
        <v>3412</v>
      </c>
      <c r="CZ35" t="s">
        <v>2195</v>
      </c>
      <c r="DA35">
        <v>100000</v>
      </c>
      <c r="DB35" t="s">
        <v>35</v>
      </c>
      <c r="DC35" t="s">
        <v>40</v>
      </c>
      <c r="DD35">
        <v>11.25</v>
      </c>
      <c r="DE35">
        <v>84474</v>
      </c>
      <c r="DF35">
        <v>32</v>
      </c>
      <c r="DG35">
        <v>0.02</v>
      </c>
      <c r="DH35">
        <v>3715.4900000000002</v>
      </c>
      <c r="DI35" t="s">
        <v>3371</v>
      </c>
    </row>
    <row r="36" spans="1:113" x14ac:dyDescent="0.25">
      <c r="A36" t="s">
        <v>8380</v>
      </c>
      <c r="B36" t="s">
        <v>8374</v>
      </c>
      <c r="C36" t="s">
        <v>8375</v>
      </c>
      <c r="D36" t="s">
        <v>3383</v>
      </c>
      <c r="E36" t="s">
        <v>3356</v>
      </c>
      <c r="F36" s="20">
        <v>42339</v>
      </c>
      <c r="G36" s="21">
        <v>1000</v>
      </c>
      <c r="H36" s="20">
        <v>42019</v>
      </c>
      <c r="I36" t="s">
        <v>3363</v>
      </c>
      <c r="J36" s="20">
        <v>42353</v>
      </c>
      <c r="V36" t="s">
        <v>8339</v>
      </c>
      <c r="W36" t="s">
        <v>8378</v>
      </c>
      <c r="X36">
        <v>44.29</v>
      </c>
      <c r="Y36">
        <v>332461</v>
      </c>
      <c r="Z36" s="21">
        <v>21863.37</v>
      </c>
      <c r="AD36" s="22" t="s">
        <v>8376</v>
      </c>
      <c r="AE36" t="s">
        <v>8377</v>
      </c>
      <c r="AF36" t="s">
        <v>13</v>
      </c>
      <c r="AG36" t="s">
        <v>14</v>
      </c>
      <c r="AH36">
        <v>77010</v>
      </c>
      <c r="AI36" t="s">
        <v>41</v>
      </c>
      <c r="AK36" t="s">
        <v>3340</v>
      </c>
      <c r="AL36" t="s">
        <v>8176</v>
      </c>
      <c r="AM36" t="s">
        <v>3381</v>
      </c>
      <c r="AN36" t="s">
        <v>3412</v>
      </c>
      <c r="AO36" t="s">
        <v>2195</v>
      </c>
      <c r="AP36">
        <v>100000</v>
      </c>
      <c r="AQ36" t="s">
        <v>35</v>
      </c>
      <c r="AR36" t="s">
        <v>40</v>
      </c>
      <c r="AS36">
        <v>20</v>
      </c>
      <c r="AT36">
        <v>150097</v>
      </c>
      <c r="AU36">
        <v>180</v>
      </c>
      <c r="AV36">
        <v>7.0000000000000007E-2</v>
      </c>
      <c r="AW36">
        <v>14106.79</v>
      </c>
      <c r="AX36" t="s">
        <v>3371</v>
      </c>
      <c r="AY36" s="22" t="s">
        <v>8376</v>
      </c>
      <c r="AZ36" t="s">
        <v>8377</v>
      </c>
      <c r="BA36" t="s">
        <v>13</v>
      </c>
      <c r="BB36" t="s">
        <v>14</v>
      </c>
      <c r="BC36">
        <v>77010</v>
      </c>
      <c r="BD36" t="s">
        <v>41</v>
      </c>
      <c r="BF36" t="s">
        <v>3341</v>
      </c>
      <c r="BG36" t="s">
        <v>8176</v>
      </c>
      <c r="BH36" t="s">
        <v>3381</v>
      </c>
      <c r="BI36" t="s">
        <v>3412</v>
      </c>
      <c r="BJ36" t="s">
        <v>2195</v>
      </c>
      <c r="BK36">
        <v>100000</v>
      </c>
      <c r="BL36" t="s">
        <v>35</v>
      </c>
      <c r="BM36" t="s">
        <v>40</v>
      </c>
      <c r="BN36">
        <v>1.79</v>
      </c>
      <c r="BO36">
        <v>13416</v>
      </c>
      <c r="BP36">
        <v>32</v>
      </c>
      <c r="BQ36">
        <v>0.02</v>
      </c>
      <c r="BR36">
        <v>325.60000000000002</v>
      </c>
      <c r="BS36" t="s">
        <v>3371</v>
      </c>
      <c r="BT36" s="22" t="s">
        <v>8376</v>
      </c>
      <c r="BU36" t="s">
        <v>8377</v>
      </c>
      <c r="BV36" t="s">
        <v>13</v>
      </c>
      <c r="BW36" t="s">
        <v>14</v>
      </c>
      <c r="BX36">
        <v>77010</v>
      </c>
      <c r="BY36" t="s">
        <v>41</v>
      </c>
      <c r="CA36" t="s">
        <v>3327</v>
      </c>
      <c r="CB36" t="s">
        <v>8176</v>
      </c>
      <c r="CC36" t="s">
        <v>3381</v>
      </c>
      <c r="CD36" t="s">
        <v>3412</v>
      </c>
      <c r="CE36" t="s">
        <v>2195</v>
      </c>
      <c r="CF36">
        <v>100000</v>
      </c>
      <c r="CG36" t="s">
        <v>35</v>
      </c>
      <c r="CH36" t="s">
        <v>40</v>
      </c>
      <c r="CI36">
        <v>11.25</v>
      </c>
      <c r="CJ36">
        <v>84474</v>
      </c>
      <c r="CK36">
        <v>32</v>
      </c>
      <c r="CL36">
        <v>0.02</v>
      </c>
      <c r="CM36">
        <v>3715.4900000000002</v>
      </c>
      <c r="CN36" t="s">
        <v>3371</v>
      </c>
      <c r="CO36" s="22" t="s">
        <v>8376</v>
      </c>
      <c r="CP36" t="s">
        <v>8377</v>
      </c>
      <c r="CQ36" t="s">
        <v>13</v>
      </c>
      <c r="CR36" t="s">
        <v>14</v>
      </c>
      <c r="CS36">
        <v>77010</v>
      </c>
      <c r="CT36" t="s">
        <v>41</v>
      </c>
      <c r="CV36" t="s">
        <v>3327</v>
      </c>
      <c r="CW36" t="s">
        <v>8176</v>
      </c>
      <c r="CX36" t="s">
        <v>3381</v>
      </c>
      <c r="CY36" t="s">
        <v>3412</v>
      </c>
      <c r="CZ36" t="s">
        <v>2195</v>
      </c>
      <c r="DA36">
        <v>100000</v>
      </c>
      <c r="DB36" t="s">
        <v>35</v>
      </c>
      <c r="DC36" t="s">
        <v>40</v>
      </c>
      <c r="DD36">
        <v>11.25</v>
      </c>
      <c r="DE36">
        <v>84474</v>
      </c>
      <c r="DF36">
        <v>32</v>
      </c>
      <c r="DG36">
        <v>0.02</v>
      </c>
      <c r="DH36">
        <v>3715.4900000000002</v>
      </c>
      <c r="DI36" t="s">
        <v>3371</v>
      </c>
    </row>
    <row r="37" spans="1:113" x14ac:dyDescent="0.25">
      <c r="A37" t="s">
        <v>8382</v>
      </c>
      <c r="B37" t="s">
        <v>8383</v>
      </c>
      <c r="C37" t="s">
        <v>8375</v>
      </c>
      <c r="D37" t="s">
        <v>3383</v>
      </c>
      <c r="E37" t="s">
        <v>3356</v>
      </c>
      <c r="F37" s="20">
        <v>42339</v>
      </c>
      <c r="G37" s="21">
        <v>1000</v>
      </c>
      <c r="H37" s="20">
        <v>42019</v>
      </c>
      <c r="I37" t="s">
        <v>3363</v>
      </c>
      <c r="J37" s="20">
        <v>42353</v>
      </c>
      <c r="V37" t="s">
        <v>8339</v>
      </c>
      <c r="W37" t="s">
        <v>8378</v>
      </c>
      <c r="X37">
        <v>44.29</v>
      </c>
      <c r="Y37">
        <v>332461</v>
      </c>
      <c r="Z37" s="21">
        <v>21863.37</v>
      </c>
      <c r="AD37" s="22" t="s">
        <v>8376</v>
      </c>
      <c r="AE37" t="s">
        <v>8377</v>
      </c>
      <c r="AF37" t="s">
        <v>13</v>
      </c>
      <c r="AG37" t="s">
        <v>14</v>
      </c>
      <c r="AH37">
        <v>77010</v>
      </c>
      <c r="AI37" t="s">
        <v>41</v>
      </c>
      <c r="AK37" t="s">
        <v>3340</v>
      </c>
      <c r="AL37" t="s">
        <v>8176</v>
      </c>
      <c r="AM37" t="s">
        <v>3381</v>
      </c>
      <c r="AN37" t="s">
        <v>3412</v>
      </c>
      <c r="AO37" t="s">
        <v>2195</v>
      </c>
      <c r="AP37">
        <v>100000</v>
      </c>
      <c r="AQ37" t="s">
        <v>35</v>
      </c>
      <c r="AR37" t="s">
        <v>40</v>
      </c>
      <c r="AS37">
        <v>20</v>
      </c>
      <c r="AT37">
        <v>150097</v>
      </c>
      <c r="AU37">
        <v>180</v>
      </c>
      <c r="AV37">
        <v>7.0000000000000007E-2</v>
      </c>
      <c r="AW37">
        <v>14106.79</v>
      </c>
      <c r="AX37" t="s">
        <v>3371</v>
      </c>
      <c r="AY37" s="22" t="s">
        <v>8376</v>
      </c>
      <c r="AZ37" t="s">
        <v>8377</v>
      </c>
      <c r="BA37" t="s">
        <v>13</v>
      </c>
      <c r="BB37" t="s">
        <v>14</v>
      </c>
      <c r="BC37">
        <v>77010</v>
      </c>
      <c r="BD37" t="s">
        <v>41</v>
      </c>
      <c r="BF37" t="s">
        <v>3341</v>
      </c>
      <c r="BG37" t="s">
        <v>8176</v>
      </c>
      <c r="BH37" t="s">
        <v>3381</v>
      </c>
      <c r="BI37" t="s">
        <v>3412</v>
      </c>
      <c r="BJ37" t="s">
        <v>2195</v>
      </c>
      <c r="BK37">
        <v>100000</v>
      </c>
      <c r="BL37" t="s">
        <v>35</v>
      </c>
      <c r="BM37" t="s">
        <v>40</v>
      </c>
      <c r="BN37">
        <v>1.79</v>
      </c>
      <c r="BO37">
        <v>13416</v>
      </c>
      <c r="BP37">
        <v>32</v>
      </c>
      <c r="BQ37">
        <v>0.02</v>
      </c>
      <c r="BR37">
        <v>325.60000000000002</v>
      </c>
      <c r="BS37" t="s">
        <v>3371</v>
      </c>
      <c r="BT37" s="22" t="s">
        <v>8376</v>
      </c>
      <c r="BU37" t="s">
        <v>8377</v>
      </c>
      <c r="BV37" t="s">
        <v>13</v>
      </c>
      <c r="BW37" t="s">
        <v>14</v>
      </c>
      <c r="BX37">
        <v>77010</v>
      </c>
      <c r="BY37" t="s">
        <v>41</v>
      </c>
      <c r="CA37" t="s">
        <v>3327</v>
      </c>
      <c r="CB37" t="s">
        <v>8176</v>
      </c>
      <c r="CC37" t="s">
        <v>3381</v>
      </c>
      <c r="CD37" t="s">
        <v>3412</v>
      </c>
      <c r="CE37" t="s">
        <v>2195</v>
      </c>
      <c r="CF37">
        <v>100000</v>
      </c>
      <c r="CG37" t="s">
        <v>35</v>
      </c>
      <c r="CH37" t="s">
        <v>40</v>
      </c>
      <c r="CI37">
        <v>11.25</v>
      </c>
      <c r="CJ37">
        <v>84474</v>
      </c>
      <c r="CK37">
        <v>32</v>
      </c>
      <c r="CL37">
        <v>0.02</v>
      </c>
      <c r="CM37">
        <v>3715.4900000000002</v>
      </c>
      <c r="CN37" t="s">
        <v>3371</v>
      </c>
      <c r="CO37" s="22" t="s">
        <v>8376</v>
      </c>
      <c r="CP37" t="s">
        <v>8377</v>
      </c>
      <c r="CQ37" t="s">
        <v>13</v>
      </c>
      <c r="CR37" t="s">
        <v>14</v>
      </c>
      <c r="CS37">
        <v>77010</v>
      </c>
      <c r="CT37" t="s">
        <v>41</v>
      </c>
      <c r="CV37" t="s">
        <v>3327</v>
      </c>
      <c r="CW37" t="s">
        <v>8176</v>
      </c>
      <c r="CX37" t="s">
        <v>3381</v>
      </c>
      <c r="CY37" t="s">
        <v>3412</v>
      </c>
      <c r="CZ37" t="s">
        <v>2195</v>
      </c>
      <c r="DA37">
        <v>100000</v>
      </c>
      <c r="DB37" t="s">
        <v>35</v>
      </c>
      <c r="DC37" t="s">
        <v>40</v>
      </c>
      <c r="DD37">
        <v>11.25</v>
      </c>
      <c r="DE37">
        <v>84474</v>
      </c>
      <c r="DF37">
        <v>32</v>
      </c>
      <c r="DG37">
        <v>0.02</v>
      </c>
      <c r="DH37">
        <v>3715.4900000000002</v>
      </c>
      <c r="DI37" t="s">
        <v>3371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30"/>
  <sheetViews>
    <sheetView zoomScale="80" zoomScaleNormal="80" workbookViewId="0">
      <selection activeCell="B30" sqref="B30"/>
    </sheetView>
  </sheetViews>
  <sheetFormatPr defaultRowHeight="15" x14ac:dyDescent="0.25"/>
  <cols>
    <col min="1" max="1" width="18.7109375" bestFit="1" customWidth="1"/>
    <col min="2" max="2" width="36.28515625" customWidth="1"/>
    <col min="3" max="3" width="9.85546875" bestFit="1" customWidth="1"/>
    <col min="4" max="4" width="30.5703125" bestFit="1" customWidth="1"/>
    <col min="5" max="5" width="9.140625" customWidth="1"/>
    <col min="6" max="6" width="6.5703125" customWidth="1"/>
    <col min="7" max="7" width="19.7109375" customWidth="1"/>
    <col min="8" max="8" width="31.42578125" customWidth="1"/>
    <col min="9" max="9" width="19.140625" bestFit="1" customWidth="1"/>
    <col min="10" max="10" width="34.5703125" customWidth="1"/>
    <col min="11" max="11" width="17.85546875" customWidth="1"/>
    <col min="12" max="12" width="12.140625" bestFit="1" customWidth="1"/>
    <col min="13" max="13" width="23.42578125" bestFit="1" customWidth="1"/>
    <col min="14" max="14" width="4.28515625" bestFit="1" customWidth="1"/>
    <col min="15" max="15" width="8.140625" bestFit="1" customWidth="1"/>
    <col min="16" max="16" width="5.85546875" bestFit="1" customWidth="1"/>
    <col min="17" max="17" width="12.140625" bestFit="1" customWidth="1"/>
    <col min="18" max="18" width="10.85546875" style="24" bestFit="1" customWidth="1"/>
    <col min="19" max="19" width="5.5703125" bestFit="1" customWidth="1"/>
    <col min="20" max="20" width="8.7109375" bestFit="1" customWidth="1"/>
    <col min="25" max="25" width="24.42578125" customWidth="1"/>
    <col min="26" max="26" width="23.42578125" customWidth="1"/>
    <col min="27" max="27" width="9.42578125" customWidth="1"/>
    <col min="28" max="28" width="9.140625" customWidth="1"/>
    <col min="29" max="29" width="33.140625" customWidth="1"/>
    <col min="30" max="30" width="20.140625" customWidth="1"/>
    <col min="31" max="31" width="4.42578125" customWidth="1"/>
    <col min="32" max="32" width="7.5703125" customWidth="1"/>
    <col min="33" max="33" width="5.7109375" customWidth="1"/>
    <col min="34" max="34" width="11.42578125" customWidth="1"/>
    <col min="35" max="35" width="27.85546875" customWidth="1"/>
    <col min="36" max="36" width="4.42578125" customWidth="1"/>
    <col min="37" max="37" width="7.5703125" customWidth="1"/>
    <col min="38" max="38" width="5.7109375" customWidth="1"/>
    <col min="39" max="39" width="11.42578125" customWidth="1"/>
    <col min="40" max="40" width="12" customWidth="1"/>
    <col min="41" max="41" width="9.85546875" customWidth="1"/>
    <col min="42" max="42" width="10.85546875" customWidth="1"/>
  </cols>
  <sheetData>
    <row r="1" spans="1:42" x14ac:dyDescent="0.25">
      <c r="C1" t="s">
        <v>8100</v>
      </c>
      <c r="D1" t="s">
        <v>3445</v>
      </c>
      <c r="E1" t="s">
        <v>6876</v>
      </c>
      <c r="F1" t="s">
        <v>6877</v>
      </c>
      <c r="G1" t="s">
        <v>6879</v>
      </c>
      <c r="H1" t="s">
        <v>8101</v>
      </c>
      <c r="I1" t="s">
        <v>8222</v>
      </c>
      <c r="K1" t="s">
        <v>8224</v>
      </c>
      <c r="Y1" s="4" t="s">
        <v>8098</v>
      </c>
      <c r="Z1" s="4" t="s">
        <v>8099</v>
      </c>
      <c r="AA1" s="4" t="s">
        <v>3438</v>
      </c>
      <c r="AB1" s="4" t="s">
        <v>3439</v>
      </c>
      <c r="AC1" s="4" t="s">
        <v>3451</v>
      </c>
      <c r="AD1" s="4" t="s">
        <v>3440</v>
      </c>
      <c r="AE1" s="4" t="s">
        <v>3443</v>
      </c>
      <c r="AF1" s="4" t="s">
        <v>3444</v>
      </c>
      <c r="AG1" s="4" t="s">
        <v>3441</v>
      </c>
      <c r="AH1" s="4" t="s">
        <v>3442</v>
      </c>
      <c r="AI1" s="4" t="s">
        <v>3445</v>
      </c>
      <c r="AJ1" s="4" t="s">
        <v>3443</v>
      </c>
      <c r="AK1" s="4" t="s">
        <v>3444</v>
      </c>
      <c r="AL1" s="4" t="s">
        <v>3441</v>
      </c>
      <c r="AM1" s="4" t="s">
        <v>3442</v>
      </c>
      <c r="AN1" s="28" t="s">
        <v>3446</v>
      </c>
      <c r="AO1" s="4" t="s">
        <v>3350</v>
      </c>
      <c r="AP1" s="4" t="s">
        <v>3351</v>
      </c>
    </row>
    <row r="2" spans="1:42" x14ac:dyDescent="0.25">
      <c r="D2" t="str">
        <f t="array" aca="1" ref="D2" ca="1">IFERROR(INDEX(ProposedFixtureList,MATCH(0,COUNTIF(ProposedFixtureList,"&lt;"&amp;ProposedFixtureList)-SUM(COUNTIF(ProposedFixtureList,D$1:D1)),0)),"")</f>
        <v/>
      </c>
      <c r="E2" s="149" t="str">
        <f ca="1">IF(D2="","",SUMIF(OFFSET($AI$2,,,$B$9,),D2,OFFSET($AO$2,,,$B$9,)))</f>
        <v/>
      </c>
      <c r="F2" s="34" t="str">
        <f ca="1">IF(D2="","",E2/$B$12)</f>
        <v/>
      </c>
      <c r="G2" t="str">
        <f ca="1">IF(D2="","",VLOOKUP(D2,CWT!$A$2:$U$2202,2,FALSE))</f>
        <v/>
      </c>
    </row>
    <row r="3" spans="1:42" ht="15.75" thickBot="1" x14ac:dyDescent="0.3">
      <c r="D3" s="38" t="str">
        <f t="array" aca="1" ref="D3" ca="1">IFERROR(INDEX(ProposedFixtureList,MATCH(0,COUNTIF(ProposedFixtureList,"&lt;"&amp;ProposedFixtureList)-SUM(COUNTIF(ProposedFixtureList,D$1:D2)),0)),"")</f>
        <v/>
      </c>
      <c r="E3" s="149" t="str">
        <f t="shared" ref="E3:E30" ca="1" si="0">IF(D3="","",SUMIF(OFFSET($AI$2,,,$B$9,),D3,OFFSET($AO$2,,,$B$9,)))</f>
        <v/>
      </c>
      <c r="F3" s="34" t="str">
        <f t="shared" ref="F3:F30" ca="1" si="1">IF(D3="","",E3/$B$12)</f>
        <v/>
      </c>
      <c r="G3" t="str">
        <f ca="1">IF(D3="","",VLOOKUP(D3,CWT!$A$2:$U$2202,2,FALSE))</f>
        <v/>
      </c>
    </row>
    <row r="4" spans="1:42" x14ac:dyDescent="0.25">
      <c r="A4" s="9" t="s">
        <v>3307</v>
      </c>
      <c r="B4" s="25"/>
      <c r="D4" s="38" t="str">
        <f t="array" aca="1" ref="D4" ca="1">IFERROR(INDEX(ProposedFixtureList,MATCH(0,COUNTIF(ProposedFixtureList,"&lt;"&amp;ProposedFixtureList)-SUM(COUNTIF(ProposedFixtureList,D$1:D3)),0)),"")</f>
        <v/>
      </c>
      <c r="E4" s="149" t="str">
        <f t="shared" ca="1" si="0"/>
        <v/>
      </c>
      <c r="F4" s="34" t="str">
        <f t="shared" ca="1" si="1"/>
        <v/>
      </c>
      <c r="G4" t="str">
        <f ca="1">IF(D4="","",VLOOKUP(D4,CWT!$A$2:$U$2202,2,FALSE))</f>
        <v/>
      </c>
    </row>
    <row r="5" spans="1:42" x14ac:dyDescent="0.25">
      <c r="A5" s="8" t="s">
        <v>3447</v>
      </c>
      <c r="B5" s="26"/>
      <c r="D5" s="38" t="str">
        <f t="array" aca="1" ref="D5" ca="1">IFERROR(INDEX(ProposedFixtureList,MATCH(0,COUNTIF(ProposedFixtureList,"&lt;"&amp;ProposedFixtureList)-SUM(COUNTIF(ProposedFixtureList,D$1:D4)),0)),"")</f>
        <v/>
      </c>
      <c r="E5" s="149" t="str">
        <f t="shared" ca="1" si="0"/>
        <v/>
      </c>
      <c r="F5" s="34" t="str">
        <f t="shared" ca="1" si="1"/>
        <v/>
      </c>
      <c r="G5" t="str">
        <f ca="1">IF(D5="","",VLOOKUP(D5,CWT!$A$2:$U$2202,2,FALSE))</f>
        <v/>
      </c>
    </row>
    <row r="6" spans="1:42" x14ac:dyDescent="0.25">
      <c r="A6" s="8" t="s">
        <v>3322</v>
      </c>
      <c r="B6" s="10"/>
      <c r="D6" s="38" t="str">
        <f t="array" aca="1" ref="D6" ca="1">IFERROR(INDEX(ProposedFixtureList,MATCH(0,COUNTIF(ProposedFixtureList,"&lt;"&amp;ProposedFixtureList)-SUM(COUNTIF(ProposedFixtureList,D$1:D5)),0)),"")</f>
        <v/>
      </c>
      <c r="E6" s="149" t="str">
        <f t="shared" ca="1" si="0"/>
        <v/>
      </c>
      <c r="F6" s="34" t="str">
        <f t="shared" ca="1" si="1"/>
        <v/>
      </c>
      <c r="G6" t="str">
        <f ca="1">IF(D6="","",VLOOKUP(D6,CWT!$A$2:$U$2202,2,FALSE))</f>
        <v/>
      </c>
    </row>
    <row r="7" spans="1:42" ht="15.75" thickBot="1" x14ac:dyDescent="0.3">
      <c r="A7" s="11" t="s">
        <v>3459</v>
      </c>
      <c r="B7" s="27"/>
      <c r="D7" s="38" t="str">
        <f t="array" aca="1" ref="D7" ca="1">IFERROR(INDEX(ProposedFixtureList,MATCH(0,COUNTIF(ProposedFixtureList,"&lt;"&amp;ProposedFixtureList)-SUM(COUNTIF(ProposedFixtureList,D$1:D6)),0)),"")</f>
        <v/>
      </c>
      <c r="E7" s="149" t="str">
        <f t="shared" ca="1" si="0"/>
        <v/>
      </c>
      <c r="F7" s="34" t="str">
        <f t="shared" ca="1" si="1"/>
        <v/>
      </c>
      <c r="G7" t="str">
        <f ca="1">IF(D7="","",VLOOKUP(D7,CWT!$A$2:$U$2202,2,FALSE))</f>
        <v/>
      </c>
    </row>
    <row r="8" spans="1:42" ht="15.75" thickBot="1" x14ac:dyDescent="0.3">
      <c r="D8" s="38" t="str">
        <f t="array" aca="1" ref="D8" ca="1">IFERROR(INDEX(ProposedFixtureList,MATCH(0,COUNTIF(ProposedFixtureList,"&lt;"&amp;ProposedFixtureList)-SUM(COUNTIF(ProposedFixtureList,D$1:D7)),0)),"")</f>
        <v/>
      </c>
      <c r="E8" s="149" t="str">
        <f t="shared" ca="1" si="0"/>
        <v/>
      </c>
      <c r="F8" s="34" t="str">
        <f t="shared" ca="1" si="1"/>
        <v/>
      </c>
      <c r="G8" t="str">
        <f ca="1">IF(D8="","",VLOOKUP(D8,CWT!$A$2:$U$2202,2,FALSE))</f>
        <v/>
      </c>
    </row>
    <row r="9" spans="1:42" ht="15.75" thickBot="1" x14ac:dyDescent="0.3">
      <c r="A9" s="32" t="s">
        <v>3460</v>
      </c>
      <c r="B9" s="33"/>
      <c r="D9" s="38" t="str">
        <f t="array" aca="1" ref="D9" ca="1">IFERROR(INDEX(ProposedFixtureList,MATCH(0,COUNTIF(ProposedFixtureList,"&lt;"&amp;ProposedFixtureList)-SUM(COUNTIF(ProposedFixtureList,D$1:D8)),0)),"")</f>
        <v/>
      </c>
      <c r="E9" s="149" t="str">
        <f t="shared" ca="1" si="0"/>
        <v/>
      </c>
      <c r="F9" s="34" t="str">
        <f t="shared" ca="1" si="1"/>
        <v/>
      </c>
      <c r="G9" t="str">
        <f ca="1">IF(D9="","",VLOOKUP(D9,CWT!$A$2:$U$2202,2,FALSE))</f>
        <v/>
      </c>
    </row>
    <row r="10" spans="1:42" x14ac:dyDescent="0.25">
      <c r="A10" s="7"/>
      <c r="D10" s="38" t="str">
        <f t="array" aca="1" ref="D10" ca="1">IFERROR(INDEX(ProposedFixtureList,MATCH(0,COUNTIF(ProposedFixtureList,"&lt;"&amp;ProposedFixtureList)-SUM(COUNTIF(ProposedFixtureList,D$1:D9)),0)),"")</f>
        <v/>
      </c>
      <c r="E10" s="149" t="str">
        <f t="shared" ca="1" si="0"/>
        <v/>
      </c>
      <c r="F10" s="34" t="str">
        <f t="shared" ca="1" si="1"/>
        <v/>
      </c>
      <c r="G10" t="str">
        <f ca="1">IF(D10="","",VLOOKUP(D10,CWT!$A$2:$U$2202,2,FALSE))</f>
        <v/>
      </c>
    </row>
    <row r="11" spans="1:42" ht="15.75" thickBot="1" x14ac:dyDescent="0.3">
      <c r="D11" s="38" t="str">
        <f t="array" aca="1" ref="D11" ca="1">IFERROR(INDEX(ProposedFixtureList,MATCH(0,COUNTIF(ProposedFixtureList,"&lt;"&amp;ProposedFixtureList)-SUM(COUNTIF(ProposedFixtureList,D$1:D10)),0)),"")</f>
        <v/>
      </c>
      <c r="E11" s="149" t="str">
        <f t="shared" ca="1" si="0"/>
        <v/>
      </c>
      <c r="F11" s="34" t="str">
        <f t="shared" ca="1" si="1"/>
        <v/>
      </c>
      <c r="G11" t="str">
        <f ca="1">IF(D11="","",VLOOKUP(D11,CWT!$A$2:$U$2202,2,FALSE))</f>
        <v/>
      </c>
    </row>
    <row r="12" spans="1:42" x14ac:dyDescent="0.25">
      <c r="A12" s="9" t="s">
        <v>3350</v>
      </c>
      <c r="B12" s="25"/>
      <c r="D12" s="38" t="str">
        <f t="array" aca="1" ref="D12" ca="1">IFERROR(INDEX(ProposedFixtureList,MATCH(0,COUNTIF(ProposedFixtureList,"&lt;"&amp;ProposedFixtureList)-SUM(COUNTIF(ProposedFixtureList,D$1:D11)),0)),"")</f>
        <v/>
      </c>
      <c r="E12" s="149" t="str">
        <f t="shared" ca="1" si="0"/>
        <v/>
      </c>
      <c r="F12" s="34" t="str">
        <f t="shared" ca="1" si="1"/>
        <v/>
      </c>
      <c r="G12" t="str">
        <f ca="1">IF(D12="","",VLOOKUP(D12,CWT!$A$2:$U$2202,2,FALSE))</f>
        <v/>
      </c>
    </row>
    <row r="13" spans="1:42" x14ac:dyDescent="0.25">
      <c r="A13" s="8" t="s">
        <v>3351</v>
      </c>
      <c r="B13" s="26"/>
      <c r="D13" s="38" t="str">
        <f t="array" aca="1" ref="D13" ca="1">IFERROR(INDEX(ProposedFixtureList,MATCH(0,COUNTIF(ProposedFixtureList,"&lt;"&amp;ProposedFixtureList)-SUM(COUNTIF(ProposedFixtureList,D$1:D12)),0)),"")</f>
        <v/>
      </c>
      <c r="E13" s="149" t="str">
        <f t="shared" ca="1" si="0"/>
        <v/>
      </c>
      <c r="F13" s="34" t="str">
        <f t="shared" ca="1" si="1"/>
        <v/>
      </c>
      <c r="G13" t="str">
        <f ca="1">IF(D13="","",VLOOKUP(D13,CWT!$A$2:$U$2202,2,FALSE))</f>
        <v/>
      </c>
    </row>
    <row r="14" spans="1:42" ht="15.75" thickBot="1" x14ac:dyDescent="0.3">
      <c r="A14" s="11" t="s">
        <v>6878</v>
      </c>
      <c r="B14" s="147"/>
      <c r="D14" s="38" t="str">
        <f t="array" aca="1" ref="D14" ca="1">IFERROR(INDEX(ProposedFixtureList,MATCH(0,COUNTIF(ProposedFixtureList,"&lt;"&amp;ProposedFixtureList)-SUM(COUNTIF(ProposedFixtureList,D$1:D13)),0)),"")</f>
        <v/>
      </c>
      <c r="E14" s="149" t="str">
        <f t="shared" ca="1" si="0"/>
        <v/>
      </c>
      <c r="F14" s="34" t="str">
        <f t="shared" ca="1" si="1"/>
        <v/>
      </c>
      <c r="G14" t="str">
        <f ca="1">IF(D14="","",VLOOKUP(D14,CWT!$A$2:$U$2202,2,FALSE))</f>
        <v/>
      </c>
    </row>
    <row r="15" spans="1:42" x14ac:dyDescent="0.25">
      <c r="D15" s="38" t="str">
        <f t="array" aca="1" ref="D15" ca="1">IFERROR(INDEX(ProposedFixtureList,MATCH(0,COUNTIF(ProposedFixtureList,"&lt;"&amp;ProposedFixtureList)-SUM(COUNTIF(ProposedFixtureList,D$1:D14)),0)),"")</f>
        <v/>
      </c>
      <c r="E15" s="149" t="str">
        <f t="shared" ca="1" si="0"/>
        <v/>
      </c>
      <c r="F15" s="34" t="str">
        <f t="shared" ca="1" si="1"/>
        <v/>
      </c>
      <c r="G15" t="str">
        <f ca="1">IF(D15="","",VLOOKUP(D15,CWT!$A$2:$U$2202,2,FALSE))</f>
        <v/>
      </c>
    </row>
    <row r="16" spans="1:42" x14ac:dyDescent="0.25">
      <c r="D16" s="38" t="str">
        <f t="array" aca="1" ref="D16" ca="1">IFERROR(INDEX(ProposedFixtureList,MATCH(0,COUNTIF(ProposedFixtureList,"&lt;"&amp;ProposedFixtureList)-SUM(COUNTIF(ProposedFixtureList,D$1:D15)),0)),"")</f>
        <v/>
      </c>
      <c r="E16" s="149" t="str">
        <f t="shared" ca="1" si="0"/>
        <v/>
      </c>
      <c r="F16" s="34" t="str">
        <f t="shared" ca="1" si="1"/>
        <v/>
      </c>
      <c r="G16" t="str">
        <f ca="1">IF(D16="","",VLOOKUP(D16,CWT!$A$2:$U$2202,2,FALSE))</f>
        <v/>
      </c>
    </row>
    <row r="17" spans="1:7" x14ac:dyDescent="0.25">
      <c r="B17" s="39"/>
      <c r="D17" s="38" t="str">
        <f t="array" aca="1" ref="D17" ca="1">IFERROR(INDEX(ProposedFixtureList,MATCH(0,COUNTIF(ProposedFixtureList,"&lt;"&amp;ProposedFixtureList)-SUM(COUNTIF(ProposedFixtureList,D$1:D16)),0)),"")</f>
        <v/>
      </c>
      <c r="E17" s="149" t="str">
        <f t="shared" ca="1" si="0"/>
        <v/>
      </c>
      <c r="F17" s="34" t="str">
        <f t="shared" ca="1" si="1"/>
        <v/>
      </c>
      <c r="G17" t="str">
        <f ca="1">IF(D17="","",VLOOKUP(D17,CWT!$A$2:$U$2202,2,FALSE))</f>
        <v/>
      </c>
    </row>
    <row r="18" spans="1:7" x14ac:dyDescent="0.25">
      <c r="D18" s="38" t="str">
        <f t="array" aca="1" ref="D18" ca="1">IFERROR(INDEX(ProposedFixtureList,MATCH(0,COUNTIF(ProposedFixtureList,"&lt;"&amp;ProposedFixtureList)-SUM(COUNTIF(ProposedFixtureList,D$1:D17)),0)),"")</f>
        <v/>
      </c>
      <c r="E18" s="149" t="str">
        <f t="shared" ca="1" si="0"/>
        <v/>
      </c>
      <c r="F18" s="34" t="str">
        <f t="shared" ca="1" si="1"/>
        <v/>
      </c>
      <c r="G18" t="str">
        <f ca="1">IF(D18="","",VLOOKUP(D18,CWT!$A$2:$U$2202,2,FALSE))</f>
        <v/>
      </c>
    </row>
    <row r="19" spans="1:7" x14ac:dyDescent="0.25">
      <c r="B19" s="39"/>
      <c r="D19" s="38" t="str">
        <f t="array" aca="1" ref="D19" ca="1">IFERROR(INDEX(ProposedFixtureList,MATCH(0,COUNTIF(ProposedFixtureList,"&lt;"&amp;ProposedFixtureList)-SUM(COUNTIF(ProposedFixtureList,D$1:D18)),0)),"")</f>
        <v/>
      </c>
      <c r="E19" s="31" t="str">
        <f t="shared" ca="1" si="0"/>
        <v/>
      </c>
      <c r="F19" s="34" t="str">
        <f t="shared" ca="1" si="1"/>
        <v/>
      </c>
      <c r="G19" t="str">
        <f ca="1">IF(D19="","",VLOOKUP(D19,CWT!$A$2:$U$2202,2,FALSE))</f>
        <v/>
      </c>
    </row>
    <row r="20" spans="1:7" x14ac:dyDescent="0.25">
      <c r="D20" s="38" t="str">
        <f t="array" aca="1" ref="D20" ca="1">IFERROR(INDEX(ProposedFixtureList,MATCH(0,COUNTIF(ProposedFixtureList,"&lt;"&amp;ProposedFixtureList)-SUM(COUNTIF(ProposedFixtureList,D$1:D19)),0)),"")</f>
        <v/>
      </c>
      <c r="E20" s="31" t="str">
        <f t="shared" ca="1" si="0"/>
        <v/>
      </c>
      <c r="F20" s="34" t="str">
        <f t="shared" ca="1" si="1"/>
        <v/>
      </c>
      <c r="G20" t="str">
        <f ca="1">IF(D20="","",VLOOKUP(D20,CWT!$A$2:$U$2202,2,FALSE))</f>
        <v/>
      </c>
    </row>
    <row r="21" spans="1:7" x14ac:dyDescent="0.25">
      <c r="A21" s="39"/>
      <c r="B21" s="39"/>
      <c r="D21" s="38" t="str">
        <f t="array" aca="1" ref="D21" ca="1">IFERROR(INDEX(ProposedFixtureList,MATCH(0,COUNTIF(ProposedFixtureList,"&lt;"&amp;ProposedFixtureList)-SUM(COUNTIF(ProposedFixtureList,D$1:D20)),0)),"")</f>
        <v/>
      </c>
      <c r="E21" s="31" t="str">
        <f t="shared" ca="1" si="0"/>
        <v/>
      </c>
      <c r="F21" s="34" t="str">
        <f t="shared" ca="1" si="1"/>
        <v/>
      </c>
      <c r="G21" t="str">
        <f ca="1">IF(D21="","",VLOOKUP(D21,CWT!$A$2:$U$2202,2,FALSE))</f>
        <v/>
      </c>
    </row>
    <row r="22" spans="1:7" x14ac:dyDescent="0.25">
      <c r="A22" s="39"/>
      <c r="D22" s="38" t="str">
        <f t="array" aca="1" ref="D22" ca="1">IFERROR(INDEX(ProposedFixtureList,MATCH(0,COUNTIF(ProposedFixtureList,"&lt;"&amp;ProposedFixtureList)-SUM(COUNTIF(ProposedFixtureList,D$1:D21)),0)),"")</f>
        <v/>
      </c>
      <c r="E22" s="31" t="str">
        <f t="shared" ca="1" si="0"/>
        <v/>
      </c>
      <c r="F22" s="34" t="str">
        <f t="shared" ca="1" si="1"/>
        <v/>
      </c>
      <c r="G22" t="str">
        <f ca="1">IF(D22="","",VLOOKUP(D22,CWT!$A$2:$U$2202,2,FALSE))</f>
        <v/>
      </c>
    </row>
    <row r="23" spans="1:7" x14ac:dyDescent="0.25">
      <c r="D23" s="38" t="str">
        <f t="array" aca="1" ref="D23" ca="1">IFERROR(INDEX(ProposedFixtureList,MATCH(0,COUNTIF(ProposedFixtureList,"&lt;"&amp;ProposedFixtureList)-SUM(COUNTIF(ProposedFixtureList,D$1:D22)),0)),"")</f>
        <v/>
      </c>
      <c r="E23" s="31" t="str">
        <f t="shared" ca="1" si="0"/>
        <v/>
      </c>
      <c r="F23" s="34" t="str">
        <f t="shared" ca="1" si="1"/>
        <v/>
      </c>
      <c r="G23" t="str">
        <f ca="1">IF(D23="","",VLOOKUP(D23,CWT!$A$2:$U$2202,2,FALSE))</f>
        <v/>
      </c>
    </row>
    <row r="24" spans="1:7" x14ac:dyDescent="0.25">
      <c r="D24" t="str">
        <f t="array" aca="1" ref="D24" ca="1">IFERROR(INDEX(ProposedFixtureList,MATCH(0,COUNTIF(ProposedFixtureList,"&lt;"&amp;ProposedFixtureList)-SUM(COUNTIF(ProposedFixtureList,D$1:D23)),0)),"")</f>
        <v/>
      </c>
      <c r="E24" s="31" t="str">
        <f t="shared" ca="1" si="0"/>
        <v/>
      </c>
      <c r="F24" s="34" t="str">
        <f t="shared" ca="1" si="1"/>
        <v/>
      </c>
      <c r="G24" t="str">
        <f ca="1">IF(D24="","",VLOOKUP(D24,CWT!$A$2:$U$2202,2,FALSE))</f>
        <v/>
      </c>
    </row>
    <row r="25" spans="1:7" x14ac:dyDescent="0.25">
      <c r="D25" t="str">
        <f t="array" aca="1" ref="D25" ca="1">IFERROR(INDEX(ProposedFixtureList,MATCH(0,COUNTIF(ProposedFixtureList,"&lt;"&amp;ProposedFixtureList)-SUM(COUNTIF(ProposedFixtureList,D$1:D24)),0)),"")</f>
        <v/>
      </c>
      <c r="E25" s="31" t="str">
        <f t="shared" ca="1" si="0"/>
        <v/>
      </c>
      <c r="F25" s="34" t="str">
        <f t="shared" ca="1" si="1"/>
        <v/>
      </c>
      <c r="G25" t="str">
        <f ca="1">IF(D25="","",VLOOKUP(D25,CWT!$A$2:$U$2202,2,FALSE))</f>
        <v/>
      </c>
    </row>
    <row r="26" spans="1:7" x14ac:dyDescent="0.25">
      <c r="D26" t="str">
        <f t="array" aca="1" ref="D26" ca="1">IFERROR(INDEX(ProposedFixtureList,MATCH(0,COUNTIF(ProposedFixtureList,"&lt;"&amp;ProposedFixtureList)-SUM(COUNTIF(ProposedFixtureList,D$1:D25)),0)),"")</f>
        <v/>
      </c>
      <c r="E26" s="31" t="str">
        <f t="shared" ca="1" si="0"/>
        <v/>
      </c>
      <c r="F26" s="34" t="str">
        <f t="shared" ca="1" si="1"/>
        <v/>
      </c>
      <c r="G26" t="str">
        <f ca="1">IF(D26="","",VLOOKUP(D26,CWT!$A$2:$U$2202,2,FALSE))</f>
        <v/>
      </c>
    </row>
    <row r="27" spans="1:7" x14ac:dyDescent="0.25">
      <c r="D27" t="str">
        <f t="array" aca="1" ref="D27" ca="1">IFERROR(INDEX(ProposedFixtureList,MATCH(0,COUNTIF(ProposedFixtureList,"&lt;"&amp;ProposedFixtureList)-SUM(COUNTIF(ProposedFixtureList,D$1:D26)),0)),"")</f>
        <v/>
      </c>
      <c r="E27" s="31" t="str">
        <f t="shared" ca="1" si="0"/>
        <v/>
      </c>
      <c r="F27" s="34" t="str">
        <f t="shared" ca="1" si="1"/>
        <v/>
      </c>
      <c r="G27" t="str">
        <f ca="1">IF(D27="","",VLOOKUP(D27,CWT!$A$2:$U$2202,2,FALSE))</f>
        <v/>
      </c>
    </row>
    <row r="28" spans="1:7" x14ac:dyDescent="0.25">
      <c r="D28" t="str">
        <f t="array" aca="1" ref="D28" ca="1">IFERROR(INDEX(ProposedFixtureList,MATCH(0,COUNTIF(ProposedFixtureList,"&lt;"&amp;ProposedFixtureList)-SUM(COUNTIF(ProposedFixtureList,D$1:D27)),0)),"")</f>
        <v/>
      </c>
      <c r="E28" s="31" t="str">
        <f t="shared" ca="1" si="0"/>
        <v/>
      </c>
      <c r="F28" s="34" t="str">
        <f t="shared" ca="1" si="1"/>
        <v/>
      </c>
      <c r="G28" t="str">
        <f ca="1">IF(D28="","",VLOOKUP(D28,CWT!$A$2:$U$2202,2,FALSE))</f>
        <v/>
      </c>
    </row>
    <row r="29" spans="1:7" x14ac:dyDescent="0.25">
      <c r="D29" t="str">
        <f t="array" aca="1" ref="D29" ca="1">IFERROR(INDEX(ProposedFixtureList,MATCH(0,COUNTIF(ProposedFixtureList,"&lt;"&amp;ProposedFixtureList)-SUM(COUNTIF(ProposedFixtureList,D$1:D28)),0)),"")</f>
        <v/>
      </c>
      <c r="E29" s="31" t="str">
        <f t="shared" ca="1" si="0"/>
        <v/>
      </c>
      <c r="F29" s="34" t="str">
        <f t="shared" ca="1" si="1"/>
        <v/>
      </c>
      <c r="G29" t="str">
        <f ca="1">IF(D29="","",VLOOKUP(D29,CWT!$A$2:$U$2202,2,FALSE))</f>
        <v/>
      </c>
    </row>
    <row r="30" spans="1:7" x14ac:dyDescent="0.25">
      <c r="D30" t="str">
        <f t="array" aca="1" ref="D30" ca="1">IFERROR(INDEX(ProposedFixtureList,MATCH(0,COUNTIF(ProposedFixtureList,"&lt;"&amp;ProposedFixtureList)-SUM(COUNTIF(ProposedFixtureList,D$1:D29)),0)),"")</f>
        <v/>
      </c>
      <c r="E30" s="31" t="str">
        <f t="shared" ca="1" si="0"/>
        <v/>
      </c>
      <c r="F30" s="34" t="str">
        <f t="shared" ca="1" si="1"/>
        <v/>
      </c>
      <c r="G30" t="str">
        <f ca="1">IF(D30="","",VLOOKUP(D30,CWT!$A$2:$U$2202,2,FALSE))</f>
        <v/>
      </c>
    </row>
  </sheetData>
  <autoFilter ref="Y1:AP5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allworkbooks">
                <anchor moveWithCells="1" sizeWithCells="1"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0</xdr:col>
                    <xdr:colOff>838200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abel 2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abel 3">
              <controlPr defaultSize="0" autoFill="0" autoLine="0" autoPict="0">
                <anchor moveWithCells="1">
                  <from>
                    <xdr:col>6</xdr:col>
                    <xdr:colOff>533400</xdr:colOff>
                    <xdr:row>1</xdr:row>
                    <xdr:rowOff>0</xdr:rowOff>
                  </from>
                  <to>
                    <xdr:col>6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abel 4166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abel 4167">
              <controlPr defaultSize="0" autoFill="0" autoLine="0" autoPict="0">
                <anchor moveWithCells="1">
                  <from>
                    <xdr:col>11</xdr:col>
                    <xdr:colOff>133350</xdr:colOff>
                    <xdr:row>1</xdr:row>
                    <xdr:rowOff>0</xdr:rowOff>
                  </from>
                  <to>
                    <xdr:col>11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setcs">
                <anchor moveWithCells="1" sizeWithCells="1">
                  <from>
                    <xdr:col>1</xdr:col>
                    <xdr:colOff>476250</xdr:colOff>
                    <xdr:row>0</xdr:row>
                    <xdr:rowOff>95250</xdr:rowOff>
                  </from>
                  <to>
                    <xdr:col>1</xdr:col>
                    <xdr:colOff>1247775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saveas">
                <anchor moveWithCells="1" sizeWithCells="1">
                  <from>
                    <xdr:col>1</xdr:col>
                    <xdr:colOff>1428750</xdr:colOff>
                    <xdr:row>0</xdr:row>
                    <xdr:rowOff>104775</xdr:rowOff>
                  </from>
                  <to>
                    <xdr:col>1</xdr:col>
                    <xdr:colOff>2200275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readpdfs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1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L78"/>
  <sheetViews>
    <sheetView topLeftCell="A4" workbookViewId="0">
      <selection activeCell="L30" sqref="L30"/>
    </sheetView>
  </sheetViews>
  <sheetFormatPr defaultRowHeight="12.75" x14ac:dyDescent="0.2"/>
  <cols>
    <col min="1" max="7" width="9.140625" style="126"/>
    <col min="8" max="8" width="11.85546875" style="126" customWidth="1"/>
    <col min="9" max="10" width="9.28515625" style="126" customWidth="1"/>
    <col min="11" max="16384" width="9.140625" style="126"/>
  </cols>
  <sheetData>
    <row r="1" spans="1:12" ht="18" x14ac:dyDescent="0.25">
      <c r="A1" s="124"/>
      <c r="B1" s="125"/>
      <c r="C1" s="125"/>
      <c r="D1" s="125"/>
      <c r="E1" s="125"/>
      <c r="F1" s="125"/>
      <c r="G1" s="125"/>
      <c r="H1" s="125"/>
      <c r="I1" s="125"/>
      <c r="J1" s="125"/>
    </row>
    <row r="2" spans="1:12" ht="18" x14ac:dyDescent="0.25">
      <c r="A2" s="124"/>
      <c r="B2" s="125"/>
      <c r="C2" s="125"/>
      <c r="D2" s="125"/>
      <c r="E2" s="125"/>
      <c r="F2" s="125"/>
      <c r="G2" s="125"/>
      <c r="H2" s="127"/>
      <c r="I2" s="125"/>
      <c r="J2" s="125"/>
    </row>
    <row r="3" spans="1:12" x14ac:dyDescent="0.2">
      <c r="H3" s="128"/>
      <c r="I3" s="128"/>
    </row>
    <row r="4" spans="1:12" x14ac:dyDescent="0.2">
      <c r="G4" s="129"/>
      <c r="H4" s="241"/>
      <c r="I4" s="241"/>
      <c r="J4" s="130"/>
      <c r="K4" s="131"/>
      <c r="L4" s="131"/>
    </row>
    <row r="5" spans="1:12" x14ac:dyDescent="0.2">
      <c r="G5" s="132"/>
      <c r="H5" s="128"/>
      <c r="I5" s="128"/>
      <c r="J5" s="131"/>
      <c r="K5" s="133"/>
      <c r="L5" s="131"/>
    </row>
    <row r="6" spans="1:12" x14ac:dyDescent="0.2">
      <c r="G6" s="129"/>
      <c r="H6" s="134"/>
      <c r="I6" s="128"/>
      <c r="J6" s="131"/>
      <c r="K6" s="131"/>
      <c r="L6" s="131"/>
    </row>
    <row r="7" spans="1:12" x14ac:dyDescent="0.2">
      <c r="G7" s="132"/>
      <c r="H7" s="128"/>
      <c r="I7" s="128"/>
      <c r="J7" s="131"/>
      <c r="K7" s="133"/>
      <c r="L7" s="131"/>
    </row>
    <row r="8" spans="1:12" x14ac:dyDescent="0.2">
      <c r="G8" s="129"/>
      <c r="H8" s="134"/>
      <c r="I8" s="128"/>
      <c r="J8" s="131"/>
      <c r="K8" s="131"/>
      <c r="L8" s="131"/>
    </row>
    <row r="9" spans="1:12" x14ac:dyDescent="0.2">
      <c r="H9" s="128"/>
      <c r="I9" s="128"/>
      <c r="J9" s="131"/>
      <c r="K9" s="131"/>
      <c r="L9" s="131"/>
    </row>
    <row r="10" spans="1:12" x14ac:dyDescent="0.2">
      <c r="J10" s="131"/>
      <c r="K10" s="131"/>
      <c r="L10" s="131"/>
    </row>
    <row r="11" spans="1:12" x14ac:dyDescent="0.2">
      <c r="J11" s="131"/>
      <c r="K11" s="131"/>
      <c r="L11" s="131"/>
    </row>
    <row r="12" spans="1:12" x14ac:dyDescent="0.2">
      <c r="J12" s="131"/>
      <c r="K12" s="131"/>
      <c r="L12" s="131"/>
    </row>
    <row r="13" spans="1:12" x14ac:dyDescent="0.2">
      <c r="E13" s="135"/>
      <c r="G13" s="127"/>
      <c r="J13" s="131"/>
      <c r="K13" s="131"/>
      <c r="L13" s="131"/>
    </row>
    <row r="14" spans="1:12" x14ac:dyDescent="0.2">
      <c r="J14" s="131"/>
      <c r="K14" s="131"/>
      <c r="L14" s="131"/>
    </row>
    <row r="16" spans="1:12" x14ac:dyDescent="0.2">
      <c r="E16" s="128"/>
      <c r="F16" s="128"/>
      <c r="K16" s="136"/>
    </row>
    <row r="17" spans="3:11" x14ac:dyDescent="0.2">
      <c r="C17" s="128"/>
      <c r="D17" s="137"/>
      <c r="E17" s="128"/>
      <c r="F17" s="128"/>
      <c r="G17" s="138"/>
      <c r="H17" s="139"/>
      <c r="I17" s="139"/>
      <c r="K17" s="140"/>
    </row>
    <row r="18" spans="3:11" x14ac:dyDescent="0.2">
      <c r="G18" s="242"/>
      <c r="H18" s="242"/>
      <c r="I18" s="242"/>
      <c r="K18" s="140"/>
    </row>
    <row r="19" spans="3:11" x14ac:dyDescent="0.2">
      <c r="G19" s="242"/>
      <c r="H19" s="242"/>
      <c r="I19" s="242"/>
      <c r="K19" s="140"/>
    </row>
    <row r="20" spans="3:11" x14ac:dyDescent="0.2">
      <c r="G20" s="141"/>
      <c r="H20" s="141"/>
      <c r="I20" s="141"/>
      <c r="K20" s="136"/>
    </row>
    <row r="21" spans="3:11" x14ac:dyDescent="0.2">
      <c r="G21" s="243" t="s">
        <v>8156</v>
      </c>
      <c r="H21" s="243"/>
      <c r="I21" s="243"/>
      <c r="K21" s="136"/>
    </row>
    <row r="22" spans="3:11" x14ac:dyDescent="0.2">
      <c r="G22" s="243"/>
      <c r="H22" s="243"/>
      <c r="I22" s="243"/>
      <c r="K22" s="142"/>
    </row>
    <row r="23" spans="3:11" x14ac:dyDescent="0.2">
      <c r="G23" s="243" t="s">
        <v>8157</v>
      </c>
      <c r="H23" s="243"/>
      <c r="I23" s="243"/>
      <c r="K23" s="142"/>
    </row>
    <row r="24" spans="3:11" x14ac:dyDescent="0.2">
      <c r="G24" s="243"/>
      <c r="H24" s="243"/>
      <c r="I24" s="243"/>
      <c r="K24" s="136"/>
    </row>
    <row r="25" spans="3:11" x14ac:dyDescent="0.2">
      <c r="G25" s="243" t="s">
        <v>8158</v>
      </c>
      <c r="H25" s="243"/>
      <c r="I25" s="243"/>
      <c r="K25" s="142"/>
    </row>
    <row r="26" spans="3:11" s="136" customFormat="1" x14ac:dyDescent="0.2">
      <c r="G26" s="243"/>
      <c r="H26" s="243"/>
      <c r="I26" s="243"/>
      <c r="K26" s="142"/>
    </row>
    <row r="27" spans="3:11" s="136" customFormat="1" x14ac:dyDescent="0.2">
      <c r="E27" s="136" t="s">
        <v>165</v>
      </c>
      <c r="K27" s="142"/>
    </row>
    <row r="28" spans="3:11" s="136" customFormat="1" x14ac:dyDescent="0.2"/>
    <row r="29" spans="3:11" s="136" customFormat="1" x14ac:dyDescent="0.2">
      <c r="K29" s="142"/>
    </row>
    <row r="30" spans="3:11" s="136" customFormat="1" x14ac:dyDescent="0.2">
      <c r="K30" s="142"/>
    </row>
    <row r="31" spans="3:11" s="136" customFormat="1" x14ac:dyDescent="0.2">
      <c r="K31" s="142"/>
    </row>
    <row r="32" spans="3:11" s="136" customFormat="1" x14ac:dyDescent="0.2"/>
    <row r="33" spans="2:9" s="136" customFormat="1" x14ac:dyDescent="0.2"/>
    <row r="34" spans="2:9" s="136" customFormat="1" x14ac:dyDescent="0.2"/>
    <row r="35" spans="2:9" s="136" customFormat="1" x14ac:dyDescent="0.2"/>
    <row r="36" spans="2:9" s="143" customFormat="1" x14ac:dyDescent="0.2">
      <c r="C36" s="143">
        <v>1</v>
      </c>
      <c r="F36" s="143">
        <v>0</v>
      </c>
      <c r="I36" s="143" t="b">
        <v>0</v>
      </c>
    </row>
    <row r="37" spans="2:9" s="143" customFormat="1" ht="13.5" customHeight="1" x14ac:dyDescent="0.2">
      <c r="I37" s="143" t="b">
        <v>0</v>
      </c>
    </row>
    <row r="38" spans="2:9" s="143" customFormat="1" x14ac:dyDescent="0.2">
      <c r="I38" s="143" t="b">
        <v>0</v>
      </c>
    </row>
    <row r="39" spans="2:9" s="143" customFormat="1" x14ac:dyDescent="0.2">
      <c r="I39" s="143" t="b">
        <v>1</v>
      </c>
    </row>
    <row r="40" spans="2:9" s="143" customFormat="1" x14ac:dyDescent="0.2">
      <c r="I40" s="144">
        <v>2</v>
      </c>
    </row>
    <row r="41" spans="2:9" s="143" customFormat="1" x14ac:dyDescent="0.2">
      <c r="I41" s="143">
        <v>2</v>
      </c>
    </row>
    <row r="42" spans="2:9" s="143" customFormat="1" x14ac:dyDescent="0.2"/>
    <row r="43" spans="2:9" s="143" customFormat="1" x14ac:dyDescent="0.2"/>
    <row r="44" spans="2:9" s="143" customFormat="1" x14ac:dyDescent="0.2"/>
    <row r="45" spans="2:9" s="143" customFormat="1" x14ac:dyDescent="0.2">
      <c r="B45" s="145">
        <v>0.9</v>
      </c>
      <c r="C45" s="143">
        <v>2</v>
      </c>
      <c r="D45" s="145">
        <v>0.1</v>
      </c>
      <c r="E45" s="143">
        <v>2</v>
      </c>
      <c r="F45" s="143">
        <v>0.25</v>
      </c>
      <c r="G45" s="143">
        <v>2</v>
      </c>
      <c r="H45" s="143">
        <v>0.25</v>
      </c>
      <c r="I45" s="143">
        <v>2</v>
      </c>
    </row>
    <row r="46" spans="2:9" s="143" customFormat="1" x14ac:dyDescent="0.2">
      <c r="B46" s="145">
        <v>0.8</v>
      </c>
      <c r="D46" s="145">
        <v>0.2</v>
      </c>
      <c r="F46" s="143">
        <v>0.5</v>
      </c>
      <c r="H46" s="143">
        <v>0.5</v>
      </c>
    </row>
    <row r="47" spans="2:9" s="146" customFormat="1" x14ac:dyDescent="0.2"/>
    <row r="48" spans="2:9" s="146" customFormat="1" x14ac:dyDescent="0.2"/>
    <row r="49" s="146" customFormat="1" x14ac:dyDescent="0.2"/>
    <row r="50" s="146" customFormat="1" x14ac:dyDescent="0.2"/>
    <row r="51" s="146" customFormat="1" x14ac:dyDescent="0.2"/>
    <row r="52" s="146" customFormat="1" x14ac:dyDescent="0.2"/>
    <row r="53" s="136" customFormat="1" x14ac:dyDescent="0.2"/>
    <row r="54" s="136" customFormat="1" x14ac:dyDescent="0.2"/>
    <row r="55" s="136" customFormat="1" x14ac:dyDescent="0.2"/>
    <row r="56" s="136" customFormat="1" x14ac:dyDescent="0.2"/>
    <row r="57" s="136" customFormat="1" x14ac:dyDescent="0.2"/>
    <row r="58" s="136" customFormat="1" x14ac:dyDescent="0.2"/>
    <row r="59" s="136" customFormat="1" x14ac:dyDescent="0.2"/>
    <row r="60" s="136" customFormat="1" x14ac:dyDescent="0.2"/>
    <row r="61" s="136" customFormat="1" x14ac:dyDescent="0.2"/>
    <row r="62" s="136" customFormat="1" x14ac:dyDescent="0.2"/>
    <row r="63" s="136" customFormat="1" x14ac:dyDescent="0.2"/>
    <row r="64" s="136" customFormat="1" x14ac:dyDescent="0.2"/>
    <row r="65" s="136" customFormat="1" x14ac:dyDescent="0.2"/>
    <row r="66" s="136" customFormat="1" x14ac:dyDescent="0.2"/>
    <row r="67" s="136" customFormat="1" x14ac:dyDescent="0.2"/>
    <row r="68" s="136" customFormat="1" x14ac:dyDescent="0.2"/>
    <row r="69" s="136" customFormat="1" x14ac:dyDescent="0.2"/>
    <row r="70" s="136" customFormat="1" x14ac:dyDescent="0.2"/>
    <row r="71" s="136" customFormat="1" x14ac:dyDescent="0.2"/>
    <row r="72" s="136" customFormat="1" x14ac:dyDescent="0.2"/>
    <row r="73" s="136" customFormat="1" x14ac:dyDescent="0.2"/>
    <row r="74" s="136" customFormat="1" x14ac:dyDescent="0.2"/>
    <row r="75" s="136" customFormat="1" x14ac:dyDescent="0.2"/>
    <row r="76" s="136" customFormat="1" x14ac:dyDescent="0.2"/>
    <row r="77" s="136" customFormat="1" x14ac:dyDescent="0.2"/>
    <row r="78" s="136" customFormat="1" x14ac:dyDescent="0.2"/>
  </sheetData>
  <mergeCells count="5">
    <mergeCell ref="H4:I4"/>
    <mergeCell ref="G18:I19"/>
    <mergeCell ref="G21:I22"/>
    <mergeCell ref="G23:I24"/>
    <mergeCell ref="G25:I26"/>
  </mergeCells>
  <printOptions gridLines="1" gridLinesSet="0"/>
  <pageMargins left="0.75" right="0.75" top="1" bottom="1" header="0.5" footer="0.5"/>
  <pageSetup scale="68" orientation="portrait" horizontalDpi="4294967292" r:id="rId1"/>
  <headerFooter alignWithMargins="0">
    <oddHeader>&amp;A</oddHeader>
    <oddFooter>Page &amp;P</oddFooter>
  </headerFooter>
  <drawing r:id="rId2"/>
  <legacyDrawing r:id="rId3"/>
  <oleObjects>
    <mc:AlternateContent xmlns:mc="http://schemas.openxmlformats.org/markup-compatibility/2006">
      <mc:Choice Requires="x14">
        <oleObject progId="MSPhotoEd.3" shapeId="10256" r:id="rId4">
          <objectPr defaultSize="0" autoPict="0" r:id="rId5">
            <anchor moveWithCells="1">
              <from>
                <xdr:col>0</xdr:col>
                <xdr:colOff>190500</xdr:colOff>
                <xdr:row>0</xdr:row>
                <xdr:rowOff>66675</xdr:rowOff>
              </from>
              <to>
                <xdr:col>3</xdr:col>
                <xdr:colOff>104775</xdr:colOff>
                <xdr:row>3</xdr:row>
                <xdr:rowOff>133350</xdr:rowOff>
              </to>
            </anchor>
          </objectPr>
        </oleObject>
      </mc:Choice>
      <mc:Fallback>
        <oleObject progId="MSPhotoEd.3" shapeId="1025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Line="0" autoPict="0" macro="[0]!Lighting_tool">
                <anchor moveWithCells="1" sizeWithCells="1">
                  <from>
                    <xdr:col>10</xdr:col>
                    <xdr:colOff>581025</xdr:colOff>
                    <xdr:row>10</xdr:row>
                    <xdr:rowOff>85725</xdr:rowOff>
                  </from>
                  <to>
                    <xdr:col>12</xdr:col>
                    <xdr:colOff>314325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7" name="Group Box 2">
              <controlPr defaultSize="0" autoFill="0" autoPict="0">
                <anchor moveWithCells="1">
                  <from>
                    <xdr:col>0</xdr:col>
                    <xdr:colOff>361950</xdr:colOff>
                    <xdr:row>15</xdr:row>
                    <xdr:rowOff>123825</xdr:rowOff>
                  </from>
                  <to>
                    <xdr:col>4</xdr:col>
                    <xdr:colOff>228600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Check Box 3">
              <controlPr defaultSize="0" autoFill="0" autoLine="0" autoPict="0">
                <anchor moveWithCells="1">
                  <from>
                    <xdr:col>1</xdr:col>
                    <xdr:colOff>123825</xdr:colOff>
                    <xdr:row>9</xdr:row>
                    <xdr:rowOff>95250</xdr:rowOff>
                  </from>
                  <to>
                    <xdr:col>3</xdr:col>
                    <xdr:colOff>295275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pre_inspection">
              <controlPr defaultSize="0" autoFill="0" autoLine="0" autoPict="0">
                <anchor moveWithCells="1">
                  <from>
                    <xdr:col>1</xdr:col>
                    <xdr:colOff>123825</xdr:colOff>
                    <xdr:row>11</xdr:row>
                    <xdr:rowOff>38100</xdr:rowOff>
                  </from>
                  <to>
                    <xdr:col>4</xdr:col>
                    <xdr:colOff>161925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Drop Down 5">
              <controlPr defaultSize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3</xdr:col>
                    <xdr:colOff>171450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Label 6">
              <controlPr defaultSize="0" autoFill="0" autoLine="0" autoPict="0">
                <anchor moveWithCells="1" sizeWithCells="1">
                  <from>
                    <xdr:col>1</xdr:col>
                    <xdr:colOff>85725</xdr:colOff>
                    <xdr:row>17</xdr:row>
                    <xdr:rowOff>9525</xdr:rowOff>
                  </from>
                  <to>
                    <xdr:col>2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2" name="Label 7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18</xdr:row>
                    <xdr:rowOff>142875</xdr:rowOff>
                  </from>
                  <to>
                    <xdr:col>2</xdr:col>
                    <xdr:colOff>66675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3" name="Drop Down 8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123825</xdr:rowOff>
                  </from>
                  <to>
                    <xdr:col>3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4" name="Label 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20</xdr:row>
                    <xdr:rowOff>114300</xdr:rowOff>
                  </from>
                  <to>
                    <xdr:col>2</xdr:col>
                    <xdr:colOff>171450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5" name="Drop Down 10">
              <controlPr defaultSize="0" autoLine="0" autoPict="0">
                <anchor moveWithCells="1">
                  <from>
                    <xdr:col>2</xdr:col>
                    <xdr:colOff>276225</xdr:colOff>
                    <xdr:row>20</xdr:row>
                    <xdr:rowOff>85725</xdr:rowOff>
                  </from>
                  <to>
                    <xdr:col>3</xdr:col>
                    <xdr:colOff>161925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6" name="Label 11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22</xdr:row>
                    <xdr:rowOff>76200</xdr:rowOff>
                  </from>
                  <to>
                    <xdr:col>2</xdr:col>
                    <xdr:colOff>171450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7" name="Drop Down 12">
              <controlPr defaultSize="0" autoLine="0" autoPict="0">
                <anchor moveWithCells="1">
                  <from>
                    <xdr:col>2</xdr:col>
                    <xdr:colOff>276225</xdr:colOff>
                    <xdr:row>22</xdr:row>
                    <xdr:rowOff>47625</xdr:rowOff>
                  </from>
                  <to>
                    <xdr:col>3</xdr:col>
                    <xdr:colOff>161925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8" name="Group Box 13">
              <controlPr defaultSize="0" autoFill="0" autoPict="0">
                <anchor moveWithCells="1">
                  <from>
                    <xdr:col>10</xdr:col>
                    <xdr:colOff>57150</xdr:colOff>
                    <xdr:row>8</xdr:row>
                    <xdr:rowOff>57150</xdr:rowOff>
                  </from>
                  <to>
                    <xdr:col>13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9" name="Group Box 14">
              <controlPr defaultSize="0" autoFill="0" autoPict="0">
                <anchor moveWithCells="1">
                  <from>
                    <xdr:col>0</xdr:col>
                    <xdr:colOff>371475</xdr:colOff>
                    <xdr:row>8</xdr:row>
                    <xdr:rowOff>66675</xdr:rowOff>
                  </from>
                  <to>
                    <xdr:col>4</xdr:col>
                    <xdr:colOff>238125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" name="Group Box 15">
              <controlPr defaultSize="0" autoFill="0" autoPict="0">
                <anchor moveWithCells="1">
                  <from>
                    <xdr:col>5</xdr:col>
                    <xdr:colOff>447675</xdr:colOff>
                    <xdr:row>15</xdr:row>
                    <xdr:rowOff>123825</xdr:rowOff>
                  </from>
                  <to>
                    <xdr:col>9</xdr:col>
                    <xdr:colOff>314325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Group Box 17">
              <controlPr defaultSize="0" autoFill="0" autoPict="0" altText=" Step 4: Choose the lighting tool version">
                <anchor moveWithCells="1">
                  <from>
                    <xdr:col>0</xdr:col>
                    <xdr:colOff>361950</xdr:colOff>
                    <xdr:row>26</xdr:row>
                    <xdr:rowOff>114300</xdr:rowOff>
                  </from>
                  <to>
                    <xdr:col>4</xdr:col>
                    <xdr:colOff>219075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Option Button 18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47625</xdr:rowOff>
                  </from>
                  <to>
                    <xdr:col>3</xdr:col>
                    <xdr:colOff>323850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Option Button 19">
              <controlPr defaultSize="0" autoFill="0" autoLine="0" autoPict="0">
                <anchor moveWithCells="1">
                  <from>
                    <xdr:col>0</xdr:col>
                    <xdr:colOff>600075</xdr:colOff>
                    <xdr:row>30</xdr:row>
                    <xdr:rowOff>38100</xdr:rowOff>
                  </from>
                  <to>
                    <xdr:col>4</xdr:col>
                    <xdr:colOff>95250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4" name="Group Box 20">
              <controlPr defaultSize="0" autoFill="0" autoPict="0">
                <anchor moveWithCells="1">
                  <from>
                    <xdr:col>5</xdr:col>
                    <xdr:colOff>419100</xdr:colOff>
                    <xdr:row>8</xdr:row>
                    <xdr:rowOff>38100</xdr:rowOff>
                  </from>
                  <to>
                    <xdr:col>9</xdr:col>
                    <xdr:colOff>295275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5" name="Option Button 21">
              <controlPr defaultSize="0" autoFill="0" autoLine="0" autoPict="0">
                <anchor moveWithCells="1">
                  <from>
                    <xdr:col>6</xdr:col>
                    <xdr:colOff>47625</xdr:colOff>
                    <xdr:row>9</xdr:row>
                    <xdr:rowOff>47625</xdr:rowOff>
                  </from>
                  <to>
                    <xdr:col>9</xdr:col>
                    <xdr:colOff>104775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6" name="Option Button 22">
              <controlPr defaultSize="0" autoFill="0" autoLine="0" autoPict="0">
                <anchor moveWithCells="1">
                  <from>
                    <xdr:col>6</xdr:col>
                    <xdr:colOff>47625</xdr:colOff>
                    <xdr:row>11</xdr:row>
                    <xdr:rowOff>19050</xdr:rowOff>
                  </from>
                  <to>
                    <xdr:col>9</xdr:col>
                    <xdr:colOff>57150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7" name="Option Button 23">
              <controlPr defaultSize="0" autoFill="0" autoLine="0" autoPict="0">
                <anchor moveWithCells="1">
                  <from>
                    <xdr:col>6</xdr:col>
                    <xdr:colOff>57150</xdr:colOff>
                    <xdr:row>12</xdr:row>
                    <xdr:rowOff>142875</xdr:rowOff>
                  </from>
                  <to>
                    <xdr:col>9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4:F20"/>
  <sheetViews>
    <sheetView workbookViewId="0">
      <selection activeCell="I10" sqref="I10"/>
    </sheetView>
  </sheetViews>
  <sheetFormatPr defaultRowHeight="15" x14ac:dyDescent="0.25"/>
  <cols>
    <col min="1" max="1" width="22.28515625" customWidth="1"/>
    <col min="2" max="2" width="13.85546875" customWidth="1"/>
    <col min="3" max="3" width="9.85546875" bestFit="1" customWidth="1"/>
    <col min="5" max="5" width="10.85546875" bestFit="1" customWidth="1"/>
  </cols>
  <sheetData>
    <row r="4" spans="1:6" x14ac:dyDescent="0.25">
      <c r="A4" t="s">
        <v>8217</v>
      </c>
      <c r="B4" t="s">
        <v>8381</v>
      </c>
    </row>
    <row r="5" spans="1:6" x14ac:dyDescent="0.25">
      <c r="A5" t="s">
        <v>8218</v>
      </c>
      <c r="B5" t="s">
        <v>8294</v>
      </c>
    </row>
    <row r="7" spans="1:6" ht="15.75" thickBot="1" x14ac:dyDescent="0.3">
      <c r="A7" t="s">
        <v>8219</v>
      </c>
      <c r="D7" t="s">
        <v>8293</v>
      </c>
    </row>
    <row r="8" spans="1:6" ht="15.75" thickBot="1" x14ac:dyDescent="0.3">
      <c r="A8" s="5" t="s">
        <v>3350</v>
      </c>
      <c r="B8" s="5"/>
      <c r="D8" s="156"/>
    </row>
    <row r="9" spans="1:6" x14ac:dyDescent="0.25">
      <c r="A9" s="5" t="s">
        <v>3351</v>
      </c>
      <c r="B9" s="5"/>
    </row>
    <row r="10" spans="1:6" x14ac:dyDescent="0.25">
      <c r="A10" s="5" t="s">
        <v>3352</v>
      </c>
      <c r="B10" s="148"/>
    </row>
    <row r="11" spans="1:6" x14ac:dyDescent="0.25">
      <c r="A11" s="7"/>
    </row>
    <row r="12" spans="1:6" x14ac:dyDescent="0.25">
      <c r="A12" t="s">
        <v>8220</v>
      </c>
      <c r="C12" t="s">
        <v>8221</v>
      </c>
    </row>
    <row r="13" spans="1:6" x14ac:dyDescent="0.25">
      <c r="A13" s="5" t="s">
        <v>3350</v>
      </c>
      <c r="B13" s="5"/>
      <c r="C13" s="5" t="str">
        <f>IF(AND(B8="",B13=""),"",IF(B8=B13,"match","not match"))</f>
        <v/>
      </c>
      <c r="E13" s="12"/>
      <c r="F13" s="12"/>
    </row>
    <row r="14" spans="1:6" x14ac:dyDescent="0.25">
      <c r="A14" s="5" t="s">
        <v>3351</v>
      </c>
      <c r="B14" s="5"/>
      <c r="C14" s="5" t="str">
        <f t="shared" ref="C14:C15" si="0">IF(AND(B9="",B14=""),"",IF(B9=B14,"match","not match"))</f>
        <v/>
      </c>
      <c r="E14" s="12"/>
      <c r="F14" s="12"/>
    </row>
    <row r="15" spans="1:6" x14ac:dyDescent="0.25">
      <c r="A15" s="5" t="s">
        <v>3352</v>
      </c>
      <c r="B15" s="148"/>
      <c r="C15" s="5" t="str">
        <f t="shared" si="0"/>
        <v/>
      </c>
      <c r="E15" s="157"/>
      <c r="F15" s="12"/>
    </row>
    <row r="17" spans="1:2" x14ac:dyDescent="0.25">
      <c r="A17" t="s">
        <v>8291</v>
      </c>
      <c r="B17" t="s">
        <v>8292</v>
      </c>
    </row>
    <row r="18" spans="1:2" x14ac:dyDescent="0.25">
      <c r="A18" t="s">
        <v>8295</v>
      </c>
      <c r="B18" t="s">
        <v>8294</v>
      </c>
    </row>
    <row r="19" spans="1:2" x14ac:dyDescent="0.25">
      <c r="A19" t="s">
        <v>8296</v>
      </c>
      <c r="B19" t="s">
        <v>8297</v>
      </c>
    </row>
    <row r="20" spans="1:2" x14ac:dyDescent="0.25">
      <c r="A20" t="s">
        <v>8290</v>
      </c>
      <c r="B20" t="s">
        <v>8230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onvertLightingWorkbook">
                <anchor mov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0</xdr:col>
                    <xdr:colOff>1009650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resetworkbooks">
                <anchor moveWithCells="1" sizeWithCells="1">
                  <from>
                    <xdr:col>1</xdr:col>
                    <xdr:colOff>95250</xdr:colOff>
                    <xdr:row>0</xdr:row>
                    <xdr:rowOff>142875</xdr:rowOff>
                  </from>
                  <to>
                    <xdr:col>1</xdr:col>
                    <xdr:colOff>876300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M84"/>
  <sheetViews>
    <sheetView showGridLines="0" view="pageBreakPreview" zoomScale="70" zoomScaleNormal="80" zoomScaleSheetLayoutView="70" workbookViewId="0">
      <selection activeCell="E5" sqref="E5"/>
    </sheetView>
  </sheetViews>
  <sheetFormatPr defaultRowHeight="15" x14ac:dyDescent="0.25"/>
  <cols>
    <col min="1" max="1" width="13.7109375" style="81" customWidth="1"/>
    <col min="2" max="2" width="16.710937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6.85546875" style="81" customWidth="1"/>
    <col min="10" max="10" width="16.28515625" style="81" customWidth="1"/>
    <col min="11" max="11" width="15.7109375" style="81" customWidth="1"/>
    <col min="12" max="12" width="14.42578125" style="81" customWidth="1"/>
    <col min="13" max="13" width="19.140625" style="81" bestFit="1" customWidth="1"/>
    <col min="14" max="252" width="9.140625" style="81"/>
    <col min="253" max="253" width="13.7109375" style="81" customWidth="1"/>
    <col min="254" max="254" width="16.7109375" style="81" customWidth="1"/>
    <col min="255" max="255" width="18.85546875" style="81" bestFit="1" customWidth="1"/>
    <col min="256" max="256" width="7" style="81" bestFit="1" customWidth="1"/>
    <col min="257" max="257" width="22.42578125" style="81" bestFit="1" customWidth="1"/>
    <col min="258" max="258" width="21.140625" style="81" bestFit="1" customWidth="1"/>
    <col min="259" max="259" width="30.28515625" style="81" bestFit="1" customWidth="1"/>
    <col min="260" max="260" width="27.42578125" style="81" bestFit="1" customWidth="1"/>
    <col min="261" max="261" width="18.42578125" style="81" customWidth="1"/>
    <col min="262" max="262" width="18.28515625" style="81" customWidth="1"/>
    <col min="263" max="263" width="26.28515625" style="81" bestFit="1" customWidth="1"/>
    <col min="264" max="264" width="13" style="81" bestFit="1" customWidth="1"/>
    <col min="265" max="265" width="13.28515625" style="81" bestFit="1" customWidth="1"/>
    <col min="266" max="266" width="12.85546875" style="81" bestFit="1" customWidth="1"/>
    <col min="267" max="267" width="20" style="81" bestFit="1" customWidth="1"/>
    <col min="268" max="268" width="16.85546875" style="81" bestFit="1" customWidth="1"/>
    <col min="269" max="269" width="19.140625" style="81" bestFit="1" customWidth="1"/>
    <col min="270" max="508" width="9.140625" style="81"/>
    <col min="509" max="509" width="13.7109375" style="81" customWidth="1"/>
    <col min="510" max="510" width="16.7109375" style="81" customWidth="1"/>
    <col min="511" max="511" width="18.85546875" style="81" bestFit="1" customWidth="1"/>
    <col min="512" max="512" width="7" style="81" bestFit="1" customWidth="1"/>
    <col min="513" max="513" width="22.42578125" style="81" bestFit="1" customWidth="1"/>
    <col min="514" max="514" width="21.140625" style="81" bestFit="1" customWidth="1"/>
    <col min="515" max="515" width="30.28515625" style="81" bestFit="1" customWidth="1"/>
    <col min="516" max="516" width="27.42578125" style="81" bestFit="1" customWidth="1"/>
    <col min="517" max="517" width="18.42578125" style="81" customWidth="1"/>
    <col min="518" max="518" width="18.28515625" style="81" customWidth="1"/>
    <col min="519" max="519" width="26.28515625" style="81" bestFit="1" customWidth="1"/>
    <col min="520" max="520" width="13" style="81" bestFit="1" customWidth="1"/>
    <col min="521" max="521" width="13.28515625" style="81" bestFit="1" customWidth="1"/>
    <col min="522" max="522" width="12.85546875" style="81" bestFit="1" customWidth="1"/>
    <col min="523" max="523" width="20" style="81" bestFit="1" customWidth="1"/>
    <col min="524" max="524" width="16.85546875" style="81" bestFit="1" customWidth="1"/>
    <col min="525" max="525" width="19.140625" style="81" bestFit="1" customWidth="1"/>
    <col min="526" max="764" width="9.140625" style="81"/>
    <col min="765" max="765" width="13.7109375" style="81" customWidth="1"/>
    <col min="766" max="766" width="16.7109375" style="81" customWidth="1"/>
    <col min="767" max="767" width="18.85546875" style="81" bestFit="1" customWidth="1"/>
    <col min="768" max="768" width="7" style="81" bestFit="1" customWidth="1"/>
    <col min="769" max="769" width="22.42578125" style="81" bestFit="1" customWidth="1"/>
    <col min="770" max="770" width="21.140625" style="81" bestFit="1" customWidth="1"/>
    <col min="771" max="771" width="30.28515625" style="81" bestFit="1" customWidth="1"/>
    <col min="772" max="772" width="27.42578125" style="81" bestFit="1" customWidth="1"/>
    <col min="773" max="773" width="18.42578125" style="81" customWidth="1"/>
    <col min="774" max="774" width="18.28515625" style="81" customWidth="1"/>
    <col min="775" max="775" width="26.28515625" style="81" bestFit="1" customWidth="1"/>
    <col min="776" max="776" width="13" style="81" bestFit="1" customWidth="1"/>
    <col min="777" max="777" width="13.28515625" style="81" bestFit="1" customWidth="1"/>
    <col min="778" max="778" width="12.85546875" style="81" bestFit="1" customWidth="1"/>
    <col min="779" max="779" width="20" style="81" bestFit="1" customWidth="1"/>
    <col min="780" max="780" width="16.85546875" style="81" bestFit="1" customWidth="1"/>
    <col min="781" max="781" width="19.140625" style="81" bestFit="1" customWidth="1"/>
    <col min="782" max="1020" width="9.140625" style="81"/>
    <col min="1021" max="1021" width="13.7109375" style="81" customWidth="1"/>
    <col min="1022" max="1022" width="16.7109375" style="81" customWidth="1"/>
    <col min="1023" max="1023" width="18.85546875" style="81" bestFit="1" customWidth="1"/>
    <col min="1024" max="1024" width="7" style="81" bestFit="1" customWidth="1"/>
    <col min="1025" max="1025" width="22.42578125" style="81" bestFit="1" customWidth="1"/>
    <col min="1026" max="1026" width="21.140625" style="81" bestFit="1" customWidth="1"/>
    <col min="1027" max="1027" width="30.28515625" style="81" bestFit="1" customWidth="1"/>
    <col min="1028" max="1028" width="27.42578125" style="81" bestFit="1" customWidth="1"/>
    <col min="1029" max="1029" width="18.42578125" style="81" customWidth="1"/>
    <col min="1030" max="1030" width="18.28515625" style="81" customWidth="1"/>
    <col min="1031" max="1031" width="26.28515625" style="81" bestFit="1" customWidth="1"/>
    <col min="1032" max="1032" width="13" style="81" bestFit="1" customWidth="1"/>
    <col min="1033" max="1033" width="13.28515625" style="81" bestFit="1" customWidth="1"/>
    <col min="1034" max="1034" width="12.85546875" style="81" bestFit="1" customWidth="1"/>
    <col min="1035" max="1035" width="20" style="81" bestFit="1" customWidth="1"/>
    <col min="1036" max="1036" width="16.85546875" style="81" bestFit="1" customWidth="1"/>
    <col min="1037" max="1037" width="19.140625" style="81" bestFit="1" customWidth="1"/>
    <col min="1038" max="1276" width="9.140625" style="81"/>
    <col min="1277" max="1277" width="13.7109375" style="81" customWidth="1"/>
    <col min="1278" max="1278" width="16.7109375" style="81" customWidth="1"/>
    <col min="1279" max="1279" width="18.85546875" style="81" bestFit="1" customWidth="1"/>
    <col min="1280" max="1280" width="7" style="81" bestFit="1" customWidth="1"/>
    <col min="1281" max="1281" width="22.42578125" style="81" bestFit="1" customWidth="1"/>
    <col min="1282" max="1282" width="21.140625" style="81" bestFit="1" customWidth="1"/>
    <col min="1283" max="1283" width="30.28515625" style="81" bestFit="1" customWidth="1"/>
    <col min="1284" max="1284" width="27.42578125" style="81" bestFit="1" customWidth="1"/>
    <col min="1285" max="1285" width="18.42578125" style="81" customWidth="1"/>
    <col min="1286" max="1286" width="18.28515625" style="81" customWidth="1"/>
    <col min="1287" max="1287" width="26.28515625" style="81" bestFit="1" customWidth="1"/>
    <col min="1288" max="1288" width="13" style="81" bestFit="1" customWidth="1"/>
    <col min="1289" max="1289" width="13.28515625" style="81" bestFit="1" customWidth="1"/>
    <col min="1290" max="1290" width="12.85546875" style="81" bestFit="1" customWidth="1"/>
    <col min="1291" max="1291" width="20" style="81" bestFit="1" customWidth="1"/>
    <col min="1292" max="1292" width="16.85546875" style="81" bestFit="1" customWidth="1"/>
    <col min="1293" max="1293" width="19.140625" style="81" bestFit="1" customWidth="1"/>
    <col min="1294" max="1532" width="9.140625" style="81"/>
    <col min="1533" max="1533" width="13.7109375" style="81" customWidth="1"/>
    <col min="1534" max="1534" width="16.7109375" style="81" customWidth="1"/>
    <col min="1535" max="1535" width="18.85546875" style="81" bestFit="1" customWidth="1"/>
    <col min="1536" max="1536" width="7" style="81" bestFit="1" customWidth="1"/>
    <col min="1537" max="1537" width="22.42578125" style="81" bestFit="1" customWidth="1"/>
    <col min="1538" max="1538" width="21.140625" style="81" bestFit="1" customWidth="1"/>
    <col min="1539" max="1539" width="30.28515625" style="81" bestFit="1" customWidth="1"/>
    <col min="1540" max="1540" width="27.42578125" style="81" bestFit="1" customWidth="1"/>
    <col min="1541" max="1541" width="18.42578125" style="81" customWidth="1"/>
    <col min="1542" max="1542" width="18.28515625" style="81" customWidth="1"/>
    <col min="1543" max="1543" width="26.28515625" style="81" bestFit="1" customWidth="1"/>
    <col min="1544" max="1544" width="13" style="81" bestFit="1" customWidth="1"/>
    <col min="1545" max="1545" width="13.28515625" style="81" bestFit="1" customWidth="1"/>
    <col min="1546" max="1546" width="12.85546875" style="81" bestFit="1" customWidth="1"/>
    <col min="1547" max="1547" width="20" style="81" bestFit="1" customWidth="1"/>
    <col min="1548" max="1548" width="16.85546875" style="81" bestFit="1" customWidth="1"/>
    <col min="1549" max="1549" width="19.140625" style="81" bestFit="1" customWidth="1"/>
    <col min="1550" max="1788" width="9.140625" style="81"/>
    <col min="1789" max="1789" width="13.7109375" style="81" customWidth="1"/>
    <col min="1790" max="1790" width="16.7109375" style="81" customWidth="1"/>
    <col min="1791" max="1791" width="18.85546875" style="81" bestFit="1" customWidth="1"/>
    <col min="1792" max="1792" width="7" style="81" bestFit="1" customWidth="1"/>
    <col min="1793" max="1793" width="22.42578125" style="81" bestFit="1" customWidth="1"/>
    <col min="1794" max="1794" width="21.140625" style="81" bestFit="1" customWidth="1"/>
    <col min="1795" max="1795" width="30.28515625" style="81" bestFit="1" customWidth="1"/>
    <col min="1796" max="1796" width="27.42578125" style="81" bestFit="1" customWidth="1"/>
    <col min="1797" max="1797" width="18.42578125" style="81" customWidth="1"/>
    <col min="1798" max="1798" width="18.28515625" style="81" customWidth="1"/>
    <col min="1799" max="1799" width="26.28515625" style="81" bestFit="1" customWidth="1"/>
    <col min="1800" max="1800" width="13" style="81" bestFit="1" customWidth="1"/>
    <col min="1801" max="1801" width="13.28515625" style="81" bestFit="1" customWidth="1"/>
    <col min="1802" max="1802" width="12.85546875" style="81" bestFit="1" customWidth="1"/>
    <col min="1803" max="1803" width="20" style="81" bestFit="1" customWidth="1"/>
    <col min="1804" max="1804" width="16.85546875" style="81" bestFit="1" customWidth="1"/>
    <col min="1805" max="1805" width="19.140625" style="81" bestFit="1" customWidth="1"/>
    <col min="1806" max="2044" width="9.140625" style="81"/>
    <col min="2045" max="2045" width="13.7109375" style="81" customWidth="1"/>
    <col min="2046" max="2046" width="16.7109375" style="81" customWidth="1"/>
    <col min="2047" max="2047" width="18.85546875" style="81" bestFit="1" customWidth="1"/>
    <col min="2048" max="2048" width="7" style="81" bestFit="1" customWidth="1"/>
    <col min="2049" max="2049" width="22.42578125" style="81" bestFit="1" customWidth="1"/>
    <col min="2050" max="2050" width="21.140625" style="81" bestFit="1" customWidth="1"/>
    <col min="2051" max="2051" width="30.28515625" style="81" bestFit="1" customWidth="1"/>
    <col min="2052" max="2052" width="27.42578125" style="81" bestFit="1" customWidth="1"/>
    <col min="2053" max="2053" width="18.42578125" style="81" customWidth="1"/>
    <col min="2054" max="2054" width="18.28515625" style="81" customWidth="1"/>
    <col min="2055" max="2055" width="26.28515625" style="81" bestFit="1" customWidth="1"/>
    <col min="2056" max="2056" width="13" style="81" bestFit="1" customWidth="1"/>
    <col min="2057" max="2057" width="13.28515625" style="81" bestFit="1" customWidth="1"/>
    <col min="2058" max="2058" width="12.85546875" style="81" bestFit="1" customWidth="1"/>
    <col min="2059" max="2059" width="20" style="81" bestFit="1" customWidth="1"/>
    <col min="2060" max="2060" width="16.85546875" style="81" bestFit="1" customWidth="1"/>
    <col min="2061" max="2061" width="19.140625" style="81" bestFit="1" customWidth="1"/>
    <col min="2062" max="2300" width="9.140625" style="81"/>
    <col min="2301" max="2301" width="13.7109375" style="81" customWidth="1"/>
    <col min="2302" max="2302" width="16.7109375" style="81" customWidth="1"/>
    <col min="2303" max="2303" width="18.85546875" style="81" bestFit="1" customWidth="1"/>
    <col min="2304" max="2304" width="7" style="81" bestFit="1" customWidth="1"/>
    <col min="2305" max="2305" width="22.42578125" style="81" bestFit="1" customWidth="1"/>
    <col min="2306" max="2306" width="21.140625" style="81" bestFit="1" customWidth="1"/>
    <col min="2307" max="2307" width="30.28515625" style="81" bestFit="1" customWidth="1"/>
    <col min="2308" max="2308" width="27.42578125" style="81" bestFit="1" customWidth="1"/>
    <col min="2309" max="2309" width="18.42578125" style="81" customWidth="1"/>
    <col min="2310" max="2310" width="18.28515625" style="81" customWidth="1"/>
    <col min="2311" max="2311" width="26.28515625" style="81" bestFit="1" customWidth="1"/>
    <col min="2312" max="2312" width="13" style="81" bestFit="1" customWidth="1"/>
    <col min="2313" max="2313" width="13.28515625" style="81" bestFit="1" customWidth="1"/>
    <col min="2314" max="2314" width="12.85546875" style="81" bestFit="1" customWidth="1"/>
    <col min="2315" max="2315" width="20" style="81" bestFit="1" customWidth="1"/>
    <col min="2316" max="2316" width="16.85546875" style="81" bestFit="1" customWidth="1"/>
    <col min="2317" max="2317" width="19.140625" style="81" bestFit="1" customWidth="1"/>
    <col min="2318" max="2556" width="9.140625" style="81"/>
    <col min="2557" max="2557" width="13.7109375" style="81" customWidth="1"/>
    <col min="2558" max="2558" width="16.7109375" style="81" customWidth="1"/>
    <col min="2559" max="2559" width="18.85546875" style="81" bestFit="1" customWidth="1"/>
    <col min="2560" max="2560" width="7" style="81" bestFit="1" customWidth="1"/>
    <col min="2561" max="2561" width="22.42578125" style="81" bestFit="1" customWidth="1"/>
    <col min="2562" max="2562" width="21.140625" style="81" bestFit="1" customWidth="1"/>
    <col min="2563" max="2563" width="30.28515625" style="81" bestFit="1" customWidth="1"/>
    <col min="2564" max="2564" width="27.42578125" style="81" bestFit="1" customWidth="1"/>
    <col min="2565" max="2565" width="18.42578125" style="81" customWidth="1"/>
    <col min="2566" max="2566" width="18.28515625" style="81" customWidth="1"/>
    <col min="2567" max="2567" width="26.28515625" style="81" bestFit="1" customWidth="1"/>
    <col min="2568" max="2568" width="13" style="81" bestFit="1" customWidth="1"/>
    <col min="2569" max="2569" width="13.28515625" style="81" bestFit="1" customWidth="1"/>
    <col min="2570" max="2570" width="12.85546875" style="81" bestFit="1" customWidth="1"/>
    <col min="2571" max="2571" width="20" style="81" bestFit="1" customWidth="1"/>
    <col min="2572" max="2572" width="16.85546875" style="81" bestFit="1" customWidth="1"/>
    <col min="2573" max="2573" width="19.140625" style="81" bestFit="1" customWidth="1"/>
    <col min="2574" max="2812" width="9.140625" style="81"/>
    <col min="2813" max="2813" width="13.7109375" style="81" customWidth="1"/>
    <col min="2814" max="2814" width="16.7109375" style="81" customWidth="1"/>
    <col min="2815" max="2815" width="18.85546875" style="81" bestFit="1" customWidth="1"/>
    <col min="2816" max="2816" width="7" style="81" bestFit="1" customWidth="1"/>
    <col min="2817" max="2817" width="22.42578125" style="81" bestFit="1" customWidth="1"/>
    <col min="2818" max="2818" width="21.140625" style="81" bestFit="1" customWidth="1"/>
    <col min="2819" max="2819" width="30.28515625" style="81" bestFit="1" customWidth="1"/>
    <col min="2820" max="2820" width="27.42578125" style="81" bestFit="1" customWidth="1"/>
    <col min="2821" max="2821" width="18.42578125" style="81" customWidth="1"/>
    <col min="2822" max="2822" width="18.28515625" style="81" customWidth="1"/>
    <col min="2823" max="2823" width="26.28515625" style="81" bestFit="1" customWidth="1"/>
    <col min="2824" max="2824" width="13" style="81" bestFit="1" customWidth="1"/>
    <col min="2825" max="2825" width="13.28515625" style="81" bestFit="1" customWidth="1"/>
    <col min="2826" max="2826" width="12.85546875" style="81" bestFit="1" customWidth="1"/>
    <col min="2827" max="2827" width="20" style="81" bestFit="1" customWidth="1"/>
    <col min="2828" max="2828" width="16.85546875" style="81" bestFit="1" customWidth="1"/>
    <col min="2829" max="2829" width="19.140625" style="81" bestFit="1" customWidth="1"/>
    <col min="2830" max="3068" width="9.140625" style="81"/>
    <col min="3069" max="3069" width="13.7109375" style="81" customWidth="1"/>
    <col min="3070" max="3070" width="16.7109375" style="81" customWidth="1"/>
    <col min="3071" max="3071" width="18.85546875" style="81" bestFit="1" customWidth="1"/>
    <col min="3072" max="3072" width="7" style="81" bestFit="1" customWidth="1"/>
    <col min="3073" max="3073" width="22.42578125" style="81" bestFit="1" customWidth="1"/>
    <col min="3074" max="3074" width="21.140625" style="81" bestFit="1" customWidth="1"/>
    <col min="3075" max="3075" width="30.28515625" style="81" bestFit="1" customWidth="1"/>
    <col min="3076" max="3076" width="27.42578125" style="81" bestFit="1" customWidth="1"/>
    <col min="3077" max="3077" width="18.42578125" style="81" customWidth="1"/>
    <col min="3078" max="3078" width="18.28515625" style="81" customWidth="1"/>
    <col min="3079" max="3079" width="26.28515625" style="81" bestFit="1" customWidth="1"/>
    <col min="3080" max="3080" width="13" style="81" bestFit="1" customWidth="1"/>
    <col min="3081" max="3081" width="13.28515625" style="81" bestFit="1" customWidth="1"/>
    <col min="3082" max="3082" width="12.85546875" style="81" bestFit="1" customWidth="1"/>
    <col min="3083" max="3083" width="20" style="81" bestFit="1" customWidth="1"/>
    <col min="3084" max="3084" width="16.85546875" style="81" bestFit="1" customWidth="1"/>
    <col min="3085" max="3085" width="19.140625" style="81" bestFit="1" customWidth="1"/>
    <col min="3086" max="3324" width="9.140625" style="81"/>
    <col min="3325" max="3325" width="13.7109375" style="81" customWidth="1"/>
    <col min="3326" max="3326" width="16.7109375" style="81" customWidth="1"/>
    <col min="3327" max="3327" width="18.85546875" style="81" bestFit="1" customWidth="1"/>
    <col min="3328" max="3328" width="7" style="81" bestFit="1" customWidth="1"/>
    <col min="3329" max="3329" width="22.42578125" style="81" bestFit="1" customWidth="1"/>
    <col min="3330" max="3330" width="21.140625" style="81" bestFit="1" customWidth="1"/>
    <col min="3331" max="3331" width="30.28515625" style="81" bestFit="1" customWidth="1"/>
    <col min="3332" max="3332" width="27.42578125" style="81" bestFit="1" customWidth="1"/>
    <col min="3333" max="3333" width="18.42578125" style="81" customWidth="1"/>
    <col min="3334" max="3334" width="18.28515625" style="81" customWidth="1"/>
    <col min="3335" max="3335" width="26.28515625" style="81" bestFit="1" customWidth="1"/>
    <col min="3336" max="3336" width="13" style="81" bestFit="1" customWidth="1"/>
    <col min="3337" max="3337" width="13.28515625" style="81" bestFit="1" customWidth="1"/>
    <col min="3338" max="3338" width="12.85546875" style="81" bestFit="1" customWidth="1"/>
    <col min="3339" max="3339" width="20" style="81" bestFit="1" customWidth="1"/>
    <col min="3340" max="3340" width="16.85546875" style="81" bestFit="1" customWidth="1"/>
    <col min="3341" max="3341" width="19.140625" style="81" bestFit="1" customWidth="1"/>
    <col min="3342" max="3580" width="9.140625" style="81"/>
    <col min="3581" max="3581" width="13.7109375" style="81" customWidth="1"/>
    <col min="3582" max="3582" width="16.7109375" style="81" customWidth="1"/>
    <col min="3583" max="3583" width="18.85546875" style="81" bestFit="1" customWidth="1"/>
    <col min="3584" max="3584" width="7" style="81" bestFit="1" customWidth="1"/>
    <col min="3585" max="3585" width="22.42578125" style="81" bestFit="1" customWidth="1"/>
    <col min="3586" max="3586" width="21.140625" style="81" bestFit="1" customWidth="1"/>
    <col min="3587" max="3587" width="30.28515625" style="81" bestFit="1" customWidth="1"/>
    <col min="3588" max="3588" width="27.42578125" style="81" bestFit="1" customWidth="1"/>
    <col min="3589" max="3589" width="18.42578125" style="81" customWidth="1"/>
    <col min="3590" max="3590" width="18.28515625" style="81" customWidth="1"/>
    <col min="3591" max="3591" width="26.28515625" style="81" bestFit="1" customWidth="1"/>
    <col min="3592" max="3592" width="13" style="81" bestFit="1" customWidth="1"/>
    <col min="3593" max="3593" width="13.28515625" style="81" bestFit="1" customWidth="1"/>
    <col min="3594" max="3594" width="12.85546875" style="81" bestFit="1" customWidth="1"/>
    <col min="3595" max="3595" width="20" style="81" bestFit="1" customWidth="1"/>
    <col min="3596" max="3596" width="16.85546875" style="81" bestFit="1" customWidth="1"/>
    <col min="3597" max="3597" width="19.140625" style="81" bestFit="1" customWidth="1"/>
    <col min="3598" max="3836" width="9.140625" style="81"/>
    <col min="3837" max="3837" width="13.7109375" style="81" customWidth="1"/>
    <col min="3838" max="3838" width="16.7109375" style="81" customWidth="1"/>
    <col min="3839" max="3839" width="18.85546875" style="81" bestFit="1" customWidth="1"/>
    <col min="3840" max="3840" width="7" style="81" bestFit="1" customWidth="1"/>
    <col min="3841" max="3841" width="22.42578125" style="81" bestFit="1" customWidth="1"/>
    <col min="3842" max="3842" width="21.140625" style="81" bestFit="1" customWidth="1"/>
    <col min="3843" max="3843" width="30.28515625" style="81" bestFit="1" customWidth="1"/>
    <col min="3844" max="3844" width="27.42578125" style="81" bestFit="1" customWidth="1"/>
    <col min="3845" max="3845" width="18.42578125" style="81" customWidth="1"/>
    <col min="3846" max="3846" width="18.28515625" style="81" customWidth="1"/>
    <col min="3847" max="3847" width="26.28515625" style="81" bestFit="1" customWidth="1"/>
    <col min="3848" max="3848" width="13" style="81" bestFit="1" customWidth="1"/>
    <col min="3849" max="3849" width="13.28515625" style="81" bestFit="1" customWidth="1"/>
    <col min="3850" max="3850" width="12.85546875" style="81" bestFit="1" customWidth="1"/>
    <col min="3851" max="3851" width="20" style="81" bestFit="1" customWidth="1"/>
    <col min="3852" max="3852" width="16.85546875" style="81" bestFit="1" customWidth="1"/>
    <col min="3853" max="3853" width="19.140625" style="81" bestFit="1" customWidth="1"/>
    <col min="3854" max="4092" width="9.140625" style="81"/>
    <col min="4093" max="4093" width="13.7109375" style="81" customWidth="1"/>
    <col min="4094" max="4094" width="16.7109375" style="81" customWidth="1"/>
    <col min="4095" max="4095" width="18.85546875" style="81" bestFit="1" customWidth="1"/>
    <col min="4096" max="4096" width="7" style="81" bestFit="1" customWidth="1"/>
    <col min="4097" max="4097" width="22.42578125" style="81" bestFit="1" customWidth="1"/>
    <col min="4098" max="4098" width="21.140625" style="81" bestFit="1" customWidth="1"/>
    <col min="4099" max="4099" width="30.28515625" style="81" bestFit="1" customWidth="1"/>
    <col min="4100" max="4100" width="27.42578125" style="81" bestFit="1" customWidth="1"/>
    <col min="4101" max="4101" width="18.42578125" style="81" customWidth="1"/>
    <col min="4102" max="4102" width="18.28515625" style="81" customWidth="1"/>
    <col min="4103" max="4103" width="26.28515625" style="81" bestFit="1" customWidth="1"/>
    <col min="4104" max="4104" width="13" style="81" bestFit="1" customWidth="1"/>
    <col min="4105" max="4105" width="13.28515625" style="81" bestFit="1" customWidth="1"/>
    <col min="4106" max="4106" width="12.85546875" style="81" bestFit="1" customWidth="1"/>
    <col min="4107" max="4107" width="20" style="81" bestFit="1" customWidth="1"/>
    <col min="4108" max="4108" width="16.85546875" style="81" bestFit="1" customWidth="1"/>
    <col min="4109" max="4109" width="19.140625" style="81" bestFit="1" customWidth="1"/>
    <col min="4110" max="4348" width="9.140625" style="81"/>
    <col min="4349" max="4349" width="13.7109375" style="81" customWidth="1"/>
    <col min="4350" max="4350" width="16.7109375" style="81" customWidth="1"/>
    <col min="4351" max="4351" width="18.85546875" style="81" bestFit="1" customWidth="1"/>
    <col min="4352" max="4352" width="7" style="81" bestFit="1" customWidth="1"/>
    <col min="4353" max="4353" width="22.42578125" style="81" bestFit="1" customWidth="1"/>
    <col min="4354" max="4354" width="21.140625" style="81" bestFit="1" customWidth="1"/>
    <col min="4355" max="4355" width="30.28515625" style="81" bestFit="1" customWidth="1"/>
    <col min="4356" max="4356" width="27.42578125" style="81" bestFit="1" customWidth="1"/>
    <col min="4357" max="4357" width="18.42578125" style="81" customWidth="1"/>
    <col min="4358" max="4358" width="18.28515625" style="81" customWidth="1"/>
    <col min="4359" max="4359" width="26.28515625" style="81" bestFit="1" customWidth="1"/>
    <col min="4360" max="4360" width="13" style="81" bestFit="1" customWidth="1"/>
    <col min="4361" max="4361" width="13.28515625" style="81" bestFit="1" customWidth="1"/>
    <col min="4362" max="4362" width="12.85546875" style="81" bestFit="1" customWidth="1"/>
    <col min="4363" max="4363" width="20" style="81" bestFit="1" customWidth="1"/>
    <col min="4364" max="4364" width="16.85546875" style="81" bestFit="1" customWidth="1"/>
    <col min="4365" max="4365" width="19.140625" style="81" bestFit="1" customWidth="1"/>
    <col min="4366" max="4604" width="9.140625" style="81"/>
    <col min="4605" max="4605" width="13.7109375" style="81" customWidth="1"/>
    <col min="4606" max="4606" width="16.7109375" style="81" customWidth="1"/>
    <col min="4607" max="4607" width="18.85546875" style="81" bestFit="1" customWidth="1"/>
    <col min="4608" max="4608" width="7" style="81" bestFit="1" customWidth="1"/>
    <col min="4609" max="4609" width="22.42578125" style="81" bestFit="1" customWidth="1"/>
    <col min="4610" max="4610" width="21.140625" style="81" bestFit="1" customWidth="1"/>
    <col min="4611" max="4611" width="30.28515625" style="81" bestFit="1" customWidth="1"/>
    <col min="4612" max="4612" width="27.42578125" style="81" bestFit="1" customWidth="1"/>
    <col min="4613" max="4613" width="18.42578125" style="81" customWidth="1"/>
    <col min="4614" max="4614" width="18.28515625" style="81" customWidth="1"/>
    <col min="4615" max="4615" width="26.28515625" style="81" bestFit="1" customWidth="1"/>
    <col min="4616" max="4616" width="13" style="81" bestFit="1" customWidth="1"/>
    <col min="4617" max="4617" width="13.28515625" style="81" bestFit="1" customWidth="1"/>
    <col min="4618" max="4618" width="12.85546875" style="81" bestFit="1" customWidth="1"/>
    <col min="4619" max="4619" width="20" style="81" bestFit="1" customWidth="1"/>
    <col min="4620" max="4620" width="16.85546875" style="81" bestFit="1" customWidth="1"/>
    <col min="4621" max="4621" width="19.140625" style="81" bestFit="1" customWidth="1"/>
    <col min="4622" max="4860" width="9.140625" style="81"/>
    <col min="4861" max="4861" width="13.7109375" style="81" customWidth="1"/>
    <col min="4862" max="4862" width="16.7109375" style="81" customWidth="1"/>
    <col min="4863" max="4863" width="18.85546875" style="81" bestFit="1" customWidth="1"/>
    <col min="4864" max="4864" width="7" style="81" bestFit="1" customWidth="1"/>
    <col min="4865" max="4865" width="22.42578125" style="81" bestFit="1" customWidth="1"/>
    <col min="4866" max="4866" width="21.140625" style="81" bestFit="1" customWidth="1"/>
    <col min="4867" max="4867" width="30.28515625" style="81" bestFit="1" customWidth="1"/>
    <col min="4868" max="4868" width="27.42578125" style="81" bestFit="1" customWidth="1"/>
    <col min="4869" max="4869" width="18.42578125" style="81" customWidth="1"/>
    <col min="4870" max="4870" width="18.28515625" style="81" customWidth="1"/>
    <col min="4871" max="4871" width="26.28515625" style="81" bestFit="1" customWidth="1"/>
    <col min="4872" max="4872" width="13" style="81" bestFit="1" customWidth="1"/>
    <col min="4873" max="4873" width="13.28515625" style="81" bestFit="1" customWidth="1"/>
    <col min="4874" max="4874" width="12.85546875" style="81" bestFit="1" customWidth="1"/>
    <col min="4875" max="4875" width="20" style="81" bestFit="1" customWidth="1"/>
    <col min="4876" max="4876" width="16.85546875" style="81" bestFit="1" customWidth="1"/>
    <col min="4877" max="4877" width="19.140625" style="81" bestFit="1" customWidth="1"/>
    <col min="4878" max="5116" width="9.140625" style="81"/>
    <col min="5117" max="5117" width="13.7109375" style="81" customWidth="1"/>
    <col min="5118" max="5118" width="16.7109375" style="81" customWidth="1"/>
    <col min="5119" max="5119" width="18.85546875" style="81" bestFit="1" customWidth="1"/>
    <col min="5120" max="5120" width="7" style="81" bestFit="1" customWidth="1"/>
    <col min="5121" max="5121" width="22.42578125" style="81" bestFit="1" customWidth="1"/>
    <col min="5122" max="5122" width="21.140625" style="81" bestFit="1" customWidth="1"/>
    <col min="5123" max="5123" width="30.28515625" style="81" bestFit="1" customWidth="1"/>
    <col min="5124" max="5124" width="27.42578125" style="81" bestFit="1" customWidth="1"/>
    <col min="5125" max="5125" width="18.42578125" style="81" customWidth="1"/>
    <col min="5126" max="5126" width="18.28515625" style="81" customWidth="1"/>
    <col min="5127" max="5127" width="26.28515625" style="81" bestFit="1" customWidth="1"/>
    <col min="5128" max="5128" width="13" style="81" bestFit="1" customWidth="1"/>
    <col min="5129" max="5129" width="13.28515625" style="81" bestFit="1" customWidth="1"/>
    <col min="5130" max="5130" width="12.85546875" style="81" bestFit="1" customWidth="1"/>
    <col min="5131" max="5131" width="20" style="81" bestFit="1" customWidth="1"/>
    <col min="5132" max="5132" width="16.85546875" style="81" bestFit="1" customWidth="1"/>
    <col min="5133" max="5133" width="19.140625" style="81" bestFit="1" customWidth="1"/>
    <col min="5134" max="5372" width="9.140625" style="81"/>
    <col min="5373" max="5373" width="13.7109375" style="81" customWidth="1"/>
    <col min="5374" max="5374" width="16.7109375" style="81" customWidth="1"/>
    <col min="5375" max="5375" width="18.85546875" style="81" bestFit="1" customWidth="1"/>
    <col min="5376" max="5376" width="7" style="81" bestFit="1" customWidth="1"/>
    <col min="5377" max="5377" width="22.42578125" style="81" bestFit="1" customWidth="1"/>
    <col min="5378" max="5378" width="21.140625" style="81" bestFit="1" customWidth="1"/>
    <col min="5379" max="5379" width="30.28515625" style="81" bestFit="1" customWidth="1"/>
    <col min="5380" max="5380" width="27.42578125" style="81" bestFit="1" customWidth="1"/>
    <col min="5381" max="5381" width="18.42578125" style="81" customWidth="1"/>
    <col min="5382" max="5382" width="18.28515625" style="81" customWidth="1"/>
    <col min="5383" max="5383" width="26.28515625" style="81" bestFit="1" customWidth="1"/>
    <col min="5384" max="5384" width="13" style="81" bestFit="1" customWidth="1"/>
    <col min="5385" max="5385" width="13.28515625" style="81" bestFit="1" customWidth="1"/>
    <col min="5386" max="5386" width="12.85546875" style="81" bestFit="1" customWidth="1"/>
    <col min="5387" max="5387" width="20" style="81" bestFit="1" customWidth="1"/>
    <col min="5388" max="5388" width="16.85546875" style="81" bestFit="1" customWidth="1"/>
    <col min="5389" max="5389" width="19.140625" style="81" bestFit="1" customWidth="1"/>
    <col min="5390" max="5628" width="9.140625" style="81"/>
    <col min="5629" max="5629" width="13.7109375" style="81" customWidth="1"/>
    <col min="5630" max="5630" width="16.7109375" style="81" customWidth="1"/>
    <col min="5631" max="5631" width="18.85546875" style="81" bestFit="1" customWidth="1"/>
    <col min="5632" max="5632" width="7" style="81" bestFit="1" customWidth="1"/>
    <col min="5633" max="5633" width="22.42578125" style="81" bestFit="1" customWidth="1"/>
    <col min="5634" max="5634" width="21.140625" style="81" bestFit="1" customWidth="1"/>
    <col min="5635" max="5635" width="30.28515625" style="81" bestFit="1" customWidth="1"/>
    <col min="5636" max="5636" width="27.42578125" style="81" bestFit="1" customWidth="1"/>
    <col min="5637" max="5637" width="18.42578125" style="81" customWidth="1"/>
    <col min="5638" max="5638" width="18.28515625" style="81" customWidth="1"/>
    <col min="5639" max="5639" width="26.28515625" style="81" bestFit="1" customWidth="1"/>
    <col min="5640" max="5640" width="13" style="81" bestFit="1" customWidth="1"/>
    <col min="5641" max="5641" width="13.28515625" style="81" bestFit="1" customWidth="1"/>
    <col min="5642" max="5642" width="12.85546875" style="81" bestFit="1" customWidth="1"/>
    <col min="5643" max="5643" width="20" style="81" bestFit="1" customWidth="1"/>
    <col min="5644" max="5644" width="16.85546875" style="81" bestFit="1" customWidth="1"/>
    <col min="5645" max="5645" width="19.140625" style="81" bestFit="1" customWidth="1"/>
    <col min="5646" max="5884" width="9.140625" style="81"/>
    <col min="5885" max="5885" width="13.7109375" style="81" customWidth="1"/>
    <col min="5886" max="5886" width="16.7109375" style="81" customWidth="1"/>
    <col min="5887" max="5887" width="18.85546875" style="81" bestFit="1" customWidth="1"/>
    <col min="5888" max="5888" width="7" style="81" bestFit="1" customWidth="1"/>
    <col min="5889" max="5889" width="22.42578125" style="81" bestFit="1" customWidth="1"/>
    <col min="5890" max="5890" width="21.140625" style="81" bestFit="1" customWidth="1"/>
    <col min="5891" max="5891" width="30.28515625" style="81" bestFit="1" customWidth="1"/>
    <col min="5892" max="5892" width="27.42578125" style="81" bestFit="1" customWidth="1"/>
    <col min="5893" max="5893" width="18.42578125" style="81" customWidth="1"/>
    <col min="5894" max="5894" width="18.28515625" style="81" customWidth="1"/>
    <col min="5895" max="5895" width="26.28515625" style="81" bestFit="1" customWidth="1"/>
    <col min="5896" max="5896" width="13" style="81" bestFit="1" customWidth="1"/>
    <col min="5897" max="5897" width="13.28515625" style="81" bestFit="1" customWidth="1"/>
    <col min="5898" max="5898" width="12.85546875" style="81" bestFit="1" customWidth="1"/>
    <col min="5899" max="5899" width="20" style="81" bestFit="1" customWidth="1"/>
    <col min="5900" max="5900" width="16.85546875" style="81" bestFit="1" customWidth="1"/>
    <col min="5901" max="5901" width="19.140625" style="81" bestFit="1" customWidth="1"/>
    <col min="5902" max="6140" width="9.140625" style="81"/>
    <col min="6141" max="6141" width="13.7109375" style="81" customWidth="1"/>
    <col min="6142" max="6142" width="16.7109375" style="81" customWidth="1"/>
    <col min="6143" max="6143" width="18.85546875" style="81" bestFit="1" customWidth="1"/>
    <col min="6144" max="6144" width="7" style="81" bestFit="1" customWidth="1"/>
    <col min="6145" max="6145" width="22.42578125" style="81" bestFit="1" customWidth="1"/>
    <col min="6146" max="6146" width="21.140625" style="81" bestFit="1" customWidth="1"/>
    <col min="6147" max="6147" width="30.28515625" style="81" bestFit="1" customWidth="1"/>
    <col min="6148" max="6148" width="27.42578125" style="81" bestFit="1" customWidth="1"/>
    <col min="6149" max="6149" width="18.42578125" style="81" customWidth="1"/>
    <col min="6150" max="6150" width="18.28515625" style="81" customWidth="1"/>
    <col min="6151" max="6151" width="26.28515625" style="81" bestFit="1" customWidth="1"/>
    <col min="6152" max="6152" width="13" style="81" bestFit="1" customWidth="1"/>
    <col min="6153" max="6153" width="13.28515625" style="81" bestFit="1" customWidth="1"/>
    <col min="6154" max="6154" width="12.85546875" style="81" bestFit="1" customWidth="1"/>
    <col min="6155" max="6155" width="20" style="81" bestFit="1" customWidth="1"/>
    <col min="6156" max="6156" width="16.85546875" style="81" bestFit="1" customWidth="1"/>
    <col min="6157" max="6157" width="19.140625" style="81" bestFit="1" customWidth="1"/>
    <col min="6158" max="6396" width="9.140625" style="81"/>
    <col min="6397" max="6397" width="13.7109375" style="81" customWidth="1"/>
    <col min="6398" max="6398" width="16.7109375" style="81" customWidth="1"/>
    <col min="6399" max="6399" width="18.85546875" style="81" bestFit="1" customWidth="1"/>
    <col min="6400" max="6400" width="7" style="81" bestFit="1" customWidth="1"/>
    <col min="6401" max="6401" width="22.42578125" style="81" bestFit="1" customWidth="1"/>
    <col min="6402" max="6402" width="21.140625" style="81" bestFit="1" customWidth="1"/>
    <col min="6403" max="6403" width="30.28515625" style="81" bestFit="1" customWidth="1"/>
    <col min="6404" max="6404" width="27.42578125" style="81" bestFit="1" customWidth="1"/>
    <col min="6405" max="6405" width="18.42578125" style="81" customWidth="1"/>
    <col min="6406" max="6406" width="18.28515625" style="81" customWidth="1"/>
    <col min="6407" max="6407" width="26.28515625" style="81" bestFit="1" customWidth="1"/>
    <col min="6408" max="6408" width="13" style="81" bestFit="1" customWidth="1"/>
    <col min="6409" max="6409" width="13.28515625" style="81" bestFit="1" customWidth="1"/>
    <col min="6410" max="6410" width="12.85546875" style="81" bestFit="1" customWidth="1"/>
    <col min="6411" max="6411" width="20" style="81" bestFit="1" customWidth="1"/>
    <col min="6412" max="6412" width="16.85546875" style="81" bestFit="1" customWidth="1"/>
    <col min="6413" max="6413" width="19.140625" style="81" bestFit="1" customWidth="1"/>
    <col min="6414" max="6652" width="9.140625" style="81"/>
    <col min="6653" max="6653" width="13.7109375" style="81" customWidth="1"/>
    <col min="6654" max="6654" width="16.7109375" style="81" customWidth="1"/>
    <col min="6655" max="6655" width="18.85546875" style="81" bestFit="1" customWidth="1"/>
    <col min="6656" max="6656" width="7" style="81" bestFit="1" customWidth="1"/>
    <col min="6657" max="6657" width="22.42578125" style="81" bestFit="1" customWidth="1"/>
    <col min="6658" max="6658" width="21.140625" style="81" bestFit="1" customWidth="1"/>
    <col min="6659" max="6659" width="30.28515625" style="81" bestFit="1" customWidth="1"/>
    <col min="6660" max="6660" width="27.42578125" style="81" bestFit="1" customWidth="1"/>
    <col min="6661" max="6661" width="18.42578125" style="81" customWidth="1"/>
    <col min="6662" max="6662" width="18.28515625" style="81" customWidth="1"/>
    <col min="6663" max="6663" width="26.28515625" style="81" bestFit="1" customWidth="1"/>
    <col min="6664" max="6664" width="13" style="81" bestFit="1" customWidth="1"/>
    <col min="6665" max="6665" width="13.28515625" style="81" bestFit="1" customWidth="1"/>
    <col min="6666" max="6666" width="12.85546875" style="81" bestFit="1" customWidth="1"/>
    <col min="6667" max="6667" width="20" style="81" bestFit="1" customWidth="1"/>
    <col min="6668" max="6668" width="16.85546875" style="81" bestFit="1" customWidth="1"/>
    <col min="6669" max="6669" width="19.140625" style="81" bestFit="1" customWidth="1"/>
    <col min="6670" max="6908" width="9.140625" style="81"/>
    <col min="6909" max="6909" width="13.7109375" style="81" customWidth="1"/>
    <col min="6910" max="6910" width="16.7109375" style="81" customWidth="1"/>
    <col min="6911" max="6911" width="18.85546875" style="81" bestFit="1" customWidth="1"/>
    <col min="6912" max="6912" width="7" style="81" bestFit="1" customWidth="1"/>
    <col min="6913" max="6913" width="22.42578125" style="81" bestFit="1" customWidth="1"/>
    <col min="6914" max="6914" width="21.140625" style="81" bestFit="1" customWidth="1"/>
    <col min="6915" max="6915" width="30.28515625" style="81" bestFit="1" customWidth="1"/>
    <col min="6916" max="6916" width="27.42578125" style="81" bestFit="1" customWidth="1"/>
    <col min="6917" max="6917" width="18.42578125" style="81" customWidth="1"/>
    <col min="6918" max="6918" width="18.28515625" style="81" customWidth="1"/>
    <col min="6919" max="6919" width="26.28515625" style="81" bestFit="1" customWidth="1"/>
    <col min="6920" max="6920" width="13" style="81" bestFit="1" customWidth="1"/>
    <col min="6921" max="6921" width="13.28515625" style="81" bestFit="1" customWidth="1"/>
    <col min="6922" max="6922" width="12.85546875" style="81" bestFit="1" customWidth="1"/>
    <col min="6923" max="6923" width="20" style="81" bestFit="1" customWidth="1"/>
    <col min="6924" max="6924" width="16.85546875" style="81" bestFit="1" customWidth="1"/>
    <col min="6925" max="6925" width="19.140625" style="81" bestFit="1" customWidth="1"/>
    <col min="6926" max="7164" width="9.140625" style="81"/>
    <col min="7165" max="7165" width="13.7109375" style="81" customWidth="1"/>
    <col min="7166" max="7166" width="16.7109375" style="81" customWidth="1"/>
    <col min="7167" max="7167" width="18.85546875" style="81" bestFit="1" customWidth="1"/>
    <col min="7168" max="7168" width="7" style="81" bestFit="1" customWidth="1"/>
    <col min="7169" max="7169" width="22.42578125" style="81" bestFit="1" customWidth="1"/>
    <col min="7170" max="7170" width="21.140625" style="81" bestFit="1" customWidth="1"/>
    <col min="7171" max="7171" width="30.28515625" style="81" bestFit="1" customWidth="1"/>
    <col min="7172" max="7172" width="27.42578125" style="81" bestFit="1" customWidth="1"/>
    <col min="7173" max="7173" width="18.42578125" style="81" customWidth="1"/>
    <col min="7174" max="7174" width="18.28515625" style="81" customWidth="1"/>
    <col min="7175" max="7175" width="26.28515625" style="81" bestFit="1" customWidth="1"/>
    <col min="7176" max="7176" width="13" style="81" bestFit="1" customWidth="1"/>
    <col min="7177" max="7177" width="13.28515625" style="81" bestFit="1" customWidth="1"/>
    <col min="7178" max="7178" width="12.85546875" style="81" bestFit="1" customWidth="1"/>
    <col min="7179" max="7179" width="20" style="81" bestFit="1" customWidth="1"/>
    <col min="7180" max="7180" width="16.85546875" style="81" bestFit="1" customWidth="1"/>
    <col min="7181" max="7181" width="19.140625" style="81" bestFit="1" customWidth="1"/>
    <col min="7182" max="7420" width="9.140625" style="81"/>
    <col min="7421" max="7421" width="13.7109375" style="81" customWidth="1"/>
    <col min="7422" max="7422" width="16.7109375" style="81" customWidth="1"/>
    <col min="7423" max="7423" width="18.85546875" style="81" bestFit="1" customWidth="1"/>
    <col min="7424" max="7424" width="7" style="81" bestFit="1" customWidth="1"/>
    <col min="7425" max="7425" width="22.42578125" style="81" bestFit="1" customWidth="1"/>
    <col min="7426" max="7426" width="21.140625" style="81" bestFit="1" customWidth="1"/>
    <col min="7427" max="7427" width="30.28515625" style="81" bestFit="1" customWidth="1"/>
    <col min="7428" max="7428" width="27.42578125" style="81" bestFit="1" customWidth="1"/>
    <col min="7429" max="7429" width="18.42578125" style="81" customWidth="1"/>
    <col min="7430" max="7430" width="18.28515625" style="81" customWidth="1"/>
    <col min="7431" max="7431" width="26.28515625" style="81" bestFit="1" customWidth="1"/>
    <col min="7432" max="7432" width="13" style="81" bestFit="1" customWidth="1"/>
    <col min="7433" max="7433" width="13.28515625" style="81" bestFit="1" customWidth="1"/>
    <col min="7434" max="7434" width="12.85546875" style="81" bestFit="1" customWidth="1"/>
    <col min="7435" max="7435" width="20" style="81" bestFit="1" customWidth="1"/>
    <col min="7436" max="7436" width="16.85546875" style="81" bestFit="1" customWidth="1"/>
    <col min="7437" max="7437" width="19.140625" style="81" bestFit="1" customWidth="1"/>
    <col min="7438" max="7676" width="9.140625" style="81"/>
    <col min="7677" max="7677" width="13.7109375" style="81" customWidth="1"/>
    <col min="7678" max="7678" width="16.7109375" style="81" customWidth="1"/>
    <col min="7679" max="7679" width="18.85546875" style="81" bestFit="1" customWidth="1"/>
    <col min="7680" max="7680" width="7" style="81" bestFit="1" customWidth="1"/>
    <col min="7681" max="7681" width="22.42578125" style="81" bestFit="1" customWidth="1"/>
    <col min="7682" max="7682" width="21.140625" style="81" bestFit="1" customWidth="1"/>
    <col min="7683" max="7683" width="30.28515625" style="81" bestFit="1" customWidth="1"/>
    <col min="7684" max="7684" width="27.42578125" style="81" bestFit="1" customWidth="1"/>
    <col min="7685" max="7685" width="18.42578125" style="81" customWidth="1"/>
    <col min="7686" max="7686" width="18.28515625" style="81" customWidth="1"/>
    <col min="7687" max="7687" width="26.28515625" style="81" bestFit="1" customWidth="1"/>
    <col min="7688" max="7688" width="13" style="81" bestFit="1" customWidth="1"/>
    <col min="7689" max="7689" width="13.28515625" style="81" bestFit="1" customWidth="1"/>
    <col min="7690" max="7690" width="12.85546875" style="81" bestFit="1" customWidth="1"/>
    <col min="7691" max="7691" width="20" style="81" bestFit="1" customWidth="1"/>
    <col min="7692" max="7692" width="16.85546875" style="81" bestFit="1" customWidth="1"/>
    <col min="7693" max="7693" width="19.140625" style="81" bestFit="1" customWidth="1"/>
    <col min="7694" max="7932" width="9.140625" style="81"/>
    <col min="7933" max="7933" width="13.7109375" style="81" customWidth="1"/>
    <col min="7934" max="7934" width="16.7109375" style="81" customWidth="1"/>
    <col min="7935" max="7935" width="18.85546875" style="81" bestFit="1" customWidth="1"/>
    <col min="7936" max="7936" width="7" style="81" bestFit="1" customWidth="1"/>
    <col min="7937" max="7937" width="22.42578125" style="81" bestFit="1" customWidth="1"/>
    <col min="7938" max="7938" width="21.140625" style="81" bestFit="1" customWidth="1"/>
    <col min="7939" max="7939" width="30.28515625" style="81" bestFit="1" customWidth="1"/>
    <col min="7940" max="7940" width="27.42578125" style="81" bestFit="1" customWidth="1"/>
    <col min="7941" max="7941" width="18.42578125" style="81" customWidth="1"/>
    <col min="7942" max="7942" width="18.28515625" style="81" customWidth="1"/>
    <col min="7943" max="7943" width="26.28515625" style="81" bestFit="1" customWidth="1"/>
    <col min="7944" max="7944" width="13" style="81" bestFit="1" customWidth="1"/>
    <col min="7945" max="7945" width="13.28515625" style="81" bestFit="1" customWidth="1"/>
    <col min="7946" max="7946" width="12.85546875" style="81" bestFit="1" customWidth="1"/>
    <col min="7947" max="7947" width="20" style="81" bestFit="1" customWidth="1"/>
    <col min="7948" max="7948" width="16.85546875" style="81" bestFit="1" customWidth="1"/>
    <col min="7949" max="7949" width="19.140625" style="81" bestFit="1" customWidth="1"/>
    <col min="7950" max="8188" width="9.140625" style="81"/>
    <col min="8189" max="8189" width="13.7109375" style="81" customWidth="1"/>
    <col min="8190" max="8190" width="16.7109375" style="81" customWidth="1"/>
    <col min="8191" max="8191" width="18.85546875" style="81" bestFit="1" customWidth="1"/>
    <col min="8192" max="8192" width="7" style="81" bestFit="1" customWidth="1"/>
    <col min="8193" max="8193" width="22.42578125" style="81" bestFit="1" customWidth="1"/>
    <col min="8194" max="8194" width="21.140625" style="81" bestFit="1" customWidth="1"/>
    <col min="8195" max="8195" width="30.28515625" style="81" bestFit="1" customWidth="1"/>
    <col min="8196" max="8196" width="27.42578125" style="81" bestFit="1" customWidth="1"/>
    <col min="8197" max="8197" width="18.42578125" style="81" customWidth="1"/>
    <col min="8198" max="8198" width="18.28515625" style="81" customWidth="1"/>
    <col min="8199" max="8199" width="26.28515625" style="81" bestFit="1" customWidth="1"/>
    <col min="8200" max="8200" width="13" style="81" bestFit="1" customWidth="1"/>
    <col min="8201" max="8201" width="13.28515625" style="81" bestFit="1" customWidth="1"/>
    <col min="8202" max="8202" width="12.85546875" style="81" bestFit="1" customWidth="1"/>
    <col min="8203" max="8203" width="20" style="81" bestFit="1" customWidth="1"/>
    <col min="8204" max="8204" width="16.85546875" style="81" bestFit="1" customWidth="1"/>
    <col min="8205" max="8205" width="19.140625" style="81" bestFit="1" customWidth="1"/>
    <col min="8206" max="8444" width="9.140625" style="81"/>
    <col min="8445" max="8445" width="13.7109375" style="81" customWidth="1"/>
    <col min="8446" max="8446" width="16.7109375" style="81" customWidth="1"/>
    <col min="8447" max="8447" width="18.85546875" style="81" bestFit="1" customWidth="1"/>
    <col min="8448" max="8448" width="7" style="81" bestFit="1" customWidth="1"/>
    <col min="8449" max="8449" width="22.42578125" style="81" bestFit="1" customWidth="1"/>
    <col min="8450" max="8450" width="21.140625" style="81" bestFit="1" customWidth="1"/>
    <col min="8451" max="8451" width="30.28515625" style="81" bestFit="1" customWidth="1"/>
    <col min="8452" max="8452" width="27.42578125" style="81" bestFit="1" customWidth="1"/>
    <col min="8453" max="8453" width="18.42578125" style="81" customWidth="1"/>
    <col min="8454" max="8454" width="18.28515625" style="81" customWidth="1"/>
    <col min="8455" max="8455" width="26.28515625" style="81" bestFit="1" customWidth="1"/>
    <col min="8456" max="8456" width="13" style="81" bestFit="1" customWidth="1"/>
    <col min="8457" max="8457" width="13.28515625" style="81" bestFit="1" customWidth="1"/>
    <col min="8458" max="8458" width="12.85546875" style="81" bestFit="1" customWidth="1"/>
    <col min="8459" max="8459" width="20" style="81" bestFit="1" customWidth="1"/>
    <col min="8460" max="8460" width="16.85546875" style="81" bestFit="1" customWidth="1"/>
    <col min="8461" max="8461" width="19.140625" style="81" bestFit="1" customWidth="1"/>
    <col min="8462" max="8700" width="9.140625" style="81"/>
    <col min="8701" max="8701" width="13.7109375" style="81" customWidth="1"/>
    <col min="8702" max="8702" width="16.7109375" style="81" customWidth="1"/>
    <col min="8703" max="8703" width="18.85546875" style="81" bestFit="1" customWidth="1"/>
    <col min="8704" max="8704" width="7" style="81" bestFit="1" customWidth="1"/>
    <col min="8705" max="8705" width="22.42578125" style="81" bestFit="1" customWidth="1"/>
    <col min="8706" max="8706" width="21.140625" style="81" bestFit="1" customWidth="1"/>
    <col min="8707" max="8707" width="30.28515625" style="81" bestFit="1" customWidth="1"/>
    <col min="8708" max="8708" width="27.42578125" style="81" bestFit="1" customWidth="1"/>
    <col min="8709" max="8709" width="18.42578125" style="81" customWidth="1"/>
    <col min="8710" max="8710" width="18.28515625" style="81" customWidth="1"/>
    <col min="8711" max="8711" width="26.28515625" style="81" bestFit="1" customWidth="1"/>
    <col min="8712" max="8712" width="13" style="81" bestFit="1" customWidth="1"/>
    <col min="8713" max="8713" width="13.28515625" style="81" bestFit="1" customWidth="1"/>
    <col min="8714" max="8714" width="12.85546875" style="81" bestFit="1" customWidth="1"/>
    <col min="8715" max="8715" width="20" style="81" bestFit="1" customWidth="1"/>
    <col min="8716" max="8716" width="16.85546875" style="81" bestFit="1" customWidth="1"/>
    <col min="8717" max="8717" width="19.140625" style="81" bestFit="1" customWidth="1"/>
    <col min="8718" max="8956" width="9.140625" style="81"/>
    <col min="8957" max="8957" width="13.7109375" style="81" customWidth="1"/>
    <col min="8958" max="8958" width="16.7109375" style="81" customWidth="1"/>
    <col min="8959" max="8959" width="18.85546875" style="81" bestFit="1" customWidth="1"/>
    <col min="8960" max="8960" width="7" style="81" bestFit="1" customWidth="1"/>
    <col min="8961" max="8961" width="22.42578125" style="81" bestFit="1" customWidth="1"/>
    <col min="8962" max="8962" width="21.140625" style="81" bestFit="1" customWidth="1"/>
    <col min="8963" max="8963" width="30.28515625" style="81" bestFit="1" customWidth="1"/>
    <col min="8964" max="8964" width="27.42578125" style="81" bestFit="1" customWidth="1"/>
    <col min="8965" max="8965" width="18.42578125" style="81" customWidth="1"/>
    <col min="8966" max="8966" width="18.28515625" style="81" customWidth="1"/>
    <col min="8967" max="8967" width="26.28515625" style="81" bestFit="1" customWidth="1"/>
    <col min="8968" max="8968" width="13" style="81" bestFit="1" customWidth="1"/>
    <col min="8969" max="8969" width="13.28515625" style="81" bestFit="1" customWidth="1"/>
    <col min="8970" max="8970" width="12.85546875" style="81" bestFit="1" customWidth="1"/>
    <col min="8971" max="8971" width="20" style="81" bestFit="1" customWidth="1"/>
    <col min="8972" max="8972" width="16.85546875" style="81" bestFit="1" customWidth="1"/>
    <col min="8973" max="8973" width="19.140625" style="81" bestFit="1" customWidth="1"/>
    <col min="8974" max="9212" width="9.140625" style="81"/>
    <col min="9213" max="9213" width="13.7109375" style="81" customWidth="1"/>
    <col min="9214" max="9214" width="16.7109375" style="81" customWidth="1"/>
    <col min="9215" max="9215" width="18.85546875" style="81" bestFit="1" customWidth="1"/>
    <col min="9216" max="9216" width="7" style="81" bestFit="1" customWidth="1"/>
    <col min="9217" max="9217" width="22.42578125" style="81" bestFit="1" customWidth="1"/>
    <col min="9218" max="9218" width="21.140625" style="81" bestFit="1" customWidth="1"/>
    <col min="9219" max="9219" width="30.28515625" style="81" bestFit="1" customWidth="1"/>
    <col min="9220" max="9220" width="27.42578125" style="81" bestFit="1" customWidth="1"/>
    <col min="9221" max="9221" width="18.42578125" style="81" customWidth="1"/>
    <col min="9222" max="9222" width="18.28515625" style="81" customWidth="1"/>
    <col min="9223" max="9223" width="26.28515625" style="81" bestFit="1" customWidth="1"/>
    <col min="9224" max="9224" width="13" style="81" bestFit="1" customWidth="1"/>
    <col min="9225" max="9225" width="13.28515625" style="81" bestFit="1" customWidth="1"/>
    <col min="9226" max="9226" width="12.85546875" style="81" bestFit="1" customWidth="1"/>
    <col min="9227" max="9227" width="20" style="81" bestFit="1" customWidth="1"/>
    <col min="9228" max="9228" width="16.85546875" style="81" bestFit="1" customWidth="1"/>
    <col min="9229" max="9229" width="19.140625" style="81" bestFit="1" customWidth="1"/>
    <col min="9230" max="9468" width="9.140625" style="81"/>
    <col min="9469" max="9469" width="13.7109375" style="81" customWidth="1"/>
    <col min="9470" max="9470" width="16.7109375" style="81" customWidth="1"/>
    <col min="9471" max="9471" width="18.85546875" style="81" bestFit="1" customWidth="1"/>
    <col min="9472" max="9472" width="7" style="81" bestFit="1" customWidth="1"/>
    <col min="9473" max="9473" width="22.42578125" style="81" bestFit="1" customWidth="1"/>
    <col min="9474" max="9474" width="21.140625" style="81" bestFit="1" customWidth="1"/>
    <col min="9475" max="9475" width="30.28515625" style="81" bestFit="1" customWidth="1"/>
    <col min="9476" max="9476" width="27.42578125" style="81" bestFit="1" customWidth="1"/>
    <col min="9477" max="9477" width="18.42578125" style="81" customWidth="1"/>
    <col min="9478" max="9478" width="18.28515625" style="81" customWidth="1"/>
    <col min="9479" max="9479" width="26.28515625" style="81" bestFit="1" customWidth="1"/>
    <col min="9480" max="9480" width="13" style="81" bestFit="1" customWidth="1"/>
    <col min="9481" max="9481" width="13.28515625" style="81" bestFit="1" customWidth="1"/>
    <col min="9482" max="9482" width="12.85546875" style="81" bestFit="1" customWidth="1"/>
    <col min="9483" max="9483" width="20" style="81" bestFit="1" customWidth="1"/>
    <col min="9484" max="9484" width="16.85546875" style="81" bestFit="1" customWidth="1"/>
    <col min="9485" max="9485" width="19.140625" style="81" bestFit="1" customWidth="1"/>
    <col min="9486" max="9724" width="9.140625" style="81"/>
    <col min="9725" max="9725" width="13.7109375" style="81" customWidth="1"/>
    <col min="9726" max="9726" width="16.7109375" style="81" customWidth="1"/>
    <col min="9727" max="9727" width="18.85546875" style="81" bestFit="1" customWidth="1"/>
    <col min="9728" max="9728" width="7" style="81" bestFit="1" customWidth="1"/>
    <col min="9729" max="9729" width="22.42578125" style="81" bestFit="1" customWidth="1"/>
    <col min="9730" max="9730" width="21.140625" style="81" bestFit="1" customWidth="1"/>
    <col min="9731" max="9731" width="30.28515625" style="81" bestFit="1" customWidth="1"/>
    <col min="9732" max="9732" width="27.42578125" style="81" bestFit="1" customWidth="1"/>
    <col min="9733" max="9733" width="18.42578125" style="81" customWidth="1"/>
    <col min="9734" max="9734" width="18.28515625" style="81" customWidth="1"/>
    <col min="9735" max="9735" width="26.28515625" style="81" bestFit="1" customWidth="1"/>
    <col min="9736" max="9736" width="13" style="81" bestFit="1" customWidth="1"/>
    <col min="9737" max="9737" width="13.28515625" style="81" bestFit="1" customWidth="1"/>
    <col min="9738" max="9738" width="12.85546875" style="81" bestFit="1" customWidth="1"/>
    <col min="9739" max="9739" width="20" style="81" bestFit="1" customWidth="1"/>
    <col min="9740" max="9740" width="16.85546875" style="81" bestFit="1" customWidth="1"/>
    <col min="9741" max="9741" width="19.140625" style="81" bestFit="1" customWidth="1"/>
    <col min="9742" max="9980" width="9.140625" style="81"/>
    <col min="9981" max="9981" width="13.7109375" style="81" customWidth="1"/>
    <col min="9982" max="9982" width="16.7109375" style="81" customWidth="1"/>
    <col min="9983" max="9983" width="18.85546875" style="81" bestFit="1" customWidth="1"/>
    <col min="9984" max="9984" width="7" style="81" bestFit="1" customWidth="1"/>
    <col min="9985" max="9985" width="22.42578125" style="81" bestFit="1" customWidth="1"/>
    <col min="9986" max="9986" width="21.140625" style="81" bestFit="1" customWidth="1"/>
    <col min="9987" max="9987" width="30.28515625" style="81" bestFit="1" customWidth="1"/>
    <col min="9988" max="9988" width="27.42578125" style="81" bestFit="1" customWidth="1"/>
    <col min="9989" max="9989" width="18.42578125" style="81" customWidth="1"/>
    <col min="9990" max="9990" width="18.28515625" style="81" customWidth="1"/>
    <col min="9991" max="9991" width="26.28515625" style="81" bestFit="1" customWidth="1"/>
    <col min="9992" max="9992" width="13" style="81" bestFit="1" customWidth="1"/>
    <col min="9993" max="9993" width="13.28515625" style="81" bestFit="1" customWidth="1"/>
    <col min="9994" max="9994" width="12.85546875" style="81" bestFit="1" customWidth="1"/>
    <col min="9995" max="9995" width="20" style="81" bestFit="1" customWidth="1"/>
    <col min="9996" max="9996" width="16.85546875" style="81" bestFit="1" customWidth="1"/>
    <col min="9997" max="9997" width="19.140625" style="81" bestFit="1" customWidth="1"/>
    <col min="9998" max="10236" width="9.140625" style="81"/>
    <col min="10237" max="10237" width="13.7109375" style="81" customWidth="1"/>
    <col min="10238" max="10238" width="16.7109375" style="81" customWidth="1"/>
    <col min="10239" max="10239" width="18.85546875" style="81" bestFit="1" customWidth="1"/>
    <col min="10240" max="10240" width="7" style="81" bestFit="1" customWidth="1"/>
    <col min="10241" max="10241" width="22.42578125" style="81" bestFit="1" customWidth="1"/>
    <col min="10242" max="10242" width="21.140625" style="81" bestFit="1" customWidth="1"/>
    <col min="10243" max="10243" width="30.28515625" style="81" bestFit="1" customWidth="1"/>
    <col min="10244" max="10244" width="27.42578125" style="81" bestFit="1" customWidth="1"/>
    <col min="10245" max="10245" width="18.42578125" style="81" customWidth="1"/>
    <col min="10246" max="10246" width="18.28515625" style="81" customWidth="1"/>
    <col min="10247" max="10247" width="26.28515625" style="81" bestFit="1" customWidth="1"/>
    <col min="10248" max="10248" width="13" style="81" bestFit="1" customWidth="1"/>
    <col min="10249" max="10249" width="13.28515625" style="81" bestFit="1" customWidth="1"/>
    <col min="10250" max="10250" width="12.85546875" style="81" bestFit="1" customWidth="1"/>
    <col min="10251" max="10251" width="20" style="81" bestFit="1" customWidth="1"/>
    <col min="10252" max="10252" width="16.85546875" style="81" bestFit="1" customWidth="1"/>
    <col min="10253" max="10253" width="19.140625" style="81" bestFit="1" customWidth="1"/>
    <col min="10254" max="10492" width="9.140625" style="81"/>
    <col min="10493" max="10493" width="13.7109375" style="81" customWidth="1"/>
    <col min="10494" max="10494" width="16.7109375" style="81" customWidth="1"/>
    <col min="10495" max="10495" width="18.85546875" style="81" bestFit="1" customWidth="1"/>
    <col min="10496" max="10496" width="7" style="81" bestFit="1" customWidth="1"/>
    <col min="10497" max="10497" width="22.42578125" style="81" bestFit="1" customWidth="1"/>
    <col min="10498" max="10498" width="21.140625" style="81" bestFit="1" customWidth="1"/>
    <col min="10499" max="10499" width="30.28515625" style="81" bestFit="1" customWidth="1"/>
    <col min="10500" max="10500" width="27.42578125" style="81" bestFit="1" customWidth="1"/>
    <col min="10501" max="10501" width="18.42578125" style="81" customWidth="1"/>
    <col min="10502" max="10502" width="18.28515625" style="81" customWidth="1"/>
    <col min="10503" max="10503" width="26.28515625" style="81" bestFit="1" customWidth="1"/>
    <col min="10504" max="10504" width="13" style="81" bestFit="1" customWidth="1"/>
    <col min="10505" max="10505" width="13.28515625" style="81" bestFit="1" customWidth="1"/>
    <col min="10506" max="10506" width="12.85546875" style="81" bestFit="1" customWidth="1"/>
    <col min="10507" max="10507" width="20" style="81" bestFit="1" customWidth="1"/>
    <col min="10508" max="10508" width="16.85546875" style="81" bestFit="1" customWidth="1"/>
    <col min="10509" max="10509" width="19.140625" style="81" bestFit="1" customWidth="1"/>
    <col min="10510" max="10748" width="9.140625" style="81"/>
    <col min="10749" max="10749" width="13.7109375" style="81" customWidth="1"/>
    <col min="10750" max="10750" width="16.7109375" style="81" customWidth="1"/>
    <col min="10751" max="10751" width="18.85546875" style="81" bestFit="1" customWidth="1"/>
    <col min="10752" max="10752" width="7" style="81" bestFit="1" customWidth="1"/>
    <col min="10753" max="10753" width="22.42578125" style="81" bestFit="1" customWidth="1"/>
    <col min="10754" max="10754" width="21.140625" style="81" bestFit="1" customWidth="1"/>
    <col min="10755" max="10755" width="30.28515625" style="81" bestFit="1" customWidth="1"/>
    <col min="10756" max="10756" width="27.42578125" style="81" bestFit="1" customWidth="1"/>
    <col min="10757" max="10757" width="18.42578125" style="81" customWidth="1"/>
    <col min="10758" max="10758" width="18.28515625" style="81" customWidth="1"/>
    <col min="10759" max="10759" width="26.28515625" style="81" bestFit="1" customWidth="1"/>
    <col min="10760" max="10760" width="13" style="81" bestFit="1" customWidth="1"/>
    <col min="10761" max="10761" width="13.28515625" style="81" bestFit="1" customWidth="1"/>
    <col min="10762" max="10762" width="12.85546875" style="81" bestFit="1" customWidth="1"/>
    <col min="10763" max="10763" width="20" style="81" bestFit="1" customWidth="1"/>
    <col min="10764" max="10764" width="16.85546875" style="81" bestFit="1" customWidth="1"/>
    <col min="10765" max="10765" width="19.140625" style="81" bestFit="1" customWidth="1"/>
    <col min="10766" max="11004" width="9.140625" style="81"/>
    <col min="11005" max="11005" width="13.7109375" style="81" customWidth="1"/>
    <col min="11006" max="11006" width="16.7109375" style="81" customWidth="1"/>
    <col min="11007" max="11007" width="18.85546875" style="81" bestFit="1" customWidth="1"/>
    <col min="11008" max="11008" width="7" style="81" bestFit="1" customWidth="1"/>
    <col min="11009" max="11009" width="22.42578125" style="81" bestFit="1" customWidth="1"/>
    <col min="11010" max="11010" width="21.140625" style="81" bestFit="1" customWidth="1"/>
    <col min="11011" max="11011" width="30.28515625" style="81" bestFit="1" customWidth="1"/>
    <col min="11012" max="11012" width="27.42578125" style="81" bestFit="1" customWidth="1"/>
    <col min="11013" max="11013" width="18.42578125" style="81" customWidth="1"/>
    <col min="11014" max="11014" width="18.28515625" style="81" customWidth="1"/>
    <col min="11015" max="11015" width="26.28515625" style="81" bestFit="1" customWidth="1"/>
    <col min="11016" max="11016" width="13" style="81" bestFit="1" customWidth="1"/>
    <col min="11017" max="11017" width="13.28515625" style="81" bestFit="1" customWidth="1"/>
    <col min="11018" max="11018" width="12.85546875" style="81" bestFit="1" customWidth="1"/>
    <col min="11019" max="11019" width="20" style="81" bestFit="1" customWidth="1"/>
    <col min="11020" max="11020" width="16.85546875" style="81" bestFit="1" customWidth="1"/>
    <col min="11021" max="11021" width="19.140625" style="81" bestFit="1" customWidth="1"/>
    <col min="11022" max="11260" width="9.140625" style="81"/>
    <col min="11261" max="11261" width="13.7109375" style="81" customWidth="1"/>
    <col min="11262" max="11262" width="16.7109375" style="81" customWidth="1"/>
    <col min="11263" max="11263" width="18.85546875" style="81" bestFit="1" customWidth="1"/>
    <col min="11264" max="11264" width="7" style="81" bestFit="1" customWidth="1"/>
    <col min="11265" max="11265" width="22.42578125" style="81" bestFit="1" customWidth="1"/>
    <col min="11266" max="11266" width="21.140625" style="81" bestFit="1" customWidth="1"/>
    <col min="11267" max="11267" width="30.28515625" style="81" bestFit="1" customWidth="1"/>
    <col min="11268" max="11268" width="27.42578125" style="81" bestFit="1" customWidth="1"/>
    <col min="11269" max="11269" width="18.42578125" style="81" customWidth="1"/>
    <col min="11270" max="11270" width="18.28515625" style="81" customWidth="1"/>
    <col min="11271" max="11271" width="26.28515625" style="81" bestFit="1" customWidth="1"/>
    <col min="11272" max="11272" width="13" style="81" bestFit="1" customWidth="1"/>
    <col min="11273" max="11273" width="13.28515625" style="81" bestFit="1" customWidth="1"/>
    <col min="11274" max="11274" width="12.85546875" style="81" bestFit="1" customWidth="1"/>
    <col min="11275" max="11275" width="20" style="81" bestFit="1" customWidth="1"/>
    <col min="11276" max="11276" width="16.85546875" style="81" bestFit="1" customWidth="1"/>
    <col min="11277" max="11277" width="19.140625" style="81" bestFit="1" customWidth="1"/>
    <col min="11278" max="11516" width="9.140625" style="81"/>
    <col min="11517" max="11517" width="13.7109375" style="81" customWidth="1"/>
    <col min="11518" max="11518" width="16.7109375" style="81" customWidth="1"/>
    <col min="11519" max="11519" width="18.85546875" style="81" bestFit="1" customWidth="1"/>
    <col min="11520" max="11520" width="7" style="81" bestFit="1" customWidth="1"/>
    <col min="11521" max="11521" width="22.42578125" style="81" bestFit="1" customWidth="1"/>
    <col min="11522" max="11522" width="21.140625" style="81" bestFit="1" customWidth="1"/>
    <col min="11523" max="11523" width="30.28515625" style="81" bestFit="1" customWidth="1"/>
    <col min="11524" max="11524" width="27.42578125" style="81" bestFit="1" customWidth="1"/>
    <col min="11525" max="11525" width="18.42578125" style="81" customWidth="1"/>
    <col min="11526" max="11526" width="18.28515625" style="81" customWidth="1"/>
    <col min="11527" max="11527" width="26.28515625" style="81" bestFit="1" customWidth="1"/>
    <col min="11528" max="11528" width="13" style="81" bestFit="1" customWidth="1"/>
    <col min="11529" max="11529" width="13.28515625" style="81" bestFit="1" customWidth="1"/>
    <col min="11530" max="11530" width="12.85546875" style="81" bestFit="1" customWidth="1"/>
    <col min="11531" max="11531" width="20" style="81" bestFit="1" customWidth="1"/>
    <col min="11532" max="11532" width="16.85546875" style="81" bestFit="1" customWidth="1"/>
    <col min="11533" max="11533" width="19.140625" style="81" bestFit="1" customWidth="1"/>
    <col min="11534" max="11772" width="9.140625" style="81"/>
    <col min="11773" max="11773" width="13.7109375" style="81" customWidth="1"/>
    <col min="11774" max="11774" width="16.7109375" style="81" customWidth="1"/>
    <col min="11775" max="11775" width="18.85546875" style="81" bestFit="1" customWidth="1"/>
    <col min="11776" max="11776" width="7" style="81" bestFit="1" customWidth="1"/>
    <col min="11777" max="11777" width="22.42578125" style="81" bestFit="1" customWidth="1"/>
    <col min="11778" max="11778" width="21.140625" style="81" bestFit="1" customWidth="1"/>
    <col min="11779" max="11779" width="30.28515625" style="81" bestFit="1" customWidth="1"/>
    <col min="11780" max="11780" width="27.42578125" style="81" bestFit="1" customWidth="1"/>
    <col min="11781" max="11781" width="18.42578125" style="81" customWidth="1"/>
    <col min="11782" max="11782" width="18.28515625" style="81" customWidth="1"/>
    <col min="11783" max="11783" width="26.28515625" style="81" bestFit="1" customWidth="1"/>
    <col min="11784" max="11784" width="13" style="81" bestFit="1" customWidth="1"/>
    <col min="11785" max="11785" width="13.28515625" style="81" bestFit="1" customWidth="1"/>
    <col min="11786" max="11786" width="12.85546875" style="81" bestFit="1" customWidth="1"/>
    <col min="11787" max="11787" width="20" style="81" bestFit="1" customWidth="1"/>
    <col min="11788" max="11788" width="16.85546875" style="81" bestFit="1" customWidth="1"/>
    <col min="11789" max="11789" width="19.140625" style="81" bestFit="1" customWidth="1"/>
    <col min="11790" max="12028" width="9.140625" style="81"/>
    <col min="12029" max="12029" width="13.7109375" style="81" customWidth="1"/>
    <col min="12030" max="12030" width="16.7109375" style="81" customWidth="1"/>
    <col min="12031" max="12031" width="18.85546875" style="81" bestFit="1" customWidth="1"/>
    <col min="12032" max="12032" width="7" style="81" bestFit="1" customWidth="1"/>
    <col min="12033" max="12033" width="22.42578125" style="81" bestFit="1" customWidth="1"/>
    <col min="12034" max="12034" width="21.140625" style="81" bestFit="1" customWidth="1"/>
    <col min="12035" max="12035" width="30.28515625" style="81" bestFit="1" customWidth="1"/>
    <col min="12036" max="12036" width="27.42578125" style="81" bestFit="1" customWidth="1"/>
    <col min="12037" max="12037" width="18.42578125" style="81" customWidth="1"/>
    <col min="12038" max="12038" width="18.28515625" style="81" customWidth="1"/>
    <col min="12039" max="12039" width="26.28515625" style="81" bestFit="1" customWidth="1"/>
    <col min="12040" max="12040" width="13" style="81" bestFit="1" customWidth="1"/>
    <col min="12041" max="12041" width="13.28515625" style="81" bestFit="1" customWidth="1"/>
    <col min="12042" max="12042" width="12.85546875" style="81" bestFit="1" customWidth="1"/>
    <col min="12043" max="12043" width="20" style="81" bestFit="1" customWidth="1"/>
    <col min="12044" max="12044" width="16.85546875" style="81" bestFit="1" customWidth="1"/>
    <col min="12045" max="12045" width="19.140625" style="81" bestFit="1" customWidth="1"/>
    <col min="12046" max="12284" width="9.140625" style="81"/>
    <col min="12285" max="12285" width="13.7109375" style="81" customWidth="1"/>
    <col min="12286" max="12286" width="16.7109375" style="81" customWidth="1"/>
    <col min="12287" max="12287" width="18.85546875" style="81" bestFit="1" customWidth="1"/>
    <col min="12288" max="12288" width="7" style="81" bestFit="1" customWidth="1"/>
    <col min="12289" max="12289" width="22.42578125" style="81" bestFit="1" customWidth="1"/>
    <col min="12290" max="12290" width="21.140625" style="81" bestFit="1" customWidth="1"/>
    <col min="12291" max="12291" width="30.28515625" style="81" bestFit="1" customWidth="1"/>
    <col min="12292" max="12292" width="27.42578125" style="81" bestFit="1" customWidth="1"/>
    <col min="12293" max="12293" width="18.42578125" style="81" customWidth="1"/>
    <col min="12294" max="12294" width="18.28515625" style="81" customWidth="1"/>
    <col min="12295" max="12295" width="26.28515625" style="81" bestFit="1" customWidth="1"/>
    <col min="12296" max="12296" width="13" style="81" bestFit="1" customWidth="1"/>
    <col min="12297" max="12297" width="13.28515625" style="81" bestFit="1" customWidth="1"/>
    <col min="12298" max="12298" width="12.85546875" style="81" bestFit="1" customWidth="1"/>
    <col min="12299" max="12299" width="20" style="81" bestFit="1" customWidth="1"/>
    <col min="12300" max="12300" width="16.85546875" style="81" bestFit="1" customWidth="1"/>
    <col min="12301" max="12301" width="19.140625" style="81" bestFit="1" customWidth="1"/>
    <col min="12302" max="12540" width="9.140625" style="81"/>
    <col min="12541" max="12541" width="13.7109375" style="81" customWidth="1"/>
    <col min="12542" max="12542" width="16.7109375" style="81" customWidth="1"/>
    <col min="12543" max="12543" width="18.85546875" style="81" bestFit="1" customWidth="1"/>
    <col min="12544" max="12544" width="7" style="81" bestFit="1" customWidth="1"/>
    <col min="12545" max="12545" width="22.42578125" style="81" bestFit="1" customWidth="1"/>
    <col min="12546" max="12546" width="21.140625" style="81" bestFit="1" customWidth="1"/>
    <col min="12547" max="12547" width="30.28515625" style="81" bestFit="1" customWidth="1"/>
    <col min="12548" max="12548" width="27.42578125" style="81" bestFit="1" customWidth="1"/>
    <col min="12549" max="12549" width="18.42578125" style="81" customWidth="1"/>
    <col min="12550" max="12550" width="18.28515625" style="81" customWidth="1"/>
    <col min="12551" max="12551" width="26.28515625" style="81" bestFit="1" customWidth="1"/>
    <col min="12552" max="12552" width="13" style="81" bestFit="1" customWidth="1"/>
    <col min="12553" max="12553" width="13.28515625" style="81" bestFit="1" customWidth="1"/>
    <col min="12554" max="12554" width="12.85546875" style="81" bestFit="1" customWidth="1"/>
    <col min="12555" max="12555" width="20" style="81" bestFit="1" customWidth="1"/>
    <col min="12556" max="12556" width="16.85546875" style="81" bestFit="1" customWidth="1"/>
    <col min="12557" max="12557" width="19.140625" style="81" bestFit="1" customWidth="1"/>
    <col min="12558" max="12796" width="9.140625" style="81"/>
    <col min="12797" max="12797" width="13.7109375" style="81" customWidth="1"/>
    <col min="12798" max="12798" width="16.7109375" style="81" customWidth="1"/>
    <col min="12799" max="12799" width="18.85546875" style="81" bestFit="1" customWidth="1"/>
    <col min="12800" max="12800" width="7" style="81" bestFit="1" customWidth="1"/>
    <col min="12801" max="12801" width="22.42578125" style="81" bestFit="1" customWidth="1"/>
    <col min="12802" max="12802" width="21.140625" style="81" bestFit="1" customWidth="1"/>
    <col min="12803" max="12803" width="30.28515625" style="81" bestFit="1" customWidth="1"/>
    <col min="12804" max="12804" width="27.42578125" style="81" bestFit="1" customWidth="1"/>
    <col min="12805" max="12805" width="18.42578125" style="81" customWidth="1"/>
    <col min="12806" max="12806" width="18.28515625" style="81" customWidth="1"/>
    <col min="12807" max="12807" width="26.28515625" style="81" bestFit="1" customWidth="1"/>
    <col min="12808" max="12808" width="13" style="81" bestFit="1" customWidth="1"/>
    <col min="12809" max="12809" width="13.28515625" style="81" bestFit="1" customWidth="1"/>
    <col min="12810" max="12810" width="12.85546875" style="81" bestFit="1" customWidth="1"/>
    <col min="12811" max="12811" width="20" style="81" bestFit="1" customWidth="1"/>
    <col min="12812" max="12812" width="16.85546875" style="81" bestFit="1" customWidth="1"/>
    <col min="12813" max="12813" width="19.140625" style="81" bestFit="1" customWidth="1"/>
    <col min="12814" max="13052" width="9.140625" style="81"/>
    <col min="13053" max="13053" width="13.7109375" style="81" customWidth="1"/>
    <col min="13054" max="13054" width="16.7109375" style="81" customWidth="1"/>
    <col min="13055" max="13055" width="18.85546875" style="81" bestFit="1" customWidth="1"/>
    <col min="13056" max="13056" width="7" style="81" bestFit="1" customWidth="1"/>
    <col min="13057" max="13057" width="22.42578125" style="81" bestFit="1" customWidth="1"/>
    <col min="13058" max="13058" width="21.140625" style="81" bestFit="1" customWidth="1"/>
    <col min="13059" max="13059" width="30.28515625" style="81" bestFit="1" customWidth="1"/>
    <col min="13060" max="13060" width="27.42578125" style="81" bestFit="1" customWidth="1"/>
    <col min="13061" max="13061" width="18.42578125" style="81" customWidth="1"/>
    <col min="13062" max="13062" width="18.28515625" style="81" customWidth="1"/>
    <col min="13063" max="13063" width="26.28515625" style="81" bestFit="1" customWidth="1"/>
    <col min="13064" max="13064" width="13" style="81" bestFit="1" customWidth="1"/>
    <col min="13065" max="13065" width="13.28515625" style="81" bestFit="1" customWidth="1"/>
    <col min="13066" max="13066" width="12.85546875" style="81" bestFit="1" customWidth="1"/>
    <col min="13067" max="13067" width="20" style="81" bestFit="1" customWidth="1"/>
    <col min="13068" max="13068" width="16.85546875" style="81" bestFit="1" customWidth="1"/>
    <col min="13069" max="13069" width="19.140625" style="81" bestFit="1" customWidth="1"/>
    <col min="13070" max="13308" width="9.140625" style="81"/>
    <col min="13309" max="13309" width="13.7109375" style="81" customWidth="1"/>
    <col min="13310" max="13310" width="16.7109375" style="81" customWidth="1"/>
    <col min="13311" max="13311" width="18.85546875" style="81" bestFit="1" customWidth="1"/>
    <col min="13312" max="13312" width="7" style="81" bestFit="1" customWidth="1"/>
    <col min="13313" max="13313" width="22.42578125" style="81" bestFit="1" customWidth="1"/>
    <col min="13314" max="13314" width="21.140625" style="81" bestFit="1" customWidth="1"/>
    <col min="13315" max="13315" width="30.28515625" style="81" bestFit="1" customWidth="1"/>
    <col min="13316" max="13316" width="27.42578125" style="81" bestFit="1" customWidth="1"/>
    <col min="13317" max="13317" width="18.42578125" style="81" customWidth="1"/>
    <col min="13318" max="13318" width="18.28515625" style="81" customWidth="1"/>
    <col min="13319" max="13319" width="26.28515625" style="81" bestFit="1" customWidth="1"/>
    <col min="13320" max="13320" width="13" style="81" bestFit="1" customWidth="1"/>
    <col min="13321" max="13321" width="13.28515625" style="81" bestFit="1" customWidth="1"/>
    <col min="13322" max="13322" width="12.85546875" style="81" bestFit="1" customWidth="1"/>
    <col min="13323" max="13323" width="20" style="81" bestFit="1" customWidth="1"/>
    <col min="13324" max="13324" width="16.85546875" style="81" bestFit="1" customWidth="1"/>
    <col min="13325" max="13325" width="19.140625" style="81" bestFit="1" customWidth="1"/>
    <col min="13326" max="13564" width="9.140625" style="81"/>
    <col min="13565" max="13565" width="13.7109375" style="81" customWidth="1"/>
    <col min="13566" max="13566" width="16.7109375" style="81" customWidth="1"/>
    <col min="13567" max="13567" width="18.85546875" style="81" bestFit="1" customWidth="1"/>
    <col min="13568" max="13568" width="7" style="81" bestFit="1" customWidth="1"/>
    <col min="13569" max="13569" width="22.42578125" style="81" bestFit="1" customWidth="1"/>
    <col min="13570" max="13570" width="21.140625" style="81" bestFit="1" customWidth="1"/>
    <col min="13571" max="13571" width="30.28515625" style="81" bestFit="1" customWidth="1"/>
    <col min="13572" max="13572" width="27.42578125" style="81" bestFit="1" customWidth="1"/>
    <col min="13573" max="13573" width="18.42578125" style="81" customWidth="1"/>
    <col min="13574" max="13574" width="18.28515625" style="81" customWidth="1"/>
    <col min="13575" max="13575" width="26.28515625" style="81" bestFit="1" customWidth="1"/>
    <col min="13576" max="13576" width="13" style="81" bestFit="1" customWidth="1"/>
    <col min="13577" max="13577" width="13.28515625" style="81" bestFit="1" customWidth="1"/>
    <col min="13578" max="13578" width="12.85546875" style="81" bestFit="1" customWidth="1"/>
    <col min="13579" max="13579" width="20" style="81" bestFit="1" customWidth="1"/>
    <col min="13580" max="13580" width="16.85546875" style="81" bestFit="1" customWidth="1"/>
    <col min="13581" max="13581" width="19.140625" style="81" bestFit="1" customWidth="1"/>
    <col min="13582" max="13820" width="9.140625" style="81"/>
    <col min="13821" max="13821" width="13.7109375" style="81" customWidth="1"/>
    <col min="13822" max="13822" width="16.7109375" style="81" customWidth="1"/>
    <col min="13823" max="13823" width="18.85546875" style="81" bestFit="1" customWidth="1"/>
    <col min="13824" max="13824" width="7" style="81" bestFit="1" customWidth="1"/>
    <col min="13825" max="13825" width="22.42578125" style="81" bestFit="1" customWidth="1"/>
    <col min="13826" max="13826" width="21.140625" style="81" bestFit="1" customWidth="1"/>
    <col min="13827" max="13827" width="30.28515625" style="81" bestFit="1" customWidth="1"/>
    <col min="13828" max="13828" width="27.42578125" style="81" bestFit="1" customWidth="1"/>
    <col min="13829" max="13829" width="18.42578125" style="81" customWidth="1"/>
    <col min="13830" max="13830" width="18.28515625" style="81" customWidth="1"/>
    <col min="13831" max="13831" width="26.28515625" style="81" bestFit="1" customWidth="1"/>
    <col min="13832" max="13832" width="13" style="81" bestFit="1" customWidth="1"/>
    <col min="13833" max="13833" width="13.28515625" style="81" bestFit="1" customWidth="1"/>
    <col min="13834" max="13834" width="12.85546875" style="81" bestFit="1" customWidth="1"/>
    <col min="13835" max="13835" width="20" style="81" bestFit="1" customWidth="1"/>
    <col min="13836" max="13836" width="16.85546875" style="81" bestFit="1" customWidth="1"/>
    <col min="13837" max="13837" width="19.140625" style="81" bestFit="1" customWidth="1"/>
    <col min="13838" max="14076" width="9.140625" style="81"/>
    <col min="14077" max="14077" width="13.7109375" style="81" customWidth="1"/>
    <col min="14078" max="14078" width="16.7109375" style="81" customWidth="1"/>
    <col min="14079" max="14079" width="18.85546875" style="81" bestFit="1" customWidth="1"/>
    <col min="14080" max="14080" width="7" style="81" bestFit="1" customWidth="1"/>
    <col min="14081" max="14081" width="22.42578125" style="81" bestFit="1" customWidth="1"/>
    <col min="14082" max="14082" width="21.140625" style="81" bestFit="1" customWidth="1"/>
    <col min="14083" max="14083" width="30.28515625" style="81" bestFit="1" customWidth="1"/>
    <col min="14084" max="14084" width="27.42578125" style="81" bestFit="1" customWidth="1"/>
    <col min="14085" max="14085" width="18.42578125" style="81" customWidth="1"/>
    <col min="14086" max="14086" width="18.28515625" style="81" customWidth="1"/>
    <col min="14087" max="14087" width="26.28515625" style="81" bestFit="1" customWidth="1"/>
    <col min="14088" max="14088" width="13" style="81" bestFit="1" customWidth="1"/>
    <col min="14089" max="14089" width="13.28515625" style="81" bestFit="1" customWidth="1"/>
    <col min="14090" max="14090" width="12.85546875" style="81" bestFit="1" customWidth="1"/>
    <col min="14091" max="14091" width="20" style="81" bestFit="1" customWidth="1"/>
    <col min="14092" max="14092" width="16.85546875" style="81" bestFit="1" customWidth="1"/>
    <col min="14093" max="14093" width="19.140625" style="81" bestFit="1" customWidth="1"/>
    <col min="14094" max="14332" width="9.140625" style="81"/>
    <col min="14333" max="14333" width="13.7109375" style="81" customWidth="1"/>
    <col min="14334" max="14334" width="16.7109375" style="81" customWidth="1"/>
    <col min="14335" max="14335" width="18.85546875" style="81" bestFit="1" customWidth="1"/>
    <col min="14336" max="14336" width="7" style="81" bestFit="1" customWidth="1"/>
    <col min="14337" max="14337" width="22.42578125" style="81" bestFit="1" customWidth="1"/>
    <col min="14338" max="14338" width="21.140625" style="81" bestFit="1" customWidth="1"/>
    <col min="14339" max="14339" width="30.28515625" style="81" bestFit="1" customWidth="1"/>
    <col min="14340" max="14340" width="27.42578125" style="81" bestFit="1" customWidth="1"/>
    <col min="14341" max="14341" width="18.42578125" style="81" customWidth="1"/>
    <col min="14342" max="14342" width="18.28515625" style="81" customWidth="1"/>
    <col min="14343" max="14343" width="26.28515625" style="81" bestFit="1" customWidth="1"/>
    <col min="14344" max="14344" width="13" style="81" bestFit="1" customWidth="1"/>
    <col min="14345" max="14345" width="13.28515625" style="81" bestFit="1" customWidth="1"/>
    <col min="14346" max="14346" width="12.85546875" style="81" bestFit="1" customWidth="1"/>
    <col min="14347" max="14347" width="20" style="81" bestFit="1" customWidth="1"/>
    <col min="14348" max="14348" width="16.85546875" style="81" bestFit="1" customWidth="1"/>
    <col min="14349" max="14349" width="19.140625" style="81" bestFit="1" customWidth="1"/>
    <col min="14350" max="14588" width="9.140625" style="81"/>
    <col min="14589" max="14589" width="13.7109375" style="81" customWidth="1"/>
    <col min="14590" max="14590" width="16.7109375" style="81" customWidth="1"/>
    <col min="14591" max="14591" width="18.85546875" style="81" bestFit="1" customWidth="1"/>
    <col min="14592" max="14592" width="7" style="81" bestFit="1" customWidth="1"/>
    <col min="14593" max="14593" width="22.42578125" style="81" bestFit="1" customWidth="1"/>
    <col min="14594" max="14594" width="21.140625" style="81" bestFit="1" customWidth="1"/>
    <col min="14595" max="14595" width="30.28515625" style="81" bestFit="1" customWidth="1"/>
    <col min="14596" max="14596" width="27.42578125" style="81" bestFit="1" customWidth="1"/>
    <col min="14597" max="14597" width="18.42578125" style="81" customWidth="1"/>
    <col min="14598" max="14598" width="18.28515625" style="81" customWidth="1"/>
    <col min="14599" max="14599" width="26.28515625" style="81" bestFit="1" customWidth="1"/>
    <col min="14600" max="14600" width="13" style="81" bestFit="1" customWidth="1"/>
    <col min="14601" max="14601" width="13.28515625" style="81" bestFit="1" customWidth="1"/>
    <col min="14602" max="14602" width="12.85546875" style="81" bestFit="1" customWidth="1"/>
    <col min="14603" max="14603" width="20" style="81" bestFit="1" customWidth="1"/>
    <col min="14604" max="14604" width="16.85546875" style="81" bestFit="1" customWidth="1"/>
    <col min="14605" max="14605" width="19.140625" style="81" bestFit="1" customWidth="1"/>
    <col min="14606" max="14844" width="9.140625" style="81"/>
    <col min="14845" max="14845" width="13.7109375" style="81" customWidth="1"/>
    <col min="14846" max="14846" width="16.7109375" style="81" customWidth="1"/>
    <col min="14847" max="14847" width="18.85546875" style="81" bestFit="1" customWidth="1"/>
    <col min="14848" max="14848" width="7" style="81" bestFit="1" customWidth="1"/>
    <col min="14849" max="14849" width="22.42578125" style="81" bestFit="1" customWidth="1"/>
    <col min="14850" max="14850" width="21.140625" style="81" bestFit="1" customWidth="1"/>
    <col min="14851" max="14851" width="30.28515625" style="81" bestFit="1" customWidth="1"/>
    <col min="14852" max="14852" width="27.42578125" style="81" bestFit="1" customWidth="1"/>
    <col min="14853" max="14853" width="18.42578125" style="81" customWidth="1"/>
    <col min="14854" max="14854" width="18.28515625" style="81" customWidth="1"/>
    <col min="14855" max="14855" width="26.28515625" style="81" bestFit="1" customWidth="1"/>
    <col min="14856" max="14856" width="13" style="81" bestFit="1" customWidth="1"/>
    <col min="14857" max="14857" width="13.28515625" style="81" bestFit="1" customWidth="1"/>
    <col min="14858" max="14858" width="12.85546875" style="81" bestFit="1" customWidth="1"/>
    <col min="14859" max="14859" width="20" style="81" bestFit="1" customWidth="1"/>
    <col min="14860" max="14860" width="16.85546875" style="81" bestFit="1" customWidth="1"/>
    <col min="14861" max="14861" width="19.140625" style="81" bestFit="1" customWidth="1"/>
    <col min="14862" max="15100" width="9.140625" style="81"/>
    <col min="15101" max="15101" width="13.7109375" style="81" customWidth="1"/>
    <col min="15102" max="15102" width="16.7109375" style="81" customWidth="1"/>
    <col min="15103" max="15103" width="18.85546875" style="81" bestFit="1" customWidth="1"/>
    <col min="15104" max="15104" width="7" style="81" bestFit="1" customWidth="1"/>
    <col min="15105" max="15105" width="22.42578125" style="81" bestFit="1" customWidth="1"/>
    <col min="15106" max="15106" width="21.140625" style="81" bestFit="1" customWidth="1"/>
    <col min="15107" max="15107" width="30.28515625" style="81" bestFit="1" customWidth="1"/>
    <col min="15108" max="15108" width="27.42578125" style="81" bestFit="1" customWidth="1"/>
    <col min="15109" max="15109" width="18.42578125" style="81" customWidth="1"/>
    <col min="15110" max="15110" width="18.28515625" style="81" customWidth="1"/>
    <col min="15111" max="15111" width="26.28515625" style="81" bestFit="1" customWidth="1"/>
    <col min="15112" max="15112" width="13" style="81" bestFit="1" customWidth="1"/>
    <col min="15113" max="15113" width="13.28515625" style="81" bestFit="1" customWidth="1"/>
    <col min="15114" max="15114" width="12.85546875" style="81" bestFit="1" customWidth="1"/>
    <col min="15115" max="15115" width="20" style="81" bestFit="1" customWidth="1"/>
    <col min="15116" max="15116" width="16.85546875" style="81" bestFit="1" customWidth="1"/>
    <col min="15117" max="15117" width="19.140625" style="81" bestFit="1" customWidth="1"/>
    <col min="15118" max="15356" width="9.140625" style="81"/>
    <col min="15357" max="15357" width="13.7109375" style="81" customWidth="1"/>
    <col min="15358" max="15358" width="16.7109375" style="81" customWidth="1"/>
    <col min="15359" max="15359" width="18.85546875" style="81" bestFit="1" customWidth="1"/>
    <col min="15360" max="15360" width="7" style="81" bestFit="1" customWidth="1"/>
    <col min="15361" max="15361" width="22.42578125" style="81" bestFit="1" customWidth="1"/>
    <col min="15362" max="15362" width="21.140625" style="81" bestFit="1" customWidth="1"/>
    <col min="15363" max="15363" width="30.28515625" style="81" bestFit="1" customWidth="1"/>
    <col min="15364" max="15364" width="27.42578125" style="81" bestFit="1" customWidth="1"/>
    <col min="15365" max="15365" width="18.42578125" style="81" customWidth="1"/>
    <col min="15366" max="15366" width="18.28515625" style="81" customWidth="1"/>
    <col min="15367" max="15367" width="26.28515625" style="81" bestFit="1" customWidth="1"/>
    <col min="15368" max="15368" width="13" style="81" bestFit="1" customWidth="1"/>
    <col min="15369" max="15369" width="13.28515625" style="81" bestFit="1" customWidth="1"/>
    <col min="15370" max="15370" width="12.85546875" style="81" bestFit="1" customWidth="1"/>
    <col min="15371" max="15371" width="20" style="81" bestFit="1" customWidth="1"/>
    <col min="15372" max="15372" width="16.85546875" style="81" bestFit="1" customWidth="1"/>
    <col min="15373" max="15373" width="19.140625" style="81" bestFit="1" customWidth="1"/>
    <col min="15374" max="15612" width="9.140625" style="81"/>
    <col min="15613" max="15613" width="13.7109375" style="81" customWidth="1"/>
    <col min="15614" max="15614" width="16.7109375" style="81" customWidth="1"/>
    <col min="15615" max="15615" width="18.85546875" style="81" bestFit="1" customWidth="1"/>
    <col min="15616" max="15616" width="7" style="81" bestFit="1" customWidth="1"/>
    <col min="15617" max="15617" width="22.42578125" style="81" bestFit="1" customWidth="1"/>
    <col min="15618" max="15618" width="21.140625" style="81" bestFit="1" customWidth="1"/>
    <col min="15619" max="15619" width="30.28515625" style="81" bestFit="1" customWidth="1"/>
    <col min="15620" max="15620" width="27.42578125" style="81" bestFit="1" customWidth="1"/>
    <col min="15621" max="15621" width="18.42578125" style="81" customWidth="1"/>
    <col min="15622" max="15622" width="18.28515625" style="81" customWidth="1"/>
    <col min="15623" max="15623" width="26.28515625" style="81" bestFit="1" customWidth="1"/>
    <col min="15624" max="15624" width="13" style="81" bestFit="1" customWidth="1"/>
    <col min="15625" max="15625" width="13.28515625" style="81" bestFit="1" customWidth="1"/>
    <col min="15626" max="15626" width="12.85546875" style="81" bestFit="1" customWidth="1"/>
    <col min="15627" max="15627" width="20" style="81" bestFit="1" customWidth="1"/>
    <col min="15628" max="15628" width="16.85546875" style="81" bestFit="1" customWidth="1"/>
    <col min="15629" max="15629" width="19.140625" style="81" bestFit="1" customWidth="1"/>
    <col min="15630" max="15868" width="9.140625" style="81"/>
    <col min="15869" max="15869" width="13.7109375" style="81" customWidth="1"/>
    <col min="15870" max="15870" width="16.7109375" style="81" customWidth="1"/>
    <col min="15871" max="15871" width="18.85546875" style="81" bestFit="1" customWidth="1"/>
    <col min="15872" max="15872" width="7" style="81" bestFit="1" customWidth="1"/>
    <col min="15873" max="15873" width="22.42578125" style="81" bestFit="1" customWidth="1"/>
    <col min="15874" max="15874" width="21.140625" style="81" bestFit="1" customWidth="1"/>
    <col min="15875" max="15875" width="30.28515625" style="81" bestFit="1" customWidth="1"/>
    <col min="15876" max="15876" width="27.42578125" style="81" bestFit="1" customWidth="1"/>
    <col min="15877" max="15877" width="18.42578125" style="81" customWidth="1"/>
    <col min="15878" max="15878" width="18.28515625" style="81" customWidth="1"/>
    <col min="15879" max="15879" width="26.28515625" style="81" bestFit="1" customWidth="1"/>
    <col min="15880" max="15880" width="13" style="81" bestFit="1" customWidth="1"/>
    <col min="15881" max="15881" width="13.28515625" style="81" bestFit="1" customWidth="1"/>
    <col min="15882" max="15882" width="12.85546875" style="81" bestFit="1" customWidth="1"/>
    <col min="15883" max="15883" width="20" style="81" bestFit="1" customWidth="1"/>
    <col min="15884" max="15884" width="16.85546875" style="81" bestFit="1" customWidth="1"/>
    <col min="15885" max="15885" width="19.140625" style="81" bestFit="1" customWidth="1"/>
    <col min="15886" max="16124" width="9.140625" style="81"/>
    <col min="16125" max="16125" width="13.7109375" style="81" customWidth="1"/>
    <col min="16126" max="16126" width="16.7109375" style="81" customWidth="1"/>
    <col min="16127" max="16127" width="18.85546875" style="81" bestFit="1" customWidth="1"/>
    <col min="16128" max="16128" width="7" style="81" bestFit="1" customWidth="1"/>
    <col min="16129" max="16129" width="22.42578125" style="81" bestFit="1" customWidth="1"/>
    <col min="16130" max="16130" width="21.140625" style="81" bestFit="1" customWidth="1"/>
    <col min="16131" max="16131" width="30.28515625" style="81" bestFit="1" customWidth="1"/>
    <col min="16132" max="16132" width="27.42578125" style="81" bestFit="1" customWidth="1"/>
    <col min="16133" max="16133" width="18.42578125" style="81" customWidth="1"/>
    <col min="16134" max="16134" width="18.28515625" style="81" customWidth="1"/>
    <col min="16135" max="16135" width="26.28515625" style="81" bestFit="1" customWidth="1"/>
    <col min="16136" max="16136" width="13" style="81" bestFit="1" customWidth="1"/>
    <col min="16137" max="16137" width="13.28515625" style="81" bestFit="1" customWidth="1"/>
    <col min="16138" max="16138" width="12.85546875" style="81" bestFit="1" customWidth="1"/>
    <col min="16139" max="16139" width="20" style="81" bestFit="1" customWidth="1"/>
    <col min="16140" max="16140" width="16.85546875" style="81" bestFit="1" customWidth="1"/>
    <col min="16141" max="16141" width="19.140625" style="81" bestFit="1" customWidth="1"/>
    <col min="16142" max="16384" width="9.140625" style="81"/>
  </cols>
  <sheetData>
    <row r="1" spans="1:13" s="115" customFormat="1" ht="18.75" customHeight="1" x14ac:dyDescent="0.2">
      <c r="A1" s="113" t="s">
        <v>8284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s="43" customFormat="1" ht="9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</row>
    <row r="3" spans="1:13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</row>
    <row r="4" spans="1:13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116" t="s">
        <v>8153</v>
      </c>
      <c r="H4" s="50"/>
      <c r="I4" s="85"/>
      <c r="J4" s="86"/>
    </row>
    <row r="5" spans="1:13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</row>
    <row r="6" spans="1:13" s="60" customFormat="1" ht="6.75" customHeight="1" thickBot="1" x14ac:dyDescent="0.3">
      <c r="A6" s="58"/>
      <c r="B6" s="58"/>
      <c r="C6" s="58"/>
      <c r="D6" s="58"/>
      <c r="E6" s="59"/>
      <c r="F6" s="59"/>
      <c r="G6" s="58"/>
      <c r="H6" s="58"/>
      <c r="I6" s="58"/>
    </row>
    <row r="7" spans="1:13" s="42" customFormat="1" ht="25.5" customHeight="1" x14ac:dyDescent="0.2">
      <c r="A7" s="61"/>
      <c r="B7" s="117"/>
      <c r="C7" s="118" t="s">
        <v>8108</v>
      </c>
      <c r="D7" s="66"/>
      <c r="E7" s="119"/>
      <c r="F7" s="64" t="s">
        <v>8119</v>
      </c>
      <c r="G7" s="93"/>
      <c r="H7" s="93"/>
      <c r="I7" s="93"/>
      <c r="J7" s="93"/>
      <c r="K7" s="93"/>
      <c r="L7" s="93"/>
      <c r="M7" s="94"/>
    </row>
    <row r="8" spans="1:13" s="72" customFormat="1" ht="47.25" x14ac:dyDescent="0.25">
      <c r="A8" s="68" t="s">
        <v>8110</v>
      </c>
      <c r="B8" s="70" t="s">
        <v>3438</v>
      </c>
      <c r="C8" s="120" t="s">
        <v>8112</v>
      </c>
      <c r="D8" s="120" t="s">
        <v>8113</v>
      </c>
      <c r="E8" s="120" t="s">
        <v>8146</v>
      </c>
      <c r="F8" s="70" t="s">
        <v>8147</v>
      </c>
      <c r="G8" s="70" t="s">
        <v>8148</v>
      </c>
      <c r="H8" s="70" t="s">
        <v>8149</v>
      </c>
      <c r="I8" s="70" t="s">
        <v>8154</v>
      </c>
      <c r="J8" s="70" t="s">
        <v>8155</v>
      </c>
      <c r="K8" s="70" t="s">
        <v>8150</v>
      </c>
      <c r="L8" s="70" t="s">
        <v>8151</v>
      </c>
      <c r="M8" s="71" t="s">
        <v>8152</v>
      </c>
    </row>
    <row r="9" spans="1:13" s="77" customFormat="1" ht="17.45" customHeight="1" x14ac:dyDescent="0.25">
      <c r="A9" s="73"/>
      <c r="B9" s="74"/>
      <c r="C9" s="91"/>
      <c r="D9" s="75"/>
      <c r="E9" s="76"/>
      <c r="F9" s="76"/>
      <c r="G9" s="76"/>
      <c r="H9" s="75"/>
      <c r="I9" s="76"/>
      <c r="J9" s="76"/>
      <c r="K9" s="75"/>
      <c r="L9" s="73"/>
      <c r="M9" s="73"/>
    </row>
    <row r="10" spans="1:13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6"/>
      <c r="J10" s="76"/>
      <c r="K10" s="75"/>
      <c r="L10" s="73"/>
      <c r="M10" s="73"/>
    </row>
    <row r="11" spans="1:13" s="77" customFormat="1" ht="17.45" customHeight="1" x14ac:dyDescent="0.25">
      <c r="A11" s="73"/>
      <c r="B11" s="121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</row>
    <row r="12" spans="1:13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6"/>
      <c r="J12" s="76"/>
      <c r="K12" s="75"/>
      <c r="L12" s="73"/>
      <c r="M12" s="73"/>
    </row>
    <row r="13" spans="1:13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6"/>
      <c r="J13" s="76"/>
      <c r="K13" s="75"/>
      <c r="L13" s="73"/>
      <c r="M13" s="73"/>
    </row>
    <row r="14" spans="1:13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6"/>
      <c r="J14" s="76"/>
      <c r="K14" s="75"/>
      <c r="L14" s="73"/>
      <c r="M14" s="73"/>
    </row>
    <row r="15" spans="1:13" s="123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122"/>
      <c r="J15" s="122"/>
      <c r="K15" s="122"/>
      <c r="L15" s="122"/>
      <c r="M15" s="122"/>
    </row>
    <row r="16" spans="1:13" s="123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5"/>
      <c r="K16" s="75"/>
      <c r="L16" s="75"/>
      <c r="M16" s="75"/>
    </row>
    <row r="17" spans="1:13" s="123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5"/>
      <c r="K17" s="75"/>
      <c r="L17" s="75"/>
      <c r="M17" s="75"/>
    </row>
    <row r="18" spans="1:13" s="123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122"/>
      <c r="J18" s="122"/>
      <c r="K18" s="122"/>
      <c r="L18" s="122"/>
      <c r="M18" s="122"/>
    </row>
    <row r="19" spans="1:13" s="123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122"/>
      <c r="J19" s="122"/>
      <c r="K19" s="122"/>
      <c r="L19" s="122"/>
      <c r="M19" s="122"/>
    </row>
    <row r="20" spans="1:13" s="123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122"/>
      <c r="J20" s="122"/>
      <c r="K20" s="122"/>
      <c r="L20" s="122"/>
      <c r="M20" s="122"/>
    </row>
    <row r="21" spans="1:13" s="123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122"/>
      <c r="J21" s="122"/>
      <c r="K21" s="122"/>
      <c r="L21" s="122"/>
      <c r="M21" s="122"/>
    </row>
    <row r="22" spans="1:13" s="123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122"/>
      <c r="J22" s="122"/>
      <c r="K22" s="122"/>
      <c r="L22" s="122"/>
      <c r="M22" s="122"/>
    </row>
    <row r="23" spans="1:13" s="123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122"/>
      <c r="J23" s="122"/>
      <c r="K23" s="122"/>
      <c r="L23" s="122"/>
      <c r="M23" s="122"/>
    </row>
    <row r="24" spans="1:13" s="123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122"/>
      <c r="J24" s="122"/>
      <c r="K24" s="122"/>
      <c r="L24" s="122"/>
      <c r="M24" s="122"/>
    </row>
    <row r="25" spans="1:13" s="123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122"/>
      <c r="J25" s="122"/>
      <c r="K25" s="122"/>
      <c r="L25" s="122"/>
      <c r="M25" s="122"/>
    </row>
    <row r="26" spans="1:13" s="123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122"/>
      <c r="J26" s="122"/>
      <c r="K26" s="122"/>
      <c r="L26" s="122"/>
      <c r="M26" s="122"/>
    </row>
    <row r="27" spans="1:13" s="123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122"/>
      <c r="J27" s="122"/>
      <c r="K27" s="122"/>
      <c r="L27" s="122"/>
      <c r="M27" s="122"/>
    </row>
    <row r="28" spans="1:13" s="123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122"/>
      <c r="J28" s="122"/>
      <c r="K28" s="122"/>
      <c r="L28" s="122"/>
      <c r="M28" s="122"/>
    </row>
    <row r="29" spans="1:13" s="123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122"/>
      <c r="J29" s="122"/>
      <c r="K29" s="122"/>
      <c r="L29" s="122"/>
      <c r="M29" s="122"/>
    </row>
    <row r="30" spans="1:13" s="123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122"/>
      <c r="J30" s="122"/>
      <c r="K30" s="122"/>
      <c r="L30" s="122"/>
      <c r="M30" s="122"/>
    </row>
    <row r="31" spans="1:13" s="123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122"/>
      <c r="J31" s="122"/>
      <c r="K31" s="122"/>
      <c r="L31" s="122"/>
      <c r="M31" s="122"/>
    </row>
    <row r="32" spans="1:13" s="123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5"/>
      <c r="K32" s="75"/>
      <c r="L32" s="75"/>
      <c r="M32" s="75"/>
    </row>
    <row r="33" spans="1:13" s="123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5"/>
      <c r="K33" s="75"/>
      <c r="L33" s="75"/>
      <c r="M33" s="75"/>
    </row>
    <row r="34" spans="1:13" s="123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5"/>
      <c r="K34" s="75"/>
      <c r="L34" s="75"/>
      <c r="M34" s="75"/>
    </row>
    <row r="35" spans="1:13" s="123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5"/>
      <c r="K35" s="75"/>
      <c r="L35" s="75"/>
      <c r="M35" s="75"/>
    </row>
    <row r="36" spans="1:13" s="123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122"/>
      <c r="J36" s="122"/>
      <c r="K36" s="122"/>
      <c r="L36" s="122"/>
      <c r="M36" s="122"/>
    </row>
    <row r="37" spans="1:13" s="123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122"/>
      <c r="J37" s="122"/>
      <c r="K37" s="122"/>
      <c r="L37" s="122"/>
      <c r="M37" s="122"/>
    </row>
    <row r="38" spans="1:13" s="123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122"/>
      <c r="J38" s="122"/>
      <c r="K38" s="122"/>
      <c r="L38" s="122"/>
      <c r="M38" s="122"/>
    </row>
    <row r="39" spans="1:13" s="123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122"/>
      <c r="J39" s="122"/>
      <c r="K39" s="122"/>
      <c r="L39" s="122"/>
      <c r="M39" s="122"/>
    </row>
    <row r="40" spans="1:13" s="123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122"/>
      <c r="J40" s="122"/>
      <c r="K40" s="122"/>
      <c r="L40" s="122"/>
      <c r="M40" s="122"/>
    </row>
    <row r="41" spans="1:13" s="123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122"/>
      <c r="J41" s="122"/>
      <c r="K41" s="122"/>
      <c r="L41" s="122"/>
      <c r="M41" s="122"/>
    </row>
    <row r="42" spans="1:13" s="123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122"/>
      <c r="J42" s="122"/>
      <c r="K42" s="122"/>
      <c r="L42" s="122"/>
      <c r="M42" s="122"/>
    </row>
    <row r="43" spans="1:13" s="123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122"/>
      <c r="J43" s="122"/>
      <c r="K43" s="122"/>
      <c r="L43" s="122"/>
      <c r="M43" s="122"/>
    </row>
    <row r="44" spans="1:13" s="123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122"/>
      <c r="J44" s="122"/>
      <c r="K44" s="122"/>
      <c r="L44" s="122"/>
      <c r="M44" s="122"/>
    </row>
    <row r="45" spans="1:13" s="123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122"/>
      <c r="J45" s="122"/>
      <c r="K45" s="122"/>
      <c r="L45" s="122"/>
      <c r="M45" s="122"/>
    </row>
    <row r="46" spans="1:13" s="123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122"/>
      <c r="J46" s="122"/>
      <c r="K46" s="122"/>
      <c r="L46" s="122"/>
      <c r="M46" s="122"/>
    </row>
    <row r="47" spans="1:13" s="123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122"/>
      <c r="J47" s="122"/>
      <c r="K47" s="122"/>
      <c r="L47" s="122"/>
      <c r="M47" s="122"/>
    </row>
    <row r="48" spans="1:13" s="123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122"/>
      <c r="J48" s="122"/>
      <c r="K48" s="122"/>
      <c r="L48" s="122"/>
      <c r="M48" s="122"/>
    </row>
    <row r="49" spans="1:13" s="123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122"/>
      <c r="J49" s="122"/>
      <c r="K49" s="122"/>
      <c r="L49" s="122"/>
      <c r="M49" s="122"/>
    </row>
    <row r="50" spans="1:13" s="123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122"/>
      <c r="J50" s="122"/>
      <c r="K50" s="122"/>
      <c r="L50" s="122"/>
      <c r="M50" s="122"/>
    </row>
    <row r="51" spans="1:13" s="123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122"/>
      <c r="J51" s="122"/>
      <c r="K51" s="122"/>
      <c r="L51" s="122"/>
      <c r="M51" s="122"/>
    </row>
    <row r="52" spans="1:13" s="123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5"/>
      <c r="K52" s="75"/>
      <c r="L52" s="75"/>
      <c r="M52" s="75"/>
    </row>
    <row r="53" spans="1:13" s="123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5"/>
      <c r="K53" s="75"/>
      <c r="L53" s="75"/>
      <c r="M53" s="75"/>
    </row>
    <row r="54" spans="1:13" s="123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5"/>
      <c r="K54" s="75"/>
      <c r="L54" s="75"/>
      <c r="M54" s="75"/>
    </row>
    <row r="55" spans="1:13" s="123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122"/>
      <c r="J55" s="122"/>
      <c r="K55" s="122"/>
      <c r="L55" s="122"/>
      <c r="M55" s="122"/>
    </row>
    <row r="56" spans="1:13" s="123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122"/>
      <c r="J56" s="122"/>
      <c r="K56" s="122"/>
      <c r="L56" s="122"/>
      <c r="M56" s="122"/>
    </row>
    <row r="57" spans="1:13" s="123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122"/>
      <c r="J57" s="122"/>
      <c r="K57" s="122"/>
      <c r="L57" s="122"/>
      <c r="M57" s="122"/>
    </row>
    <row r="58" spans="1:13" s="123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122"/>
      <c r="J58" s="122"/>
      <c r="K58" s="122"/>
      <c r="L58" s="122"/>
      <c r="M58" s="122"/>
    </row>
    <row r="59" spans="1:13" s="123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122"/>
      <c r="J59" s="122"/>
      <c r="K59" s="122"/>
      <c r="L59" s="122"/>
      <c r="M59" s="122"/>
    </row>
    <row r="60" spans="1:13" s="123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122"/>
      <c r="J60" s="122"/>
      <c r="K60" s="122"/>
      <c r="L60" s="122"/>
      <c r="M60" s="122"/>
    </row>
    <row r="61" spans="1:13" s="123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122"/>
      <c r="J61" s="122"/>
      <c r="K61" s="122"/>
      <c r="L61" s="122"/>
      <c r="M61" s="122"/>
    </row>
    <row r="62" spans="1:13" s="123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122"/>
      <c r="J62" s="122"/>
      <c r="K62" s="122"/>
      <c r="L62" s="122"/>
      <c r="M62" s="122"/>
    </row>
    <row r="63" spans="1:13" s="123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122"/>
      <c r="J63" s="122"/>
      <c r="K63" s="122"/>
      <c r="L63" s="122"/>
      <c r="M63" s="122"/>
    </row>
    <row r="64" spans="1:13" s="123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122"/>
      <c r="J64" s="122"/>
      <c r="K64" s="122"/>
      <c r="L64" s="122"/>
      <c r="M64" s="122"/>
    </row>
    <row r="65" spans="1:13" s="123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122"/>
      <c r="J65" s="122"/>
      <c r="K65" s="122"/>
      <c r="L65" s="122"/>
      <c r="M65" s="122"/>
    </row>
    <row r="66" spans="1:13" s="123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122"/>
      <c r="J66" s="122"/>
      <c r="K66" s="122"/>
      <c r="L66" s="122"/>
      <c r="M66" s="122"/>
    </row>
    <row r="67" spans="1:13" s="123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122"/>
      <c r="J67" s="122"/>
      <c r="K67" s="122"/>
      <c r="L67" s="122"/>
      <c r="M67" s="122"/>
    </row>
    <row r="68" spans="1:13" s="123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122"/>
      <c r="J68" s="122"/>
      <c r="K68" s="122"/>
      <c r="L68" s="122"/>
      <c r="M68" s="122"/>
    </row>
    <row r="69" spans="1:13" s="123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122"/>
      <c r="J69" s="122"/>
      <c r="K69" s="122"/>
      <c r="L69" s="122"/>
      <c r="M69" s="122"/>
    </row>
    <row r="70" spans="1:13" s="123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122"/>
      <c r="J70" s="122"/>
      <c r="K70" s="122"/>
      <c r="L70" s="122"/>
      <c r="M70" s="122"/>
    </row>
    <row r="71" spans="1:13" s="123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122"/>
      <c r="J71" s="122"/>
      <c r="K71" s="122"/>
      <c r="L71" s="122"/>
      <c r="M71" s="122"/>
    </row>
    <row r="72" spans="1:13" s="123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5"/>
      <c r="K72" s="75"/>
      <c r="L72" s="75"/>
      <c r="M72" s="75"/>
    </row>
    <row r="73" spans="1:13" s="123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122"/>
      <c r="J73" s="122"/>
      <c r="K73" s="122"/>
      <c r="L73" s="122"/>
      <c r="M73" s="122"/>
    </row>
    <row r="74" spans="1:13" s="123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5"/>
      <c r="K74" s="75"/>
      <c r="L74" s="75"/>
      <c r="M74" s="75"/>
    </row>
    <row r="75" spans="1:13" s="123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5"/>
      <c r="K75" s="75"/>
      <c r="L75" s="75"/>
      <c r="M75" s="75"/>
    </row>
    <row r="76" spans="1:13" s="123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122"/>
      <c r="J76" s="122"/>
      <c r="K76" s="122"/>
      <c r="L76" s="122"/>
      <c r="M76" s="122"/>
    </row>
    <row r="77" spans="1:13" s="123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122"/>
      <c r="J77" s="122"/>
      <c r="K77" s="122"/>
      <c r="L77" s="122"/>
      <c r="M77" s="122"/>
    </row>
    <row r="78" spans="1:13" s="123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122"/>
      <c r="J78" s="122"/>
      <c r="K78" s="122"/>
      <c r="L78" s="122"/>
      <c r="M78" s="122"/>
    </row>
    <row r="79" spans="1:13" s="123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122"/>
      <c r="J79" s="122"/>
      <c r="K79" s="122"/>
      <c r="L79" s="122"/>
      <c r="M79" s="122"/>
    </row>
    <row r="80" spans="1:13" s="123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122"/>
      <c r="J80" s="122"/>
      <c r="K80" s="122"/>
      <c r="L80" s="122"/>
      <c r="M80" s="122"/>
    </row>
    <row r="81" spans="1:13" s="123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122"/>
      <c r="J81" s="122"/>
      <c r="K81" s="122"/>
      <c r="L81" s="122"/>
      <c r="M81" s="122"/>
    </row>
    <row r="82" spans="1:13" s="123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122"/>
      <c r="J82" s="122"/>
      <c r="K82" s="122"/>
      <c r="L82" s="122"/>
      <c r="M82" s="122"/>
    </row>
    <row r="83" spans="1:13" s="123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122"/>
      <c r="J83" s="122"/>
      <c r="K83" s="122"/>
      <c r="L83" s="122"/>
      <c r="M83" s="122"/>
    </row>
    <row r="84" spans="1:13" s="123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122"/>
      <c r="J84" s="122"/>
      <c r="K84" s="122"/>
      <c r="L84" s="122"/>
      <c r="M84" s="122"/>
    </row>
  </sheetData>
  <sheetProtection selectLockedCells="1"/>
  <protectedRanges>
    <protectedRange sqref="I9:K10 I12:K14" name="PreRetrofit"/>
    <protectedRange sqref="E12:H13" name="PreRetrofit_3"/>
    <protectedRange sqref="D9:D10 D12:D13" name="SpaceDescription_2"/>
    <protectedRange sqref="E9:H10" name="PreRetrofit_1_2"/>
  </protectedRanges>
  <dataValidations count="3">
    <dataValidation type="list" showInputMessage="1" showErrorMessage="1" sqref="IY9:IY14 SU9:SU14 ACQ9:ACQ14 AMM9:AMM14 AWI9:AWI14 BGE9:BGE14 BQA9:BQA14 BZW9:BZW14 CJS9:CJS14 CTO9:CTO14 DDK9:DDK14 DNG9:DNG14 DXC9:DXC14 EGY9:EGY14 EQU9:EQU14 FAQ9:FAQ14 FKM9:FKM14 FUI9:FUI14 GEE9:GEE14 GOA9:GOA14 GXW9:GXW14 HHS9:HHS14 HRO9:HRO14 IBK9:IBK14 ILG9:ILG14 IVC9:IVC14 JEY9:JEY14 JOU9:JOU14 JYQ9:JYQ14 KIM9:KIM14 KSI9:KSI14 LCE9:LCE14 LMA9:LMA14 LVW9:LVW14 MFS9:MFS14 MPO9:MPO14 MZK9:MZK14 NJG9:NJG14 NTC9:NTC14 OCY9:OCY14 OMU9:OMU14 OWQ9:OWQ14 PGM9:PGM14 PQI9:PQI14 QAE9:QAE14 QKA9:QKA14 QTW9:QTW14 RDS9:RDS14 RNO9:RNO14 RXK9:RXK14 SHG9:SHG14 SRC9:SRC14 TAY9:TAY14 TKU9:TKU14 TUQ9:TUQ14 UEM9:UEM14 UOI9:UOI14 UYE9:UYE14 VIA9:VIA14 VRW9:VRW14 WBS9:WBS14 WLO9:WLO14 WVK9:WVK14 IY65545:IY65550 SU65545:SU65550 ACQ65545:ACQ65550 AMM65545:AMM65550 AWI65545:AWI65550 BGE65545:BGE65550 BQA65545:BQA65550 BZW65545:BZW65550 CJS65545:CJS65550 CTO65545:CTO65550 DDK65545:DDK65550 DNG65545:DNG65550 DXC65545:DXC65550 EGY65545:EGY65550 EQU65545:EQU65550 FAQ65545:FAQ65550 FKM65545:FKM65550 FUI65545:FUI65550 GEE65545:GEE65550 GOA65545:GOA65550 GXW65545:GXW65550 HHS65545:HHS65550 HRO65545:HRO65550 IBK65545:IBK65550 ILG65545:ILG65550 IVC65545:IVC65550 JEY65545:JEY65550 JOU65545:JOU65550 JYQ65545:JYQ65550 KIM65545:KIM65550 KSI65545:KSI65550 LCE65545:LCE65550 LMA65545:LMA65550 LVW65545:LVW65550 MFS65545:MFS65550 MPO65545:MPO65550 MZK65545:MZK65550 NJG65545:NJG65550 NTC65545:NTC65550 OCY65545:OCY65550 OMU65545:OMU65550 OWQ65545:OWQ65550 PGM65545:PGM65550 PQI65545:PQI65550 QAE65545:QAE65550 QKA65545:QKA65550 QTW65545:QTW65550 RDS65545:RDS65550 RNO65545:RNO65550 RXK65545:RXK65550 SHG65545:SHG65550 SRC65545:SRC65550 TAY65545:TAY65550 TKU65545:TKU65550 TUQ65545:TUQ65550 UEM65545:UEM65550 UOI65545:UOI65550 UYE65545:UYE65550 VIA65545:VIA65550 VRW65545:VRW65550 WBS65545:WBS65550 WLO65545:WLO65550 WVK65545:WVK65550 IY131081:IY131086 SU131081:SU131086 ACQ131081:ACQ131086 AMM131081:AMM131086 AWI131081:AWI131086 BGE131081:BGE131086 BQA131081:BQA131086 BZW131081:BZW131086 CJS131081:CJS131086 CTO131081:CTO131086 DDK131081:DDK131086 DNG131081:DNG131086 DXC131081:DXC131086 EGY131081:EGY131086 EQU131081:EQU131086 FAQ131081:FAQ131086 FKM131081:FKM131086 FUI131081:FUI131086 GEE131081:GEE131086 GOA131081:GOA131086 GXW131081:GXW131086 HHS131081:HHS131086 HRO131081:HRO131086 IBK131081:IBK131086 ILG131081:ILG131086 IVC131081:IVC131086 JEY131081:JEY131086 JOU131081:JOU131086 JYQ131081:JYQ131086 KIM131081:KIM131086 KSI131081:KSI131086 LCE131081:LCE131086 LMA131081:LMA131086 LVW131081:LVW131086 MFS131081:MFS131086 MPO131081:MPO131086 MZK131081:MZK131086 NJG131081:NJG131086 NTC131081:NTC131086 OCY131081:OCY131086 OMU131081:OMU131086 OWQ131081:OWQ131086 PGM131081:PGM131086 PQI131081:PQI131086 QAE131081:QAE131086 QKA131081:QKA131086 QTW131081:QTW131086 RDS131081:RDS131086 RNO131081:RNO131086 RXK131081:RXK131086 SHG131081:SHG131086 SRC131081:SRC131086 TAY131081:TAY131086 TKU131081:TKU131086 TUQ131081:TUQ131086 UEM131081:UEM131086 UOI131081:UOI131086 UYE131081:UYE131086 VIA131081:VIA131086 VRW131081:VRW131086 WBS131081:WBS131086 WLO131081:WLO131086 WVK131081:WVK131086 IY196617:IY196622 SU196617:SU196622 ACQ196617:ACQ196622 AMM196617:AMM196622 AWI196617:AWI196622 BGE196617:BGE196622 BQA196617:BQA196622 BZW196617:BZW196622 CJS196617:CJS196622 CTO196617:CTO196622 DDK196617:DDK196622 DNG196617:DNG196622 DXC196617:DXC196622 EGY196617:EGY196622 EQU196617:EQU196622 FAQ196617:FAQ196622 FKM196617:FKM196622 FUI196617:FUI196622 GEE196617:GEE196622 GOA196617:GOA196622 GXW196617:GXW196622 HHS196617:HHS196622 HRO196617:HRO196622 IBK196617:IBK196622 ILG196617:ILG196622 IVC196617:IVC196622 JEY196617:JEY196622 JOU196617:JOU196622 JYQ196617:JYQ196622 KIM196617:KIM196622 KSI196617:KSI196622 LCE196617:LCE196622 LMA196617:LMA196622 LVW196617:LVW196622 MFS196617:MFS196622 MPO196617:MPO196622 MZK196617:MZK196622 NJG196617:NJG196622 NTC196617:NTC196622 OCY196617:OCY196622 OMU196617:OMU196622 OWQ196617:OWQ196622 PGM196617:PGM196622 PQI196617:PQI196622 QAE196617:QAE196622 QKA196617:QKA196622 QTW196617:QTW196622 RDS196617:RDS196622 RNO196617:RNO196622 RXK196617:RXK196622 SHG196617:SHG196622 SRC196617:SRC196622 TAY196617:TAY196622 TKU196617:TKU196622 TUQ196617:TUQ196622 UEM196617:UEM196622 UOI196617:UOI196622 UYE196617:UYE196622 VIA196617:VIA196622 VRW196617:VRW196622 WBS196617:WBS196622 WLO196617:WLO196622 WVK196617:WVK196622 IY262153:IY262158 SU262153:SU262158 ACQ262153:ACQ262158 AMM262153:AMM262158 AWI262153:AWI262158 BGE262153:BGE262158 BQA262153:BQA262158 BZW262153:BZW262158 CJS262153:CJS262158 CTO262153:CTO262158 DDK262153:DDK262158 DNG262153:DNG262158 DXC262153:DXC262158 EGY262153:EGY262158 EQU262153:EQU262158 FAQ262153:FAQ262158 FKM262153:FKM262158 FUI262153:FUI262158 GEE262153:GEE262158 GOA262153:GOA262158 GXW262153:GXW262158 HHS262153:HHS262158 HRO262153:HRO262158 IBK262153:IBK262158 ILG262153:ILG262158 IVC262153:IVC262158 JEY262153:JEY262158 JOU262153:JOU262158 JYQ262153:JYQ262158 KIM262153:KIM262158 KSI262153:KSI262158 LCE262153:LCE262158 LMA262153:LMA262158 LVW262153:LVW262158 MFS262153:MFS262158 MPO262153:MPO262158 MZK262153:MZK262158 NJG262153:NJG262158 NTC262153:NTC262158 OCY262153:OCY262158 OMU262153:OMU262158 OWQ262153:OWQ262158 PGM262153:PGM262158 PQI262153:PQI262158 QAE262153:QAE262158 QKA262153:QKA262158 QTW262153:QTW262158 RDS262153:RDS262158 RNO262153:RNO262158 RXK262153:RXK262158 SHG262153:SHG262158 SRC262153:SRC262158 TAY262153:TAY262158 TKU262153:TKU262158 TUQ262153:TUQ262158 UEM262153:UEM262158 UOI262153:UOI262158 UYE262153:UYE262158 VIA262153:VIA262158 VRW262153:VRW262158 WBS262153:WBS262158 WLO262153:WLO262158 WVK262153:WVK262158 IY327689:IY327694 SU327689:SU327694 ACQ327689:ACQ327694 AMM327689:AMM327694 AWI327689:AWI327694 BGE327689:BGE327694 BQA327689:BQA327694 BZW327689:BZW327694 CJS327689:CJS327694 CTO327689:CTO327694 DDK327689:DDK327694 DNG327689:DNG327694 DXC327689:DXC327694 EGY327689:EGY327694 EQU327689:EQU327694 FAQ327689:FAQ327694 FKM327689:FKM327694 FUI327689:FUI327694 GEE327689:GEE327694 GOA327689:GOA327694 GXW327689:GXW327694 HHS327689:HHS327694 HRO327689:HRO327694 IBK327689:IBK327694 ILG327689:ILG327694 IVC327689:IVC327694 JEY327689:JEY327694 JOU327689:JOU327694 JYQ327689:JYQ327694 KIM327689:KIM327694 KSI327689:KSI327694 LCE327689:LCE327694 LMA327689:LMA327694 LVW327689:LVW327694 MFS327689:MFS327694 MPO327689:MPO327694 MZK327689:MZK327694 NJG327689:NJG327694 NTC327689:NTC327694 OCY327689:OCY327694 OMU327689:OMU327694 OWQ327689:OWQ327694 PGM327689:PGM327694 PQI327689:PQI327694 QAE327689:QAE327694 QKA327689:QKA327694 QTW327689:QTW327694 RDS327689:RDS327694 RNO327689:RNO327694 RXK327689:RXK327694 SHG327689:SHG327694 SRC327689:SRC327694 TAY327689:TAY327694 TKU327689:TKU327694 TUQ327689:TUQ327694 UEM327689:UEM327694 UOI327689:UOI327694 UYE327689:UYE327694 VIA327689:VIA327694 VRW327689:VRW327694 WBS327689:WBS327694 WLO327689:WLO327694 WVK327689:WVK327694 IY393225:IY393230 SU393225:SU393230 ACQ393225:ACQ393230 AMM393225:AMM393230 AWI393225:AWI393230 BGE393225:BGE393230 BQA393225:BQA393230 BZW393225:BZW393230 CJS393225:CJS393230 CTO393225:CTO393230 DDK393225:DDK393230 DNG393225:DNG393230 DXC393225:DXC393230 EGY393225:EGY393230 EQU393225:EQU393230 FAQ393225:FAQ393230 FKM393225:FKM393230 FUI393225:FUI393230 GEE393225:GEE393230 GOA393225:GOA393230 GXW393225:GXW393230 HHS393225:HHS393230 HRO393225:HRO393230 IBK393225:IBK393230 ILG393225:ILG393230 IVC393225:IVC393230 JEY393225:JEY393230 JOU393225:JOU393230 JYQ393225:JYQ393230 KIM393225:KIM393230 KSI393225:KSI393230 LCE393225:LCE393230 LMA393225:LMA393230 LVW393225:LVW393230 MFS393225:MFS393230 MPO393225:MPO393230 MZK393225:MZK393230 NJG393225:NJG393230 NTC393225:NTC393230 OCY393225:OCY393230 OMU393225:OMU393230 OWQ393225:OWQ393230 PGM393225:PGM393230 PQI393225:PQI393230 QAE393225:QAE393230 QKA393225:QKA393230 QTW393225:QTW393230 RDS393225:RDS393230 RNO393225:RNO393230 RXK393225:RXK393230 SHG393225:SHG393230 SRC393225:SRC393230 TAY393225:TAY393230 TKU393225:TKU393230 TUQ393225:TUQ393230 UEM393225:UEM393230 UOI393225:UOI393230 UYE393225:UYE393230 VIA393225:VIA393230 VRW393225:VRW393230 WBS393225:WBS393230 WLO393225:WLO393230 WVK393225:WVK393230 IY458761:IY458766 SU458761:SU458766 ACQ458761:ACQ458766 AMM458761:AMM458766 AWI458761:AWI458766 BGE458761:BGE458766 BQA458761:BQA458766 BZW458761:BZW458766 CJS458761:CJS458766 CTO458761:CTO458766 DDK458761:DDK458766 DNG458761:DNG458766 DXC458761:DXC458766 EGY458761:EGY458766 EQU458761:EQU458766 FAQ458761:FAQ458766 FKM458761:FKM458766 FUI458761:FUI458766 GEE458761:GEE458766 GOA458761:GOA458766 GXW458761:GXW458766 HHS458761:HHS458766 HRO458761:HRO458766 IBK458761:IBK458766 ILG458761:ILG458766 IVC458761:IVC458766 JEY458761:JEY458766 JOU458761:JOU458766 JYQ458761:JYQ458766 KIM458761:KIM458766 KSI458761:KSI458766 LCE458761:LCE458766 LMA458761:LMA458766 LVW458761:LVW458766 MFS458761:MFS458766 MPO458761:MPO458766 MZK458761:MZK458766 NJG458761:NJG458766 NTC458761:NTC458766 OCY458761:OCY458766 OMU458761:OMU458766 OWQ458761:OWQ458766 PGM458761:PGM458766 PQI458761:PQI458766 QAE458761:QAE458766 QKA458761:QKA458766 QTW458761:QTW458766 RDS458761:RDS458766 RNO458761:RNO458766 RXK458761:RXK458766 SHG458761:SHG458766 SRC458761:SRC458766 TAY458761:TAY458766 TKU458761:TKU458766 TUQ458761:TUQ458766 UEM458761:UEM458766 UOI458761:UOI458766 UYE458761:UYE458766 VIA458761:VIA458766 VRW458761:VRW458766 WBS458761:WBS458766 WLO458761:WLO458766 WVK458761:WVK458766 IY524297:IY524302 SU524297:SU524302 ACQ524297:ACQ524302 AMM524297:AMM524302 AWI524297:AWI524302 BGE524297:BGE524302 BQA524297:BQA524302 BZW524297:BZW524302 CJS524297:CJS524302 CTO524297:CTO524302 DDK524297:DDK524302 DNG524297:DNG524302 DXC524297:DXC524302 EGY524297:EGY524302 EQU524297:EQU524302 FAQ524297:FAQ524302 FKM524297:FKM524302 FUI524297:FUI524302 GEE524297:GEE524302 GOA524297:GOA524302 GXW524297:GXW524302 HHS524297:HHS524302 HRO524297:HRO524302 IBK524297:IBK524302 ILG524297:ILG524302 IVC524297:IVC524302 JEY524297:JEY524302 JOU524297:JOU524302 JYQ524297:JYQ524302 KIM524297:KIM524302 KSI524297:KSI524302 LCE524297:LCE524302 LMA524297:LMA524302 LVW524297:LVW524302 MFS524297:MFS524302 MPO524297:MPO524302 MZK524297:MZK524302 NJG524297:NJG524302 NTC524297:NTC524302 OCY524297:OCY524302 OMU524297:OMU524302 OWQ524297:OWQ524302 PGM524297:PGM524302 PQI524297:PQI524302 QAE524297:QAE524302 QKA524297:QKA524302 QTW524297:QTW524302 RDS524297:RDS524302 RNO524297:RNO524302 RXK524297:RXK524302 SHG524297:SHG524302 SRC524297:SRC524302 TAY524297:TAY524302 TKU524297:TKU524302 TUQ524297:TUQ524302 UEM524297:UEM524302 UOI524297:UOI524302 UYE524297:UYE524302 VIA524297:VIA524302 VRW524297:VRW524302 WBS524297:WBS524302 WLO524297:WLO524302 WVK524297:WVK524302 IY589833:IY589838 SU589833:SU589838 ACQ589833:ACQ589838 AMM589833:AMM589838 AWI589833:AWI589838 BGE589833:BGE589838 BQA589833:BQA589838 BZW589833:BZW589838 CJS589833:CJS589838 CTO589833:CTO589838 DDK589833:DDK589838 DNG589833:DNG589838 DXC589833:DXC589838 EGY589833:EGY589838 EQU589833:EQU589838 FAQ589833:FAQ589838 FKM589833:FKM589838 FUI589833:FUI589838 GEE589833:GEE589838 GOA589833:GOA589838 GXW589833:GXW589838 HHS589833:HHS589838 HRO589833:HRO589838 IBK589833:IBK589838 ILG589833:ILG589838 IVC589833:IVC589838 JEY589833:JEY589838 JOU589833:JOU589838 JYQ589833:JYQ589838 KIM589833:KIM589838 KSI589833:KSI589838 LCE589833:LCE589838 LMA589833:LMA589838 LVW589833:LVW589838 MFS589833:MFS589838 MPO589833:MPO589838 MZK589833:MZK589838 NJG589833:NJG589838 NTC589833:NTC589838 OCY589833:OCY589838 OMU589833:OMU589838 OWQ589833:OWQ589838 PGM589833:PGM589838 PQI589833:PQI589838 QAE589833:QAE589838 QKA589833:QKA589838 QTW589833:QTW589838 RDS589833:RDS589838 RNO589833:RNO589838 RXK589833:RXK589838 SHG589833:SHG589838 SRC589833:SRC589838 TAY589833:TAY589838 TKU589833:TKU589838 TUQ589833:TUQ589838 UEM589833:UEM589838 UOI589833:UOI589838 UYE589833:UYE589838 VIA589833:VIA589838 VRW589833:VRW589838 WBS589833:WBS589838 WLO589833:WLO589838 WVK589833:WVK589838 IY655369:IY655374 SU655369:SU655374 ACQ655369:ACQ655374 AMM655369:AMM655374 AWI655369:AWI655374 BGE655369:BGE655374 BQA655369:BQA655374 BZW655369:BZW655374 CJS655369:CJS655374 CTO655369:CTO655374 DDK655369:DDK655374 DNG655369:DNG655374 DXC655369:DXC655374 EGY655369:EGY655374 EQU655369:EQU655374 FAQ655369:FAQ655374 FKM655369:FKM655374 FUI655369:FUI655374 GEE655369:GEE655374 GOA655369:GOA655374 GXW655369:GXW655374 HHS655369:HHS655374 HRO655369:HRO655374 IBK655369:IBK655374 ILG655369:ILG655374 IVC655369:IVC655374 JEY655369:JEY655374 JOU655369:JOU655374 JYQ655369:JYQ655374 KIM655369:KIM655374 KSI655369:KSI655374 LCE655369:LCE655374 LMA655369:LMA655374 LVW655369:LVW655374 MFS655369:MFS655374 MPO655369:MPO655374 MZK655369:MZK655374 NJG655369:NJG655374 NTC655369:NTC655374 OCY655369:OCY655374 OMU655369:OMU655374 OWQ655369:OWQ655374 PGM655369:PGM655374 PQI655369:PQI655374 QAE655369:QAE655374 QKA655369:QKA655374 QTW655369:QTW655374 RDS655369:RDS655374 RNO655369:RNO655374 RXK655369:RXK655374 SHG655369:SHG655374 SRC655369:SRC655374 TAY655369:TAY655374 TKU655369:TKU655374 TUQ655369:TUQ655374 UEM655369:UEM655374 UOI655369:UOI655374 UYE655369:UYE655374 VIA655369:VIA655374 VRW655369:VRW655374 WBS655369:WBS655374 WLO655369:WLO655374 WVK655369:WVK655374 IY720905:IY720910 SU720905:SU720910 ACQ720905:ACQ720910 AMM720905:AMM720910 AWI720905:AWI720910 BGE720905:BGE720910 BQA720905:BQA720910 BZW720905:BZW720910 CJS720905:CJS720910 CTO720905:CTO720910 DDK720905:DDK720910 DNG720905:DNG720910 DXC720905:DXC720910 EGY720905:EGY720910 EQU720905:EQU720910 FAQ720905:FAQ720910 FKM720905:FKM720910 FUI720905:FUI720910 GEE720905:GEE720910 GOA720905:GOA720910 GXW720905:GXW720910 HHS720905:HHS720910 HRO720905:HRO720910 IBK720905:IBK720910 ILG720905:ILG720910 IVC720905:IVC720910 JEY720905:JEY720910 JOU720905:JOU720910 JYQ720905:JYQ720910 KIM720905:KIM720910 KSI720905:KSI720910 LCE720905:LCE720910 LMA720905:LMA720910 LVW720905:LVW720910 MFS720905:MFS720910 MPO720905:MPO720910 MZK720905:MZK720910 NJG720905:NJG720910 NTC720905:NTC720910 OCY720905:OCY720910 OMU720905:OMU720910 OWQ720905:OWQ720910 PGM720905:PGM720910 PQI720905:PQI720910 QAE720905:QAE720910 QKA720905:QKA720910 QTW720905:QTW720910 RDS720905:RDS720910 RNO720905:RNO720910 RXK720905:RXK720910 SHG720905:SHG720910 SRC720905:SRC720910 TAY720905:TAY720910 TKU720905:TKU720910 TUQ720905:TUQ720910 UEM720905:UEM720910 UOI720905:UOI720910 UYE720905:UYE720910 VIA720905:VIA720910 VRW720905:VRW720910 WBS720905:WBS720910 WLO720905:WLO720910 WVK720905:WVK720910 IY786441:IY786446 SU786441:SU786446 ACQ786441:ACQ786446 AMM786441:AMM786446 AWI786441:AWI786446 BGE786441:BGE786446 BQA786441:BQA786446 BZW786441:BZW786446 CJS786441:CJS786446 CTO786441:CTO786446 DDK786441:DDK786446 DNG786441:DNG786446 DXC786441:DXC786446 EGY786441:EGY786446 EQU786441:EQU786446 FAQ786441:FAQ786446 FKM786441:FKM786446 FUI786441:FUI786446 GEE786441:GEE786446 GOA786441:GOA786446 GXW786441:GXW786446 HHS786441:HHS786446 HRO786441:HRO786446 IBK786441:IBK786446 ILG786441:ILG786446 IVC786441:IVC786446 JEY786441:JEY786446 JOU786441:JOU786446 JYQ786441:JYQ786446 KIM786441:KIM786446 KSI786441:KSI786446 LCE786441:LCE786446 LMA786441:LMA786446 LVW786441:LVW786446 MFS786441:MFS786446 MPO786441:MPO786446 MZK786441:MZK786446 NJG786441:NJG786446 NTC786441:NTC786446 OCY786441:OCY786446 OMU786441:OMU786446 OWQ786441:OWQ786446 PGM786441:PGM786446 PQI786441:PQI786446 QAE786441:QAE786446 QKA786441:QKA786446 QTW786441:QTW786446 RDS786441:RDS786446 RNO786441:RNO786446 RXK786441:RXK786446 SHG786441:SHG786446 SRC786441:SRC786446 TAY786441:TAY786446 TKU786441:TKU786446 TUQ786441:TUQ786446 UEM786441:UEM786446 UOI786441:UOI786446 UYE786441:UYE786446 VIA786441:VIA786446 VRW786441:VRW786446 WBS786441:WBS786446 WLO786441:WLO786446 WVK786441:WVK786446 IY851977:IY851982 SU851977:SU851982 ACQ851977:ACQ851982 AMM851977:AMM851982 AWI851977:AWI851982 BGE851977:BGE851982 BQA851977:BQA851982 BZW851977:BZW851982 CJS851977:CJS851982 CTO851977:CTO851982 DDK851977:DDK851982 DNG851977:DNG851982 DXC851977:DXC851982 EGY851977:EGY851982 EQU851977:EQU851982 FAQ851977:FAQ851982 FKM851977:FKM851982 FUI851977:FUI851982 GEE851977:GEE851982 GOA851977:GOA851982 GXW851977:GXW851982 HHS851977:HHS851982 HRO851977:HRO851982 IBK851977:IBK851982 ILG851977:ILG851982 IVC851977:IVC851982 JEY851977:JEY851982 JOU851977:JOU851982 JYQ851977:JYQ851982 KIM851977:KIM851982 KSI851977:KSI851982 LCE851977:LCE851982 LMA851977:LMA851982 LVW851977:LVW851982 MFS851977:MFS851982 MPO851977:MPO851982 MZK851977:MZK851982 NJG851977:NJG851982 NTC851977:NTC851982 OCY851977:OCY851982 OMU851977:OMU851982 OWQ851977:OWQ851982 PGM851977:PGM851982 PQI851977:PQI851982 QAE851977:QAE851982 QKA851977:QKA851982 QTW851977:QTW851982 RDS851977:RDS851982 RNO851977:RNO851982 RXK851977:RXK851982 SHG851977:SHG851982 SRC851977:SRC851982 TAY851977:TAY851982 TKU851977:TKU851982 TUQ851977:TUQ851982 UEM851977:UEM851982 UOI851977:UOI851982 UYE851977:UYE851982 VIA851977:VIA851982 VRW851977:VRW851982 WBS851977:WBS851982 WLO851977:WLO851982 WVK851977:WVK851982 IY917513:IY917518 SU917513:SU917518 ACQ917513:ACQ917518 AMM917513:AMM917518 AWI917513:AWI917518 BGE917513:BGE917518 BQA917513:BQA917518 BZW917513:BZW917518 CJS917513:CJS917518 CTO917513:CTO917518 DDK917513:DDK917518 DNG917513:DNG917518 DXC917513:DXC917518 EGY917513:EGY917518 EQU917513:EQU917518 FAQ917513:FAQ917518 FKM917513:FKM917518 FUI917513:FUI917518 GEE917513:GEE917518 GOA917513:GOA917518 GXW917513:GXW917518 HHS917513:HHS917518 HRO917513:HRO917518 IBK917513:IBK917518 ILG917513:ILG917518 IVC917513:IVC917518 JEY917513:JEY917518 JOU917513:JOU917518 JYQ917513:JYQ917518 KIM917513:KIM917518 KSI917513:KSI917518 LCE917513:LCE917518 LMA917513:LMA917518 LVW917513:LVW917518 MFS917513:MFS917518 MPO917513:MPO917518 MZK917513:MZK917518 NJG917513:NJG917518 NTC917513:NTC917518 OCY917513:OCY917518 OMU917513:OMU917518 OWQ917513:OWQ917518 PGM917513:PGM917518 PQI917513:PQI917518 QAE917513:QAE917518 QKA917513:QKA917518 QTW917513:QTW917518 RDS917513:RDS917518 RNO917513:RNO917518 RXK917513:RXK917518 SHG917513:SHG917518 SRC917513:SRC917518 TAY917513:TAY917518 TKU917513:TKU917518 TUQ917513:TUQ917518 UEM917513:UEM917518 UOI917513:UOI917518 UYE917513:UYE917518 VIA917513:VIA917518 VRW917513:VRW917518 WBS917513:WBS917518 WLO917513:WLO917518 WVK917513:WVK917518 IY983049:IY983054 SU983049:SU983054 ACQ983049:ACQ983054 AMM983049:AMM983054 AWI983049:AWI983054 BGE983049:BGE983054 BQA983049:BQA983054 BZW983049:BZW983054 CJS983049:CJS983054 CTO983049:CTO983054 DDK983049:DDK983054 DNG983049:DNG983054 DXC983049:DXC983054 EGY983049:EGY983054 EQU983049:EQU983054 FAQ983049:FAQ983054 FKM983049:FKM983054 FUI983049:FUI983054 GEE983049:GEE983054 GOA983049:GOA983054 GXW983049:GXW983054 HHS983049:HHS983054 HRO983049:HRO983054 IBK983049:IBK983054 ILG983049:ILG983054 IVC983049:IVC983054 JEY983049:JEY983054 JOU983049:JOU983054 JYQ983049:JYQ983054 KIM983049:KIM983054 KSI983049:KSI983054 LCE983049:LCE983054 LMA983049:LMA983054 LVW983049:LVW983054 MFS983049:MFS983054 MPO983049:MPO983054 MZK983049:MZK983054 NJG983049:NJG983054 NTC983049:NTC983054 OCY983049:OCY983054 OMU983049:OMU983054 OWQ983049:OWQ983054 PGM983049:PGM983054 PQI983049:PQI983054 QAE983049:QAE983054 QKA983049:QKA983054 QTW983049:QTW983054 RDS983049:RDS983054 RNO983049:RNO983054 RXK983049:RXK983054 SHG983049:SHG983054 SRC983049:SRC983054 TAY983049:TAY983054 TKU983049:TKU983054 TUQ983049:TUQ983054 UEM983049:UEM983054 UOI983049:UOI983054 UYE983049:UYE983054 VIA983049:VIA983054 VRW983049:VRW983054 WBS983049:WBS983054 WLO983049:WLO983054 WVK983049:WVK983054">
      <formula1>BldgType</formula1>
    </dataValidation>
    <dataValidation type="list" showInputMessage="1" showErrorMessage="1" sqref="WVS983049:WVS983054 JG9:JG14 TC9:TC14 ACY9:ACY14 AMU9:AMU14 AWQ9:AWQ14 BGM9:BGM14 BQI9:BQI14 CAE9:CAE14 CKA9:CKA14 CTW9:CTW14 DDS9:DDS14 DNO9:DNO14 DXK9:DXK14 EHG9:EHG14 ERC9:ERC14 FAY9:FAY14 FKU9:FKU14 FUQ9:FUQ14 GEM9:GEM14 GOI9:GOI14 GYE9:GYE14 HIA9:HIA14 HRW9:HRW14 IBS9:IBS14 ILO9:ILO14 IVK9:IVK14 JFG9:JFG14 JPC9:JPC14 JYY9:JYY14 KIU9:KIU14 KSQ9:KSQ14 LCM9:LCM14 LMI9:LMI14 LWE9:LWE14 MGA9:MGA14 MPW9:MPW14 MZS9:MZS14 NJO9:NJO14 NTK9:NTK14 ODG9:ODG14 ONC9:ONC14 OWY9:OWY14 PGU9:PGU14 PQQ9:PQQ14 QAM9:QAM14 QKI9:QKI14 QUE9:QUE14 REA9:REA14 RNW9:RNW14 RXS9:RXS14 SHO9:SHO14 SRK9:SRK14 TBG9:TBG14 TLC9:TLC14 TUY9:TUY14 UEU9:UEU14 UOQ9:UOQ14 UYM9:UYM14 VII9:VII14 VSE9:VSE14 WCA9:WCA14 WLW9:WLW14 WVS9:WVS14 K65545:K65550 JG65545:JG65550 TC65545:TC65550 ACY65545:ACY65550 AMU65545:AMU65550 AWQ65545:AWQ65550 BGM65545:BGM65550 BQI65545:BQI65550 CAE65545:CAE65550 CKA65545:CKA65550 CTW65545:CTW65550 DDS65545:DDS65550 DNO65545:DNO65550 DXK65545:DXK65550 EHG65545:EHG65550 ERC65545:ERC65550 FAY65545:FAY65550 FKU65545:FKU65550 FUQ65545:FUQ65550 GEM65545:GEM65550 GOI65545:GOI65550 GYE65545:GYE65550 HIA65545:HIA65550 HRW65545:HRW65550 IBS65545:IBS65550 ILO65545:ILO65550 IVK65545:IVK65550 JFG65545:JFG65550 JPC65545:JPC65550 JYY65545:JYY65550 KIU65545:KIU65550 KSQ65545:KSQ65550 LCM65545:LCM65550 LMI65545:LMI65550 LWE65545:LWE65550 MGA65545:MGA65550 MPW65545:MPW65550 MZS65545:MZS65550 NJO65545:NJO65550 NTK65545:NTK65550 ODG65545:ODG65550 ONC65545:ONC65550 OWY65545:OWY65550 PGU65545:PGU65550 PQQ65545:PQQ65550 QAM65545:QAM65550 QKI65545:QKI65550 QUE65545:QUE65550 REA65545:REA65550 RNW65545:RNW65550 RXS65545:RXS65550 SHO65545:SHO65550 SRK65545:SRK65550 TBG65545:TBG65550 TLC65545:TLC65550 TUY65545:TUY65550 UEU65545:UEU65550 UOQ65545:UOQ65550 UYM65545:UYM65550 VII65545:VII65550 VSE65545:VSE65550 WCA65545:WCA65550 WLW65545:WLW65550 WVS65545:WVS65550 K131081:K131086 JG131081:JG131086 TC131081:TC131086 ACY131081:ACY131086 AMU131081:AMU131086 AWQ131081:AWQ131086 BGM131081:BGM131086 BQI131081:BQI131086 CAE131081:CAE131086 CKA131081:CKA131086 CTW131081:CTW131086 DDS131081:DDS131086 DNO131081:DNO131086 DXK131081:DXK131086 EHG131081:EHG131086 ERC131081:ERC131086 FAY131081:FAY131086 FKU131081:FKU131086 FUQ131081:FUQ131086 GEM131081:GEM131086 GOI131081:GOI131086 GYE131081:GYE131086 HIA131081:HIA131086 HRW131081:HRW131086 IBS131081:IBS131086 ILO131081:ILO131086 IVK131081:IVK131086 JFG131081:JFG131086 JPC131081:JPC131086 JYY131081:JYY131086 KIU131081:KIU131086 KSQ131081:KSQ131086 LCM131081:LCM131086 LMI131081:LMI131086 LWE131081:LWE131086 MGA131081:MGA131086 MPW131081:MPW131086 MZS131081:MZS131086 NJO131081:NJO131086 NTK131081:NTK131086 ODG131081:ODG131086 ONC131081:ONC131086 OWY131081:OWY131086 PGU131081:PGU131086 PQQ131081:PQQ131086 QAM131081:QAM131086 QKI131081:QKI131086 QUE131081:QUE131086 REA131081:REA131086 RNW131081:RNW131086 RXS131081:RXS131086 SHO131081:SHO131086 SRK131081:SRK131086 TBG131081:TBG131086 TLC131081:TLC131086 TUY131081:TUY131086 UEU131081:UEU131086 UOQ131081:UOQ131086 UYM131081:UYM131086 VII131081:VII131086 VSE131081:VSE131086 WCA131081:WCA131086 WLW131081:WLW131086 WVS131081:WVS131086 K196617:K196622 JG196617:JG196622 TC196617:TC196622 ACY196617:ACY196622 AMU196617:AMU196622 AWQ196617:AWQ196622 BGM196617:BGM196622 BQI196617:BQI196622 CAE196617:CAE196622 CKA196617:CKA196622 CTW196617:CTW196622 DDS196617:DDS196622 DNO196617:DNO196622 DXK196617:DXK196622 EHG196617:EHG196622 ERC196617:ERC196622 FAY196617:FAY196622 FKU196617:FKU196622 FUQ196617:FUQ196622 GEM196617:GEM196622 GOI196617:GOI196622 GYE196617:GYE196622 HIA196617:HIA196622 HRW196617:HRW196622 IBS196617:IBS196622 ILO196617:ILO196622 IVK196617:IVK196622 JFG196617:JFG196622 JPC196617:JPC196622 JYY196617:JYY196622 KIU196617:KIU196622 KSQ196617:KSQ196622 LCM196617:LCM196622 LMI196617:LMI196622 LWE196617:LWE196622 MGA196617:MGA196622 MPW196617:MPW196622 MZS196617:MZS196622 NJO196617:NJO196622 NTK196617:NTK196622 ODG196617:ODG196622 ONC196617:ONC196622 OWY196617:OWY196622 PGU196617:PGU196622 PQQ196617:PQQ196622 QAM196617:QAM196622 QKI196617:QKI196622 QUE196617:QUE196622 REA196617:REA196622 RNW196617:RNW196622 RXS196617:RXS196622 SHO196617:SHO196622 SRK196617:SRK196622 TBG196617:TBG196622 TLC196617:TLC196622 TUY196617:TUY196622 UEU196617:UEU196622 UOQ196617:UOQ196622 UYM196617:UYM196622 VII196617:VII196622 VSE196617:VSE196622 WCA196617:WCA196622 WLW196617:WLW196622 WVS196617:WVS196622 K262153:K262158 JG262153:JG262158 TC262153:TC262158 ACY262153:ACY262158 AMU262153:AMU262158 AWQ262153:AWQ262158 BGM262153:BGM262158 BQI262153:BQI262158 CAE262153:CAE262158 CKA262153:CKA262158 CTW262153:CTW262158 DDS262153:DDS262158 DNO262153:DNO262158 DXK262153:DXK262158 EHG262153:EHG262158 ERC262153:ERC262158 FAY262153:FAY262158 FKU262153:FKU262158 FUQ262153:FUQ262158 GEM262153:GEM262158 GOI262153:GOI262158 GYE262153:GYE262158 HIA262153:HIA262158 HRW262153:HRW262158 IBS262153:IBS262158 ILO262153:ILO262158 IVK262153:IVK262158 JFG262153:JFG262158 JPC262153:JPC262158 JYY262153:JYY262158 KIU262153:KIU262158 KSQ262153:KSQ262158 LCM262153:LCM262158 LMI262153:LMI262158 LWE262153:LWE262158 MGA262153:MGA262158 MPW262153:MPW262158 MZS262153:MZS262158 NJO262153:NJO262158 NTK262153:NTK262158 ODG262153:ODG262158 ONC262153:ONC262158 OWY262153:OWY262158 PGU262153:PGU262158 PQQ262153:PQQ262158 QAM262153:QAM262158 QKI262153:QKI262158 QUE262153:QUE262158 REA262153:REA262158 RNW262153:RNW262158 RXS262153:RXS262158 SHO262153:SHO262158 SRK262153:SRK262158 TBG262153:TBG262158 TLC262153:TLC262158 TUY262153:TUY262158 UEU262153:UEU262158 UOQ262153:UOQ262158 UYM262153:UYM262158 VII262153:VII262158 VSE262153:VSE262158 WCA262153:WCA262158 WLW262153:WLW262158 WVS262153:WVS262158 K327689:K327694 JG327689:JG327694 TC327689:TC327694 ACY327689:ACY327694 AMU327689:AMU327694 AWQ327689:AWQ327694 BGM327689:BGM327694 BQI327689:BQI327694 CAE327689:CAE327694 CKA327689:CKA327694 CTW327689:CTW327694 DDS327689:DDS327694 DNO327689:DNO327694 DXK327689:DXK327694 EHG327689:EHG327694 ERC327689:ERC327694 FAY327689:FAY327694 FKU327689:FKU327694 FUQ327689:FUQ327694 GEM327689:GEM327694 GOI327689:GOI327694 GYE327689:GYE327694 HIA327689:HIA327694 HRW327689:HRW327694 IBS327689:IBS327694 ILO327689:ILO327694 IVK327689:IVK327694 JFG327689:JFG327694 JPC327689:JPC327694 JYY327689:JYY327694 KIU327689:KIU327694 KSQ327689:KSQ327694 LCM327689:LCM327694 LMI327689:LMI327694 LWE327689:LWE327694 MGA327689:MGA327694 MPW327689:MPW327694 MZS327689:MZS327694 NJO327689:NJO327694 NTK327689:NTK327694 ODG327689:ODG327694 ONC327689:ONC327694 OWY327689:OWY327694 PGU327689:PGU327694 PQQ327689:PQQ327694 QAM327689:QAM327694 QKI327689:QKI327694 QUE327689:QUE327694 REA327689:REA327694 RNW327689:RNW327694 RXS327689:RXS327694 SHO327689:SHO327694 SRK327689:SRK327694 TBG327689:TBG327694 TLC327689:TLC327694 TUY327689:TUY327694 UEU327689:UEU327694 UOQ327689:UOQ327694 UYM327689:UYM327694 VII327689:VII327694 VSE327689:VSE327694 WCA327689:WCA327694 WLW327689:WLW327694 WVS327689:WVS327694 K393225:K393230 JG393225:JG393230 TC393225:TC393230 ACY393225:ACY393230 AMU393225:AMU393230 AWQ393225:AWQ393230 BGM393225:BGM393230 BQI393225:BQI393230 CAE393225:CAE393230 CKA393225:CKA393230 CTW393225:CTW393230 DDS393225:DDS393230 DNO393225:DNO393230 DXK393225:DXK393230 EHG393225:EHG393230 ERC393225:ERC393230 FAY393225:FAY393230 FKU393225:FKU393230 FUQ393225:FUQ393230 GEM393225:GEM393230 GOI393225:GOI393230 GYE393225:GYE393230 HIA393225:HIA393230 HRW393225:HRW393230 IBS393225:IBS393230 ILO393225:ILO393230 IVK393225:IVK393230 JFG393225:JFG393230 JPC393225:JPC393230 JYY393225:JYY393230 KIU393225:KIU393230 KSQ393225:KSQ393230 LCM393225:LCM393230 LMI393225:LMI393230 LWE393225:LWE393230 MGA393225:MGA393230 MPW393225:MPW393230 MZS393225:MZS393230 NJO393225:NJO393230 NTK393225:NTK393230 ODG393225:ODG393230 ONC393225:ONC393230 OWY393225:OWY393230 PGU393225:PGU393230 PQQ393225:PQQ393230 QAM393225:QAM393230 QKI393225:QKI393230 QUE393225:QUE393230 REA393225:REA393230 RNW393225:RNW393230 RXS393225:RXS393230 SHO393225:SHO393230 SRK393225:SRK393230 TBG393225:TBG393230 TLC393225:TLC393230 TUY393225:TUY393230 UEU393225:UEU393230 UOQ393225:UOQ393230 UYM393225:UYM393230 VII393225:VII393230 VSE393225:VSE393230 WCA393225:WCA393230 WLW393225:WLW393230 WVS393225:WVS393230 K458761:K458766 JG458761:JG458766 TC458761:TC458766 ACY458761:ACY458766 AMU458761:AMU458766 AWQ458761:AWQ458766 BGM458761:BGM458766 BQI458761:BQI458766 CAE458761:CAE458766 CKA458761:CKA458766 CTW458761:CTW458766 DDS458761:DDS458766 DNO458761:DNO458766 DXK458761:DXK458766 EHG458761:EHG458766 ERC458761:ERC458766 FAY458761:FAY458766 FKU458761:FKU458766 FUQ458761:FUQ458766 GEM458761:GEM458766 GOI458761:GOI458766 GYE458761:GYE458766 HIA458761:HIA458766 HRW458761:HRW458766 IBS458761:IBS458766 ILO458761:ILO458766 IVK458761:IVK458766 JFG458761:JFG458766 JPC458761:JPC458766 JYY458761:JYY458766 KIU458761:KIU458766 KSQ458761:KSQ458766 LCM458761:LCM458766 LMI458761:LMI458766 LWE458761:LWE458766 MGA458761:MGA458766 MPW458761:MPW458766 MZS458761:MZS458766 NJO458761:NJO458766 NTK458761:NTK458766 ODG458761:ODG458766 ONC458761:ONC458766 OWY458761:OWY458766 PGU458761:PGU458766 PQQ458761:PQQ458766 QAM458761:QAM458766 QKI458761:QKI458766 QUE458761:QUE458766 REA458761:REA458766 RNW458761:RNW458766 RXS458761:RXS458766 SHO458761:SHO458766 SRK458761:SRK458766 TBG458761:TBG458766 TLC458761:TLC458766 TUY458761:TUY458766 UEU458761:UEU458766 UOQ458761:UOQ458766 UYM458761:UYM458766 VII458761:VII458766 VSE458761:VSE458766 WCA458761:WCA458766 WLW458761:WLW458766 WVS458761:WVS458766 K524297:K524302 JG524297:JG524302 TC524297:TC524302 ACY524297:ACY524302 AMU524297:AMU524302 AWQ524297:AWQ524302 BGM524297:BGM524302 BQI524297:BQI524302 CAE524297:CAE524302 CKA524297:CKA524302 CTW524297:CTW524302 DDS524297:DDS524302 DNO524297:DNO524302 DXK524297:DXK524302 EHG524297:EHG524302 ERC524297:ERC524302 FAY524297:FAY524302 FKU524297:FKU524302 FUQ524297:FUQ524302 GEM524297:GEM524302 GOI524297:GOI524302 GYE524297:GYE524302 HIA524297:HIA524302 HRW524297:HRW524302 IBS524297:IBS524302 ILO524297:ILO524302 IVK524297:IVK524302 JFG524297:JFG524302 JPC524297:JPC524302 JYY524297:JYY524302 KIU524297:KIU524302 KSQ524297:KSQ524302 LCM524297:LCM524302 LMI524297:LMI524302 LWE524297:LWE524302 MGA524297:MGA524302 MPW524297:MPW524302 MZS524297:MZS524302 NJO524297:NJO524302 NTK524297:NTK524302 ODG524297:ODG524302 ONC524297:ONC524302 OWY524297:OWY524302 PGU524297:PGU524302 PQQ524297:PQQ524302 QAM524297:QAM524302 QKI524297:QKI524302 QUE524297:QUE524302 REA524297:REA524302 RNW524297:RNW524302 RXS524297:RXS524302 SHO524297:SHO524302 SRK524297:SRK524302 TBG524297:TBG524302 TLC524297:TLC524302 TUY524297:TUY524302 UEU524297:UEU524302 UOQ524297:UOQ524302 UYM524297:UYM524302 VII524297:VII524302 VSE524297:VSE524302 WCA524297:WCA524302 WLW524297:WLW524302 WVS524297:WVS524302 K589833:K589838 JG589833:JG589838 TC589833:TC589838 ACY589833:ACY589838 AMU589833:AMU589838 AWQ589833:AWQ589838 BGM589833:BGM589838 BQI589833:BQI589838 CAE589833:CAE589838 CKA589833:CKA589838 CTW589833:CTW589838 DDS589833:DDS589838 DNO589833:DNO589838 DXK589833:DXK589838 EHG589833:EHG589838 ERC589833:ERC589838 FAY589833:FAY589838 FKU589833:FKU589838 FUQ589833:FUQ589838 GEM589833:GEM589838 GOI589833:GOI589838 GYE589833:GYE589838 HIA589833:HIA589838 HRW589833:HRW589838 IBS589833:IBS589838 ILO589833:ILO589838 IVK589833:IVK589838 JFG589833:JFG589838 JPC589833:JPC589838 JYY589833:JYY589838 KIU589833:KIU589838 KSQ589833:KSQ589838 LCM589833:LCM589838 LMI589833:LMI589838 LWE589833:LWE589838 MGA589833:MGA589838 MPW589833:MPW589838 MZS589833:MZS589838 NJO589833:NJO589838 NTK589833:NTK589838 ODG589833:ODG589838 ONC589833:ONC589838 OWY589833:OWY589838 PGU589833:PGU589838 PQQ589833:PQQ589838 QAM589833:QAM589838 QKI589833:QKI589838 QUE589833:QUE589838 REA589833:REA589838 RNW589833:RNW589838 RXS589833:RXS589838 SHO589833:SHO589838 SRK589833:SRK589838 TBG589833:TBG589838 TLC589833:TLC589838 TUY589833:TUY589838 UEU589833:UEU589838 UOQ589833:UOQ589838 UYM589833:UYM589838 VII589833:VII589838 VSE589833:VSE589838 WCA589833:WCA589838 WLW589833:WLW589838 WVS589833:WVS589838 K655369:K655374 JG655369:JG655374 TC655369:TC655374 ACY655369:ACY655374 AMU655369:AMU655374 AWQ655369:AWQ655374 BGM655369:BGM655374 BQI655369:BQI655374 CAE655369:CAE655374 CKA655369:CKA655374 CTW655369:CTW655374 DDS655369:DDS655374 DNO655369:DNO655374 DXK655369:DXK655374 EHG655369:EHG655374 ERC655369:ERC655374 FAY655369:FAY655374 FKU655369:FKU655374 FUQ655369:FUQ655374 GEM655369:GEM655374 GOI655369:GOI655374 GYE655369:GYE655374 HIA655369:HIA655374 HRW655369:HRW655374 IBS655369:IBS655374 ILO655369:ILO655374 IVK655369:IVK655374 JFG655369:JFG655374 JPC655369:JPC655374 JYY655369:JYY655374 KIU655369:KIU655374 KSQ655369:KSQ655374 LCM655369:LCM655374 LMI655369:LMI655374 LWE655369:LWE655374 MGA655369:MGA655374 MPW655369:MPW655374 MZS655369:MZS655374 NJO655369:NJO655374 NTK655369:NTK655374 ODG655369:ODG655374 ONC655369:ONC655374 OWY655369:OWY655374 PGU655369:PGU655374 PQQ655369:PQQ655374 QAM655369:QAM655374 QKI655369:QKI655374 QUE655369:QUE655374 REA655369:REA655374 RNW655369:RNW655374 RXS655369:RXS655374 SHO655369:SHO655374 SRK655369:SRK655374 TBG655369:TBG655374 TLC655369:TLC655374 TUY655369:TUY655374 UEU655369:UEU655374 UOQ655369:UOQ655374 UYM655369:UYM655374 VII655369:VII655374 VSE655369:VSE655374 WCA655369:WCA655374 WLW655369:WLW655374 WVS655369:WVS655374 K720905:K720910 JG720905:JG720910 TC720905:TC720910 ACY720905:ACY720910 AMU720905:AMU720910 AWQ720905:AWQ720910 BGM720905:BGM720910 BQI720905:BQI720910 CAE720905:CAE720910 CKA720905:CKA720910 CTW720905:CTW720910 DDS720905:DDS720910 DNO720905:DNO720910 DXK720905:DXK720910 EHG720905:EHG720910 ERC720905:ERC720910 FAY720905:FAY720910 FKU720905:FKU720910 FUQ720905:FUQ720910 GEM720905:GEM720910 GOI720905:GOI720910 GYE720905:GYE720910 HIA720905:HIA720910 HRW720905:HRW720910 IBS720905:IBS720910 ILO720905:ILO720910 IVK720905:IVK720910 JFG720905:JFG720910 JPC720905:JPC720910 JYY720905:JYY720910 KIU720905:KIU720910 KSQ720905:KSQ720910 LCM720905:LCM720910 LMI720905:LMI720910 LWE720905:LWE720910 MGA720905:MGA720910 MPW720905:MPW720910 MZS720905:MZS720910 NJO720905:NJO720910 NTK720905:NTK720910 ODG720905:ODG720910 ONC720905:ONC720910 OWY720905:OWY720910 PGU720905:PGU720910 PQQ720905:PQQ720910 QAM720905:QAM720910 QKI720905:QKI720910 QUE720905:QUE720910 REA720905:REA720910 RNW720905:RNW720910 RXS720905:RXS720910 SHO720905:SHO720910 SRK720905:SRK720910 TBG720905:TBG720910 TLC720905:TLC720910 TUY720905:TUY720910 UEU720905:UEU720910 UOQ720905:UOQ720910 UYM720905:UYM720910 VII720905:VII720910 VSE720905:VSE720910 WCA720905:WCA720910 WLW720905:WLW720910 WVS720905:WVS720910 K786441:K786446 JG786441:JG786446 TC786441:TC786446 ACY786441:ACY786446 AMU786441:AMU786446 AWQ786441:AWQ786446 BGM786441:BGM786446 BQI786441:BQI786446 CAE786441:CAE786446 CKA786441:CKA786446 CTW786441:CTW786446 DDS786441:DDS786446 DNO786441:DNO786446 DXK786441:DXK786446 EHG786441:EHG786446 ERC786441:ERC786446 FAY786441:FAY786446 FKU786441:FKU786446 FUQ786441:FUQ786446 GEM786441:GEM786446 GOI786441:GOI786446 GYE786441:GYE786446 HIA786441:HIA786446 HRW786441:HRW786446 IBS786441:IBS786446 ILO786441:ILO786446 IVK786441:IVK786446 JFG786441:JFG786446 JPC786441:JPC786446 JYY786441:JYY786446 KIU786441:KIU786446 KSQ786441:KSQ786446 LCM786441:LCM786446 LMI786441:LMI786446 LWE786441:LWE786446 MGA786441:MGA786446 MPW786441:MPW786446 MZS786441:MZS786446 NJO786441:NJO786446 NTK786441:NTK786446 ODG786441:ODG786446 ONC786441:ONC786446 OWY786441:OWY786446 PGU786441:PGU786446 PQQ786441:PQQ786446 QAM786441:QAM786446 QKI786441:QKI786446 QUE786441:QUE786446 REA786441:REA786446 RNW786441:RNW786446 RXS786441:RXS786446 SHO786441:SHO786446 SRK786441:SRK786446 TBG786441:TBG786446 TLC786441:TLC786446 TUY786441:TUY786446 UEU786441:UEU786446 UOQ786441:UOQ786446 UYM786441:UYM786446 VII786441:VII786446 VSE786441:VSE786446 WCA786441:WCA786446 WLW786441:WLW786446 WVS786441:WVS786446 K851977:K851982 JG851977:JG851982 TC851977:TC851982 ACY851977:ACY851982 AMU851977:AMU851982 AWQ851977:AWQ851982 BGM851977:BGM851982 BQI851977:BQI851982 CAE851977:CAE851982 CKA851977:CKA851982 CTW851977:CTW851982 DDS851977:DDS851982 DNO851977:DNO851982 DXK851977:DXK851982 EHG851977:EHG851982 ERC851977:ERC851982 FAY851977:FAY851982 FKU851977:FKU851982 FUQ851977:FUQ851982 GEM851977:GEM851982 GOI851977:GOI851982 GYE851977:GYE851982 HIA851977:HIA851982 HRW851977:HRW851982 IBS851977:IBS851982 ILO851977:ILO851982 IVK851977:IVK851982 JFG851977:JFG851982 JPC851977:JPC851982 JYY851977:JYY851982 KIU851977:KIU851982 KSQ851977:KSQ851982 LCM851977:LCM851982 LMI851977:LMI851982 LWE851977:LWE851982 MGA851977:MGA851982 MPW851977:MPW851982 MZS851977:MZS851982 NJO851977:NJO851982 NTK851977:NTK851982 ODG851977:ODG851982 ONC851977:ONC851982 OWY851977:OWY851982 PGU851977:PGU851982 PQQ851977:PQQ851982 QAM851977:QAM851982 QKI851977:QKI851982 QUE851977:QUE851982 REA851977:REA851982 RNW851977:RNW851982 RXS851977:RXS851982 SHO851977:SHO851982 SRK851977:SRK851982 TBG851977:TBG851982 TLC851977:TLC851982 TUY851977:TUY851982 UEU851977:UEU851982 UOQ851977:UOQ851982 UYM851977:UYM851982 VII851977:VII851982 VSE851977:VSE851982 WCA851977:WCA851982 WLW851977:WLW851982 WVS851977:WVS851982 K917513:K917518 JG917513:JG917518 TC917513:TC917518 ACY917513:ACY917518 AMU917513:AMU917518 AWQ917513:AWQ917518 BGM917513:BGM917518 BQI917513:BQI917518 CAE917513:CAE917518 CKA917513:CKA917518 CTW917513:CTW917518 DDS917513:DDS917518 DNO917513:DNO917518 DXK917513:DXK917518 EHG917513:EHG917518 ERC917513:ERC917518 FAY917513:FAY917518 FKU917513:FKU917518 FUQ917513:FUQ917518 GEM917513:GEM917518 GOI917513:GOI917518 GYE917513:GYE917518 HIA917513:HIA917518 HRW917513:HRW917518 IBS917513:IBS917518 ILO917513:ILO917518 IVK917513:IVK917518 JFG917513:JFG917518 JPC917513:JPC917518 JYY917513:JYY917518 KIU917513:KIU917518 KSQ917513:KSQ917518 LCM917513:LCM917518 LMI917513:LMI917518 LWE917513:LWE917518 MGA917513:MGA917518 MPW917513:MPW917518 MZS917513:MZS917518 NJO917513:NJO917518 NTK917513:NTK917518 ODG917513:ODG917518 ONC917513:ONC917518 OWY917513:OWY917518 PGU917513:PGU917518 PQQ917513:PQQ917518 QAM917513:QAM917518 QKI917513:QKI917518 QUE917513:QUE917518 REA917513:REA917518 RNW917513:RNW917518 RXS917513:RXS917518 SHO917513:SHO917518 SRK917513:SRK917518 TBG917513:TBG917518 TLC917513:TLC917518 TUY917513:TUY917518 UEU917513:UEU917518 UOQ917513:UOQ917518 UYM917513:UYM917518 VII917513:VII917518 VSE917513:VSE917518 WCA917513:WCA917518 WLW917513:WLW917518 WVS917513:WVS917518 K983049:K983054 JG983049:JG983054 TC983049:TC983054 ACY983049:ACY983054 AMU983049:AMU983054 AWQ983049:AWQ983054 BGM983049:BGM983054 BQI983049:BQI983054 CAE983049:CAE983054 CKA983049:CKA983054 CTW983049:CTW983054 DDS983049:DDS983054 DNO983049:DNO983054 DXK983049:DXK983054 EHG983049:EHG983054 ERC983049:ERC983054 FAY983049:FAY983054 FKU983049:FKU983054 FUQ983049:FUQ983054 GEM983049:GEM983054 GOI983049:GOI983054 GYE983049:GYE983054 HIA983049:HIA983054 HRW983049:HRW983054 IBS983049:IBS983054 ILO983049:ILO983054 IVK983049:IVK983054 JFG983049:JFG983054 JPC983049:JPC983054 JYY983049:JYY983054 KIU983049:KIU983054 KSQ983049:KSQ983054 LCM983049:LCM983054 LMI983049:LMI983054 LWE983049:LWE983054 MGA983049:MGA983054 MPW983049:MPW983054 MZS983049:MZS983054 NJO983049:NJO983054 NTK983049:NTK983054 ODG983049:ODG983054 ONC983049:ONC983054 OWY983049:OWY983054 PGU983049:PGU983054 PQQ983049:PQQ983054 QAM983049:QAM983054 QKI983049:QKI983054 QUE983049:QUE983054 REA983049:REA983054 RNW983049:RNW983054 RXS983049:RXS983054 SHO983049:SHO983054 SRK983049:SRK983054 TBG983049:TBG983054 TLC983049:TLC983054 TUY983049:TUY983054 UEU983049:UEU983054 UOQ983049:UOQ983054 UYM983049:UYM983054 VII983049:VII983054 VSE983049:VSE983054 WCA983049:WCA983054 WLW983049:WLW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D65545:D65550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D131081:D131086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D196617:D196622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D262153:D262158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D327689:D327694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D393225:D393230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D458761:D458766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D524297:D524302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D589833:D589838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D655369:D655374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D720905:D720910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D786441:D786446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D851977:D851982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D917513:D917518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D983049:D983054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AC_Type</formula1>
    </dataValidation>
  </dataValidations>
  <printOptions horizontalCentered="1"/>
  <pageMargins left="0.57999999999999996" right="0.51" top="0.75" bottom="0.74" header="0.5" footer="0.5"/>
  <pageSetup scale="41" fitToHeight="0" pageOrder="overThenDown" orientation="landscape" r:id="rId1"/>
  <headerFooter alignWithMargins="0">
    <oddFooter>&amp;L&amp;9&amp;F&amp;CPage &amp;P&amp;R&amp;9&amp;D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2000"/>
  <sheetViews>
    <sheetView showGridLines="0" view="pageBreakPreview" zoomScale="70" zoomScaleNormal="100" zoomScaleSheetLayoutView="70" workbookViewId="0">
      <selection activeCell="E5" sqref="E5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8102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2000"/>
  <sheetViews>
    <sheetView showGridLines="0" view="pageBreakPreview" zoomScale="70" zoomScaleNormal="100" zoomScaleSheetLayoutView="70" workbookViewId="0">
      <selection activeCell="E14" sqref="E14"/>
    </sheetView>
  </sheetViews>
  <sheetFormatPr defaultRowHeight="15" x14ac:dyDescent="0.25"/>
  <cols>
    <col min="1" max="1" width="13.28515625" style="81" customWidth="1"/>
    <col min="2" max="2" width="14.28515625" style="81" customWidth="1"/>
    <col min="3" max="3" width="24.140625" style="81" customWidth="1"/>
    <col min="4" max="4" width="23.7109375" style="81" customWidth="1"/>
    <col min="5" max="6" width="53.42578125" style="81" customWidth="1"/>
    <col min="7" max="7" width="16.85546875" style="81" customWidth="1"/>
    <col min="8" max="8" width="16.28515625" style="81" customWidth="1"/>
    <col min="9" max="9" width="15.7109375" style="81" customWidth="1"/>
    <col min="10" max="10" width="14.42578125" style="81" customWidth="1"/>
    <col min="11" max="11" width="36.140625" style="81" customWidth="1"/>
    <col min="12" max="12" width="13" style="81" bestFit="1" customWidth="1"/>
    <col min="13" max="13" width="15" style="81" bestFit="1" customWidth="1"/>
    <col min="14" max="14" width="13.140625" style="81" customWidth="1"/>
    <col min="15" max="15" width="50" style="81" customWidth="1"/>
    <col min="16" max="16384" width="9.140625" style="81"/>
  </cols>
  <sheetData>
    <row r="1" spans="1:15" s="42" customFormat="1" ht="18.75" customHeight="1" x14ac:dyDescent="0.2">
      <c r="A1" s="105" t="s">
        <v>8286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  <c r="M1" s="107"/>
      <c r="N1" s="107"/>
      <c r="O1" s="107"/>
    </row>
    <row r="2" spans="1:15" s="43" customFormat="1" ht="6" customHeight="1" thickBot="1" x14ac:dyDescent="0.25">
      <c r="B2" s="44"/>
      <c r="C2" s="44"/>
      <c r="D2" s="44"/>
      <c r="E2" s="44"/>
      <c r="F2" s="44"/>
      <c r="G2" s="44"/>
      <c r="H2" s="44"/>
      <c r="I2" s="44"/>
      <c r="J2" s="44"/>
      <c r="K2" s="107"/>
      <c r="L2" s="44"/>
      <c r="M2" s="44"/>
    </row>
    <row r="3" spans="1:15" s="42" customFormat="1" ht="20.25" customHeight="1" thickBot="1" x14ac:dyDescent="0.25">
      <c r="A3" s="45"/>
      <c r="B3" s="46" t="s">
        <v>8130</v>
      </c>
      <c r="C3" s="47"/>
      <c r="D3" s="48"/>
      <c r="E3" s="46" t="s">
        <v>8103</v>
      </c>
      <c r="F3" s="47"/>
      <c r="G3" s="49"/>
      <c r="H3" s="50"/>
      <c r="I3" s="85"/>
      <c r="J3" s="86"/>
      <c r="K3" s="108"/>
      <c r="L3" s="108"/>
    </row>
    <row r="4" spans="1:15" s="42" customFormat="1" ht="20.25" customHeight="1" thickBot="1" x14ac:dyDescent="0.25">
      <c r="A4" s="45"/>
      <c r="B4" s="46" t="s">
        <v>8104</v>
      </c>
      <c r="C4" s="47"/>
      <c r="D4" s="48"/>
      <c r="E4" s="46" t="s">
        <v>8105</v>
      </c>
      <c r="F4" s="47"/>
      <c r="G4" s="49"/>
      <c r="H4" s="50"/>
      <c r="I4" s="85"/>
      <c r="J4" s="86"/>
      <c r="K4" s="108"/>
      <c r="L4" s="108"/>
    </row>
    <row r="5" spans="1:15" s="42" customFormat="1" ht="20.25" customHeight="1" thickBot="1" x14ac:dyDescent="0.25">
      <c r="A5" s="52"/>
      <c r="B5" s="46" t="s">
        <v>8106</v>
      </c>
      <c r="C5" s="53"/>
      <c r="D5" s="48"/>
      <c r="E5" s="46" t="s">
        <v>8107</v>
      </c>
      <c r="F5" s="54"/>
      <c r="G5" s="55"/>
      <c r="H5" s="56"/>
      <c r="I5" s="87"/>
      <c r="J5" s="88"/>
      <c r="K5" s="108"/>
      <c r="L5" s="108"/>
    </row>
    <row r="6" spans="1:15" s="60" customFormat="1" ht="6.75" customHeight="1" thickBot="1" x14ac:dyDescent="0.3">
      <c r="A6" s="58"/>
      <c r="B6" s="58"/>
      <c r="C6" s="58"/>
      <c r="D6" s="58"/>
      <c r="E6" s="58"/>
      <c r="F6" s="58"/>
      <c r="G6" s="58"/>
      <c r="H6" s="58"/>
      <c r="I6" s="59"/>
      <c r="J6" s="59"/>
      <c r="K6" s="58"/>
      <c r="L6" s="58"/>
    </row>
    <row r="7" spans="1:15" s="42" customFormat="1" ht="25.5" customHeight="1" x14ac:dyDescent="0.2">
      <c r="A7" s="61"/>
      <c r="B7" s="63"/>
      <c r="C7" s="66" t="s">
        <v>8108</v>
      </c>
      <c r="D7" s="93"/>
      <c r="E7" s="65"/>
      <c r="F7" s="109"/>
      <c r="G7" s="110" t="s">
        <v>8120</v>
      </c>
      <c r="H7" s="110"/>
      <c r="I7" s="110"/>
      <c r="J7" s="110"/>
      <c r="K7" s="111"/>
      <c r="L7" s="112"/>
    </row>
    <row r="8" spans="1:15" s="72" customFormat="1" ht="58.5" customHeight="1" x14ac:dyDescent="0.25">
      <c r="A8" s="68" t="s">
        <v>8110</v>
      </c>
      <c r="B8" s="70" t="s">
        <v>3438</v>
      </c>
      <c r="C8" s="70" t="s">
        <v>8112</v>
      </c>
      <c r="D8" s="70" t="s">
        <v>8113</v>
      </c>
      <c r="E8" s="70" t="s">
        <v>8146</v>
      </c>
      <c r="F8" s="70" t="s">
        <v>8147</v>
      </c>
      <c r="G8" s="70" t="s">
        <v>8148</v>
      </c>
      <c r="H8" s="70" t="s">
        <v>8149</v>
      </c>
      <c r="I8" s="70" t="s">
        <v>8150</v>
      </c>
      <c r="J8" s="70" t="s">
        <v>8151</v>
      </c>
      <c r="K8" s="71" t="s">
        <v>8152</v>
      </c>
    </row>
    <row r="9" spans="1:15" s="77" customFormat="1" ht="17.45" customHeight="1" x14ac:dyDescent="0.25">
      <c r="A9" s="73"/>
      <c r="B9" s="74"/>
      <c r="C9" s="91"/>
      <c r="D9" s="91"/>
      <c r="E9" s="91"/>
      <c r="F9" s="91"/>
      <c r="G9" s="91"/>
      <c r="H9" s="91"/>
      <c r="I9" s="91"/>
      <c r="J9" s="91"/>
      <c r="K9" s="75"/>
    </row>
    <row r="10" spans="1:15" s="77" customFormat="1" ht="17.45" customHeight="1" x14ac:dyDescent="0.25">
      <c r="A10" s="73"/>
      <c r="B10" s="74"/>
      <c r="C10" s="91"/>
      <c r="D10" s="75"/>
      <c r="E10" s="76"/>
      <c r="F10" s="76"/>
      <c r="G10" s="76"/>
      <c r="H10" s="75"/>
      <c r="I10" s="75"/>
      <c r="J10" s="76"/>
      <c r="K10" s="75"/>
    </row>
    <row r="11" spans="1:15" s="77" customFormat="1" ht="17.45" customHeight="1" x14ac:dyDescent="0.25">
      <c r="A11" s="73"/>
      <c r="B11" s="74"/>
      <c r="C11" s="91"/>
      <c r="D11" s="75"/>
      <c r="E11" s="76"/>
      <c r="F11" s="76"/>
      <c r="G11" s="76"/>
      <c r="H11" s="75"/>
      <c r="I11" s="75"/>
      <c r="J11" s="76"/>
      <c r="K11" s="75"/>
    </row>
    <row r="12" spans="1:15" s="77" customFormat="1" ht="17.45" customHeight="1" x14ac:dyDescent="0.25">
      <c r="A12" s="73"/>
      <c r="B12" s="74"/>
      <c r="C12" s="91"/>
      <c r="D12" s="75"/>
      <c r="E12" s="76"/>
      <c r="F12" s="76"/>
      <c r="G12" s="76"/>
      <c r="H12" s="75"/>
      <c r="I12" s="75"/>
      <c r="J12" s="76"/>
      <c r="K12" s="75"/>
    </row>
    <row r="13" spans="1:15" s="77" customFormat="1" ht="17.45" customHeight="1" x14ac:dyDescent="0.25">
      <c r="A13" s="73"/>
      <c r="B13" s="74"/>
      <c r="C13" s="91"/>
      <c r="D13" s="75"/>
      <c r="E13" s="76"/>
      <c r="F13" s="76"/>
      <c r="G13" s="76"/>
      <c r="H13" s="75"/>
      <c r="I13" s="75"/>
      <c r="J13" s="76"/>
      <c r="K13" s="75"/>
    </row>
    <row r="14" spans="1:15" s="77" customFormat="1" ht="17.45" customHeight="1" x14ac:dyDescent="0.25">
      <c r="A14" s="73"/>
      <c r="B14" s="74"/>
      <c r="C14" s="91"/>
      <c r="D14" s="75"/>
      <c r="E14" s="76"/>
      <c r="F14" s="76"/>
      <c r="G14" s="76"/>
      <c r="H14" s="75"/>
      <c r="I14" s="75"/>
      <c r="J14" s="76"/>
      <c r="K14" s="75"/>
    </row>
    <row r="15" spans="1:15" s="77" customFormat="1" ht="17.45" customHeight="1" x14ac:dyDescent="0.25">
      <c r="A15" s="73"/>
      <c r="B15" s="74"/>
      <c r="C15" s="91"/>
      <c r="D15" s="75"/>
      <c r="E15" s="76"/>
      <c r="F15" s="76"/>
      <c r="G15" s="76"/>
      <c r="H15" s="75"/>
      <c r="I15" s="75"/>
      <c r="J15" s="76"/>
      <c r="K15" s="75"/>
    </row>
    <row r="16" spans="1:15" s="77" customFormat="1" ht="17.45" customHeight="1" x14ac:dyDescent="0.25">
      <c r="A16" s="73"/>
      <c r="B16" s="74"/>
      <c r="C16" s="91"/>
      <c r="D16" s="75"/>
      <c r="E16" s="76"/>
      <c r="F16" s="76"/>
      <c r="G16" s="76"/>
      <c r="H16" s="75"/>
      <c r="I16" s="75"/>
      <c r="J16" s="76"/>
      <c r="K16" s="75"/>
    </row>
    <row r="17" spans="1:11" s="77" customFormat="1" ht="17.45" customHeight="1" x14ac:dyDescent="0.25">
      <c r="A17" s="73"/>
      <c r="B17" s="74"/>
      <c r="C17" s="91"/>
      <c r="D17" s="75"/>
      <c r="E17" s="76"/>
      <c r="F17" s="76"/>
      <c r="G17" s="76"/>
      <c r="H17" s="75"/>
      <c r="I17" s="75"/>
      <c r="J17" s="76"/>
      <c r="K17" s="75"/>
    </row>
    <row r="18" spans="1:11" s="77" customFormat="1" ht="17.45" customHeight="1" x14ac:dyDescent="0.25">
      <c r="A18" s="73"/>
      <c r="B18" s="74"/>
      <c r="C18" s="91"/>
      <c r="D18" s="75"/>
      <c r="E18" s="76"/>
      <c r="F18" s="76"/>
      <c r="G18" s="76"/>
      <c r="H18" s="75"/>
      <c r="I18" s="75"/>
      <c r="J18" s="76"/>
      <c r="K18" s="75"/>
    </row>
    <row r="19" spans="1:11" s="77" customFormat="1" ht="17.45" customHeight="1" x14ac:dyDescent="0.25">
      <c r="A19" s="73"/>
      <c r="B19" s="74"/>
      <c r="C19" s="91"/>
      <c r="D19" s="75"/>
      <c r="E19" s="76"/>
      <c r="F19" s="76"/>
      <c r="G19" s="76"/>
      <c r="H19" s="75"/>
      <c r="I19" s="75"/>
      <c r="J19" s="76"/>
      <c r="K19" s="75"/>
    </row>
    <row r="20" spans="1:11" s="77" customFormat="1" ht="17.45" customHeight="1" x14ac:dyDescent="0.25">
      <c r="A20" s="73"/>
      <c r="B20" s="74"/>
      <c r="C20" s="91"/>
      <c r="D20" s="75"/>
      <c r="E20" s="76"/>
      <c r="F20" s="76"/>
      <c r="G20" s="76"/>
      <c r="H20" s="75"/>
      <c r="I20" s="75"/>
      <c r="J20" s="76"/>
      <c r="K20" s="75"/>
    </row>
    <row r="21" spans="1:11" s="77" customFormat="1" ht="17.45" customHeight="1" x14ac:dyDescent="0.25">
      <c r="A21" s="73"/>
      <c r="B21" s="74"/>
      <c r="C21" s="91"/>
      <c r="D21" s="75"/>
      <c r="E21" s="76"/>
      <c r="F21" s="76"/>
      <c r="G21" s="76"/>
      <c r="H21" s="75"/>
      <c r="I21" s="75"/>
      <c r="J21" s="76"/>
      <c r="K21" s="75"/>
    </row>
    <row r="22" spans="1:11" s="77" customFormat="1" ht="17.45" customHeight="1" x14ac:dyDescent="0.25">
      <c r="A22" s="73"/>
      <c r="B22" s="74"/>
      <c r="C22" s="91"/>
      <c r="D22" s="75"/>
      <c r="E22" s="76"/>
      <c r="F22" s="76"/>
      <c r="G22" s="76"/>
      <c r="H22" s="75"/>
      <c r="I22" s="75"/>
      <c r="J22" s="76"/>
      <c r="K22" s="75"/>
    </row>
    <row r="23" spans="1:11" s="77" customFormat="1" ht="17.45" customHeight="1" x14ac:dyDescent="0.25">
      <c r="A23" s="73"/>
      <c r="B23" s="74"/>
      <c r="C23" s="91"/>
      <c r="D23" s="75"/>
      <c r="E23" s="76"/>
      <c r="F23" s="76"/>
      <c r="G23" s="76"/>
      <c r="H23" s="75"/>
      <c r="I23" s="75"/>
      <c r="J23" s="76"/>
      <c r="K23" s="75"/>
    </row>
    <row r="24" spans="1:11" s="77" customFormat="1" ht="17.45" customHeight="1" x14ac:dyDescent="0.25">
      <c r="A24" s="73"/>
      <c r="B24" s="74"/>
      <c r="C24" s="91"/>
      <c r="D24" s="75"/>
      <c r="E24" s="76"/>
      <c r="F24" s="76"/>
      <c r="G24" s="76"/>
      <c r="H24" s="75"/>
      <c r="I24" s="75"/>
      <c r="J24" s="76"/>
      <c r="K24" s="75"/>
    </row>
    <row r="25" spans="1:11" s="77" customFormat="1" ht="17.45" customHeight="1" x14ac:dyDescent="0.25">
      <c r="A25" s="73"/>
      <c r="B25" s="74"/>
      <c r="C25" s="91"/>
      <c r="D25" s="75"/>
      <c r="E25" s="76"/>
      <c r="F25" s="76"/>
      <c r="G25" s="76"/>
      <c r="H25" s="75"/>
      <c r="I25" s="75"/>
      <c r="J25" s="76"/>
      <c r="K25" s="75"/>
    </row>
    <row r="26" spans="1:11" s="77" customFormat="1" ht="17.45" customHeight="1" x14ac:dyDescent="0.25">
      <c r="A26" s="73"/>
      <c r="B26" s="74"/>
      <c r="C26" s="91"/>
      <c r="D26" s="75"/>
      <c r="E26" s="76"/>
      <c r="F26" s="76"/>
      <c r="G26" s="76"/>
      <c r="H26" s="75"/>
      <c r="I26" s="75"/>
      <c r="J26" s="76"/>
      <c r="K26" s="75"/>
    </row>
    <row r="27" spans="1:11" s="77" customFormat="1" ht="17.45" customHeight="1" x14ac:dyDescent="0.25">
      <c r="A27" s="73"/>
      <c r="B27" s="74"/>
      <c r="C27" s="91"/>
      <c r="D27" s="75"/>
      <c r="E27" s="76"/>
      <c r="F27" s="76"/>
      <c r="G27" s="76"/>
      <c r="H27" s="75"/>
      <c r="I27" s="75"/>
      <c r="J27" s="76"/>
      <c r="K27" s="75"/>
    </row>
    <row r="28" spans="1:11" s="77" customFormat="1" ht="17.45" customHeight="1" x14ac:dyDescent="0.25">
      <c r="A28" s="73"/>
      <c r="B28" s="74"/>
      <c r="C28" s="91"/>
      <c r="D28" s="75"/>
      <c r="E28" s="76"/>
      <c r="F28" s="76"/>
      <c r="G28" s="76"/>
      <c r="H28" s="75"/>
      <c r="I28" s="75"/>
      <c r="J28" s="76"/>
      <c r="K28" s="75"/>
    </row>
    <row r="29" spans="1:11" s="77" customFormat="1" ht="17.45" customHeight="1" x14ac:dyDescent="0.25">
      <c r="A29" s="73"/>
      <c r="B29" s="74"/>
      <c r="C29" s="91"/>
      <c r="D29" s="75"/>
      <c r="E29" s="76"/>
      <c r="F29" s="76"/>
      <c r="G29" s="76"/>
      <c r="H29" s="75"/>
      <c r="I29" s="75"/>
      <c r="J29" s="76"/>
      <c r="K29" s="75"/>
    </row>
    <row r="30" spans="1:11" s="77" customFormat="1" ht="17.45" customHeight="1" x14ac:dyDescent="0.25">
      <c r="A30" s="73"/>
      <c r="B30" s="74"/>
      <c r="C30" s="91"/>
      <c r="D30" s="75"/>
      <c r="E30" s="76"/>
      <c r="F30" s="76"/>
      <c r="G30" s="76"/>
      <c r="H30" s="75"/>
      <c r="I30" s="75"/>
      <c r="J30" s="76"/>
      <c r="K30" s="75"/>
    </row>
    <row r="31" spans="1:11" s="77" customFormat="1" ht="17.45" customHeight="1" x14ac:dyDescent="0.25">
      <c r="A31" s="73"/>
      <c r="B31" s="74"/>
      <c r="C31" s="91"/>
      <c r="D31" s="75"/>
      <c r="E31" s="76"/>
      <c r="F31" s="76"/>
      <c r="G31" s="76"/>
      <c r="H31" s="75"/>
      <c r="I31" s="75"/>
      <c r="J31" s="76"/>
      <c r="K31" s="75"/>
    </row>
    <row r="32" spans="1:11" s="77" customFormat="1" ht="17.45" customHeight="1" x14ac:dyDescent="0.25">
      <c r="A32" s="73"/>
      <c r="B32" s="74"/>
      <c r="C32" s="91"/>
      <c r="D32" s="75"/>
      <c r="E32" s="76"/>
      <c r="F32" s="76"/>
      <c r="G32" s="76"/>
      <c r="H32" s="75"/>
      <c r="I32" s="75"/>
      <c r="J32" s="76"/>
      <c r="K32" s="75"/>
    </row>
    <row r="33" spans="1:11" s="77" customFormat="1" ht="17.45" customHeight="1" x14ac:dyDescent="0.25">
      <c r="A33" s="73"/>
      <c r="B33" s="74"/>
      <c r="C33" s="91"/>
      <c r="D33" s="75"/>
      <c r="E33" s="76"/>
      <c r="F33" s="76"/>
      <c r="G33" s="76"/>
      <c r="H33" s="75"/>
      <c r="I33" s="75"/>
      <c r="J33" s="76"/>
      <c r="K33" s="75"/>
    </row>
    <row r="34" spans="1:11" s="77" customFormat="1" ht="17.45" customHeight="1" x14ac:dyDescent="0.25">
      <c r="A34" s="73"/>
      <c r="B34" s="74"/>
      <c r="C34" s="91"/>
      <c r="D34" s="75"/>
      <c r="E34" s="76"/>
      <c r="F34" s="76"/>
      <c r="G34" s="76"/>
      <c r="H34" s="75"/>
      <c r="I34" s="75"/>
      <c r="J34" s="76"/>
      <c r="K34" s="75"/>
    </row>
    <row r="35" spans="1:11" s="77" customFormat="1" ht="17.45" customHeight="1" x14ac:dyDescent="0.25">
      <c r="A35" s="73"/>
      <c r="B35" s="74"/>
      <c r="C35" s="91"/>
      <c r="D35" s="75"/>
      <c r="E35" s="76"/>
      <c r="F35" s="76"/>
      <c r="G35" s="76"/>
      <c r="H35" s="75"/>
      <c r="I35" s="75"/>
      <c r="J35" s="76"/>
      <c r="K35" s="75"/>
    </row>
    <row r="36" spans="1:11" s="77" customFormat="1" ht="17.45" customHeight="1" x14ac:dyDescent="0.25">
      <c r="A36" s="73"/>
      <c r="B36" s="74"/>
      <c r="C36" s="91"/>
      <c r="D36" s="75"/>
      <c r="E36" s="76"/>
      <c r="F36" s="76"/>
      <c r="G36" s="76"/>
      <c r="H36" s="75"/>
      <c r="I36" s="75"/>
      <c r="J36" s="76"/>
      <c r="K36" s="75"/>
    </row>
    <row r="37" spans="1:11" s="77" customFormat="1" ht="17.45" customHeight="1" x14ac:dyDescent="0.25">
      <c r="A37" s="73"/>
      <c r="B37" s="74"/>
      <c r="C37" s="91"/>
      <c r="D37" s="75"/>
      <c r="E37" s="76"/>
      <c r="F37" s="76"/>
      <c r="G37" s="76"/>
      <c r="H37" s="75"/>
      <c r="I37" s="75"/>
      <c r="J37" s="76"/>
      <c r="K37" s="75"/>
    </row>
    <row r="38" spans="1:11" s="77" customFormat="1" ht="17.45" customHeight="1" x14ac:dyDescent="0.25">
      <c r="A38" s="73"/>
      <c r="B38" s="74"/>
      <c r="C38" s="91"/>
      <c r="D38" s="75"/>
      <c r="E38" s="76"/>
      <c r="F38" s="76"/>
      <c r="G38" s="76"/>
      <c r="H38" s="75"/>
      <c r="I38" s="75"/>
      <c r="J38" s="76"/>
      <c r="K38" s="75"/>
    </row>
    <row r="39" spans="1:11" s="77" customFormat="1" ht="17.45" customHeight="1" x14ac:dyDescent="0.25">
      <c r="A39" s="73"/>
      <c r="B39" s="74"/>
      <c r="C39" s="91"/>
      <c r="D39" s="75"/>
      <c r="E39" s="76"/>
      <c r="F39" s="76"/>
      <c r="G39" s="76"/>
      <c r="H39" s="75"/>
      <c r="I39" s="75"/>
      <c r="J39" s="76"/>
      <c r="K39" s="75"/>
    </row>
    <row r="40" spans="1:11" s="77" customFormat="1" ht="17.45" customHeight="1" x14ac:dyDescent="0.25">
      <c r="A40" s="73"/>
      <c r="B40" s="74"/>
      <c r="C40" s="91"/>
      <c r="D40" s="75"/>
      <c r="E40" s="76"/>
      <c r="F40" s="76"/>
      <c r="G40" s="76"/>
      <c r="H40" s="75"/>
      <c r="I40" s="75"/>
      <c r="J40" s="76"/>
      <c r="K40" s="75"/>
    </row>
    <row r="41" spans="1:11" s="77" customFormat="1" ht="17.45" customHeight="1" x14ac:dyDescent="0.25">
      <c r="A41" s="73"/>
      <c r="B41" s="74"/>
      <c r="C41" s="91"/>
      <c r="D41" s="75"/>
      <c r="E41" s="76"/>
      <c r="F41" s="76"/>
      <c r="G41" s="76"/>
      <c r="H41" s="75"/>
      <c r="I41" s="75"/>
      <c r="J41" s="76"/>
      <c r="K41" s="75"/>
    </row>
    <row r="42" spans="1:11" s="77" customFormat="1" ht="17.45" customHeight="1" x14ac:dyDescent="0.25">
      <c r="A42" s="73"/>
      <c r="B42" s="74"/>
      <c r="C42" s="91"/>
      <c r="D42" s="75"/>
      <c r="E42" s="76"/>
      <c r="F42" s="76"/>
      <c r="G42" s="76"/>
      <c r="H42" s="75"/>
      <c r="I42" s="75"/>
      <c r="J42" s="76"/>
      <c r="K42" s="75"/>
    </row>
    <row r="43" spans="1:11" s="77" customFormat="1" ht="17.45" customHeight="1" x14ac:dyDescent="0.25">
      <c r="A43" s="73"/>
      <c r="B43" s="74"/>
      <c r="C43" s="91"/>
      <c r="D43" s="75"/>
      <c r="E43" s="76"/>
      <c r="F43" s="76"/>
      <c r="G43" s="76"/>
      <c r="H43" s="75"/>
      <c r="I43" s="75"/>
      <c r="J43" s="76"/>
      <c r="K43" s="75"/>
    </row>
    <row r="44" spans="1:11" s="77" customFormat="1" ht="17.45" customHeight="1" x14ac:dyDescent="0.25">
      <c r="A44" s="73"/>
      <c r="B44" s="74"/>
      <c r="C44" s="91"/>
      <c r="D44" s="75"/>
      <c r="E44" s="76"/>
      <c r="F44" s="76"/>
      <c r="G44" s="76"/>
      <c r="H44" s="75"/>
      <c r="I44" s="75"/>
      <c r="J44" s="76"/>
      <c r="K44" s="75"/>
    </row>
    <row r="45" spans="1:11" s="77" customFormat="1" ht="17.45" customHeight="1" x14ac:dyDescent="0.25">
      <c r="A45" s="73"/>
      <c r="B45" s="74"/>
      <c r="C45" s="91"/>
      <c r="D45" s="75"/>
      <c r="E45" s="76"/>
      <c r="F45" s="76"/>
      <c r="G45" s="76"/>
      <c r="H45" s="75"/>
      <c r="I45" s="75"/>
      <c r="J45" s="76"/>
      <c r="K45" s="75"/>
    </row>
    <row r="46" spans="1:11" s="77" customFormat="1" ht="17.45" customHeight="1" x14ac:dyDescent="0.25">
      <c r="A46" s="73"/>
      <c r="B46" s="74"/>
      <c r="C46" s="91"/>
      <c r="D46" s="75"/>
      <c r="E46" s="76"/>
      <c r="F46" s="76"/>
      <c r="G46" s="76"/>
      <c r="H46" s="75"/>
      <c r="I46" s="75"/>
      <c r="J46" s="76"/>
      <c r="K46" s="75"/>
    </row>
    <row r="47" spans="1:11" s="77" customFormat="1" ht="17.45" customHeight="1" x14ac:dyDescent="0.25">
      <c r="A47" s="73"/>
      <c r="B47" s="74"/>
      <c r="C47" s="91"/>
      <c r="D47" s="75"/>
      <c r="E47" s="76"/>
      <c r="F47" s="76"/>
      <c r="G47" s="76"/>
      <c r="H47" s="75"/>
      <c r="I47" s="75"/>
      <c r="J47" s="76"/>
      <c r="K47" s="75"/>
    </row>
    <row r="48" spans="1:11" s="77" customFormat="1" ht="17.45" customHeight="1" x14ac:dyDescent="0.25">
      <c r="A48" s="73"/>
      <c r="B48" s="74"/>
      <c r="C48" s="91"/>
      <c r="D48" s="75"/>
      <c r="E48" s="76"/>
      <c r="F48" s="76"/>
      <c r="G48" s="76"/>
      <c r="H48" s="75"/>
      <c r="I48" s="75"/>
      <c r="J48" s="76"/>
      <c r="K48" s="75"/>
    </row>
    <row r="49" spans="1:11" s="77" customFormat="1" ht="17.45" customHeight="1" x14ac:dyDescent="0.25">
      <c r="A49" s="73"/>
      <c r="B49" s="74"/>
      <c r="C49" s="91"/>
      <c r="D49" s="75"/>
      <c r="E49" s="76"/>
      <c r="F49" s="76"/>
      <c r="G49" s="76"/>
      <c r="H49" s="75"/>
      <c r="I49" s="75"/>
      <c r="J49" s="76"/>
      <c r="K49" s="75"/>
    </row>
    <row r="50" spans="1:11" s="77" customFormat="1" ht="17.45" customHeight="1" x14ac:dyDescent="0.25">
      <c r="A50" s="73"/>
      <c r="B50" s="74"/>
      <c r="C50" s="91"/>
      <c r="D50" s="75"/>
      <c r="E50" s="76"/>
      <c r="F50" s="76"/>
      <c r="G50" s="76"/>
      <c r="H50" s="75"/>
      <c r="I50" s="75"/>
      <c r="J50" s="76"/>
      <c r="K50" s="75"/>
    </row>
    <row r="51" spans="1:11" s="77" customFormat="1" ht="17.45" customHeight="1" x14ac:dyDescent="0.25">
      <c r="A51" s="73"/>
      <c r="B51" s="74"/>
      <c r="C51" s="91"/>
      <c r="D51" s="75"/>
      <c r="E51" s="76"/>
      <c r="F51" s="76"/>
      <c r="G51" s="76"/>
      <c r="H51" s="75"/>
      <c r="I51" s="75"/>
      <c r="J51" s="76"/>
      <c r="K51" s="75"/>
    </row>
    <row r="52" spans="1:11" s="77" customFormat="1" ht="17.45" customHeight="1" x14ac:dyDescent="0.25">
      <c r="A52" s="73"/>
      <c r="B52" s="74"/>
      <c r="C52" s="91"/>
      <c r="D52" s="75"/>
      <c r="E52" s="76"/>
      <c r="F52" s="76"/>
      <c r="G52" s="76"/>
      <c r="H52" s="75"/>
      <c r="I52" s="75"/>
      <c r="J52" s="76"/>
      <c r="K52" s="75"/>
    </row>
    <row r="53" spans="1:11" s="77" customFormat="1" ht="17.45" customHeight="1" x14ac:dyDescent="0.25">
      <c r="A53" s="73"/>
      <c r="B53" s="74"/>
      <c r="C53" s="91"/>
      <c r="D53" s="75"/>
      <c r="E53" s="76"/>
      <c r="F53" s="76"/>
      <c r="G53" s="76"/>
      <c r="H53" s="75"/>
      <c r="I53" s="75"/>
      <c r="J53" s="76"/>
      <c r="K53" s="75"/>
    </row>
    <row r="54" spans="1:11" s="77" customFormat="1" ht="17.45" customHeight="1" x14ac:dyDescent="0.25">
      <c r="A54" s="73"/>
      <c r="B54" s="74"/>
      <c r="C54" s="91"/>
      <c r="D54" s="75"/>
      <c r="E54" s="76"/>
      <c r="F54" s="76"/>
      <c r="G54" s="76"/>
      <c r="H54" s="75"/>
      <c r="I54" s="75"/>
      <c r="J54" s="76"/>
      <c r="K54" s="75"/>
    </row>
    <row r="55" spans="1:11" s="77" customFormat="1" ht="17.45" customHeight="1" x14ac:dyDescent="0.25">
      <c r="A55" s="73"/>
      <c r="B55" s="74"/>
      <c r="C55" s="91"/>
      <c r="D55" s="75"/>
      <c r="E55" s="76"/>
      <c r="F55" s="76"/>
      <c r="G55" s="76"/>
      <c r="H55" s="75"/>
      <c r="I55" s="75"/>
      <c r="J55" s="76"/>
      <c r="K55" s="75"/>
    </row>
    <row r="56" spans="1:11" s="77" customFormat="1" ht="17.45" customHeight="1" x14ac:dyDescent="0.25">
      <c r="A56" s="73"/>
      <c r="B56" s="74"/>
      <c r="C56" s="91"/>
      <c r="D56" s="75"/>
      <c r="E56" s="76"/>
      <c r="F56" s="76"/>
      <c r="G56" s="76"/>
      <c r="H56" s="75"/>
      <c r="I56" s="75"/>
      <c r="J56" s="76"/>
      <c r="K56" s="75"/>
    </row>
    <row r="57" spans="1:11" s="77" customFormat="1" ht="17.45" customHeight="1" x14ac:dyDescent="0.25">
      <c r="A57" s="73"/>
      <c r="B57" s="74"/>
      <c r="C57" s="91"/>
      <c r="D57" s="75"/>
      <c r="E57" s="76"/>
      <c r="F57" s="76"/>
      <c r="G57" s="76"/>
      <c r="H57" s="75"/>
      <c r="I57" s="75"/>
      <c r="J57" s="76"/>
      <c r="K57" s="75"/>
    </row>
    <row r="58" spans="1:11" s="77" customFormat="1" ht="17.45" customHeight="1" x14ac:dyDescent="0.25">
      <c r="A58" s="73"/>
      <c r="B58" s="74"/>
      <c r="C58" s="91"/>
      <c r="D58" s="75"/>
      <c r="E58" s="76"/>
      <c r="F58" s="76"/>
      <c r="G58" s="76"/>
      <c r="H58" s="75"/>
      <c r="I58" s="75"/>
      <c r="J58" s="76"/>
      <c r="K58" s="75"/>
    </row>
    <row r="59" spans="1:11" s="77" customFormat="1" ht="17.45" customHeight="1" x14ac:dyDescent="0.25">
      <c r="A59" s="73"/>
      <c r="B59" s="74"/>
      <c r="C59" s="91"/>
      <c r="D59" s="75"/>
      <c r="E59" s="76"/>
      <c r="F59" s="76"/>
      <c r="G59" s="76"/>
      <c r="H59" s="75"/>
      <c r="I59" s="75"/>
      <c r="J59" s="76"/>
      <c r="K59" s="75"/>
    </row>
    <row r="60" spans="1:11" s="77" customFormat="1" ht="17.45" customHeight="1" x14ac:dyDescent="0.25">
      <c r="A60" s="73"/>
      <c r="B60" s="74"/>
      <c r="C60" s="91"/>
      <c r="D60" s="75"/>
      <c r="E60" s="76"/>
      <c r="F60" s="76"/>
      <c r="G60" s="76"/>
      <c r="H60" s="75"/>
      <c r="I60" s="75"/>
      <c r="J60" s="76"/>
      <c r="K60" s="75"/>
    </row>
    <row r="61" spans="1:11" s="77" customFormat="1" ht="17.45" customHeight="1" x14ac:dyDescent="0.25">
      <c r="A61" s="73"/>
      <c r="B61" s="74"/>
      <c r="C61" s="91"/>
      <c r="D61" s="75"/>
      <c r="E61" s="76"/>
      <c r="F61" s="76"/>
      <c r="G61" s="76"/>
      <c r="H61" s="75"/>
      <c r="I61" s="75"/>
      <c r="J61" s="76"/>
      <c r="K61" s="75"/>
    </row>
    <row r="62" spans="1:11" s="77" customFormat="1" ht="17.45" customHeight="1" x14ac:dyDescent="0.25">
      <c r="A62" s="73"/>
      <c r="B62" s="74"/>
      <c r="C62" s="91"/>
      <c r="D62" s="75"/>
      <c r="E62" s="76"/>
      <c r="F62" s="76"/>
      <c r="G62" s="76"/>
      <c r="H62" s="75"/>
      <c r="I62" s="75"/>
      <c r="J62" s="76"/>
      <c r="K62" s="75"/>
    </row>
    <row r="63" spans="1:11" s="77" customFormat="1" ht="17.45" customHeight="1" x14ac:dyDescent="0.25">
      <c r="A63" s="73"/>
      <c r="B63" s="74"/>
      <c r="C63" s="91"/>
      <c r="D63" s="75"/>
      <c r="E63" s="76"/>
      <c r="F63" s="76"/>
      <c r="G63" s="76"/>
      <c r="H63" s="75"/>
      <c r="I63" s="75"/>
      <c r="J63" s="76"/>
      <c r="K63" s="75"/>
    </row>
    <row r="64" spans="1:11" s="77" customFormat="1" ht="17.45" customHeight="1" x14ac:dyDescent="0.25">
      <c r="A64" s="73"/>
      <c r="B64" s="74"/>
      <c r="C64" s="91"/>
      <c r="D64" s="75"/>
      <c r="E64" s="76"/>
      <c r="F64" s="76"/>
      <c r="G64" s="76"/>
      <c r="H64" s="75"/>
      <c r="I64" s="75"/>
      <c r="J64" s="76"/>
      <c r="K64" s="75"/>
    </row>
    <row r="65" spans="1:11" s="77" customFormat="1" ht="17.45" customHeight="1" x14ac:dyDescent="0.25">
      <c r="A65" s="73"/>
      <c r="B65" s="74"/>
      <c r="C65" s="91"/>
      <c r="D65" s="75"/>
      <c r="E65" s="76"/>
      <c r="F65" s="76"/>
      <c r="G65" s="76"/>
      <c r="H65" s="75"/>
      <c r="I65" s="75"/>
      <c r="J65" s="76"/>
      <c r="K65" s="75"/>
    </row>
    <row r="66" spans="1:11" s="77" customFormat="1" ht="17.45" customHeight="1" x14ac:dyDescent="0.25">
      <c r="A66" s="73"/>
      <c r="B66" s="74"/>
      <c r="C66" s="91"/>
      <c r="D66" s="75"/>
      <c r="E66" s="76"/>
      <c r="F66" s="76"/>
      <c r="G66" s="76"/>
      <c r="H66" s="75"/>
      <c r="I66" s="75"/>
      <c r="J66" s="76"/>
      <c r="K66" s="75"/>
    </row>
    <row r="67" spans="1:11" s="77" customFormat="1" ht="17.45" customHeight="1" x14ac:dyDescent="0.25">
      <c r="A67" s="73"/>
      <c r="B67" s="74"/>
      <c r="C67" s="91"/>
      <c r="D67" s="75"/>
      <c r="E67" s="76"/>
      <c r="F67" s="76"/>
      <c r="G67" s="76"/>
      <c r="H67" s="75"/>
      <c r="I67" s="75"/>
      <c r="J67" s="76"/>
      <c r="K67" s="75"/>
    </row>
    <row r="68" spans="1:11" s="77" customFormat="1" ht="17.45" customHeight="1" x14ac:dyDescent="0.25">
      <c r="A68" s="73"/>
      <c r="B68" s="74"/>
      <c r="C68" s="91"/>
      <c r="D68" s="75"/>
      <c r="E68" s="76"/>
      <c r="F68" s="76"/>
      <c r="G68" s="76"/>
      <c r="H68" s="75"/>
      <c r="I68" s="75"/>
      <c r="J68" s="76"/>
      <c r="K68" s="75"/>
    </row>
    <row r="69" spans="1:11" s="77" customFormat="1" ht="17.45" customHeight="1" x14ac:dyDescent="0.25">
      <c r="A69" s="73"/>
      <c r="B69" s="74"/>
      <c r="C69" s="91"/>
      <c r="D69" s="75"/>
      <c r="E69" s="76"/>
      <c r="F69" s="76"/>
      <c r="G69" s="76"/>
      <c r="H69" s="75"/>
      <c r="I69" s="75"/>
      <c r="J69" s="76"/>
      <c r="K69" s="75"/>
    </row>
    <row r="70" spans="1:11" s="77" customFormat="1" ht="17.45" customHeight="1" x14ac:dyDescent="0.25">
      <c r="A70" s="73"/>
      <c r="B70" s="74"/>
      <c r="C70" s="91"/>
      <c r="D70" s="75"/>
      <c r="E70" s="76"/>
      <c r="F70" s="76"/>
      <c r="G70" s="76"/>
      <c r="H70" s="75"/>
      <c r="I70" s="75"/>
      <c r="J70" s="76"/>
      <c r="K70" s="75"/>
    </row>
    <row r="71" spans="1:11" s="77" customFormat="1" ht="17.45" customHeight="1" x14ac:dyDescent="0.25">
      <c r="A71" s="73"/>
      <c r="B71" s="74"/>
      <c r="C71" s="91"/>
      <c r="D71" s="75"/>
      <c r="E71" s="76"/>
      <c r="F71" s="76"/>
      <c r="G71" s="76"/>
      <c r="H71" s="75"/>
      <c r="I71" s="75"/>
      <c r="J71" s="76"/>
      <c r="K71" s="75"/>
    </row>
    <row r="72" spans="1:11" s="77" customFormat="1" ht="17.45" customHeight="1" x14ac:dyDescent="0.25">
      <c r="A72" s="73"/>
      <c r="B72" s="74"/>
      <c r="C72" s="91"/>
      <c r="D72" s="75"/>
      <c r="E72" s="76"/>
      <c r="F72" s="76"/>
      <c r="G72" s="76"/>
      <c r="H72" s="75"/>
      <c r="I72" s="75"/>
      <c r="J72" s="76"/>
      <c r="K72" s="75"/>
    </row>
    <row r="73" spans="1:11" s="77" customFormat="1" ht="17.45" customHeight="1" x14ac:dyDescent="0.25">
      <c r="A73" s="73"/>
      <c r="B73" s="74"/>
      <c r="C73" s="91"/>
      <c r="D73" s="75"/>
      <c r="E73" s="76"/>
      <c r="F73" s="76"/>
      <c r="G73" s="76"/>
      <c r="H73" s="75"/>
      <c r="I73" s="75"/>
      <c r="J73" s="76"/>
      <c r="K73" s="75"/>
    </row>
    <row r="74" spans="1:11" s="77" customFormat="1" ht="17.45" customHeight="1" x14ac:dyDescent="0.25">
      <c r="A74" s="73"/>
      <c r="B74" s="74"/>
      <c r="C74" s="91"/>
      <c r="D74" s="75"/>
      <c r="E74" s="76"/>
      <c r="F74" s="76"/>
      <c r="G74" s="76"/>
      <c r="H74" s="75"/>
      <c r="I74" s="75"/>
      <c r="J74" s="76"/>
      <c r="K74" s="75"/>
    </row>
    <row r="75" spans="1:11" s="77" customFormat="1" ht="17.45" customHeight="1" x14ac:dyDescent="0.25">
      <c r="A75" s="73"/>
      <c r="B75" s="74"/>
      <c r="C75" s="91"/>
      <c r="D75" s="75"/>
      <c r="E75" s="76"/>
      <c r="F75" s="76"/>
      <c r="G75" s="76"/>
      <c r="H75" s="75"/>
      <c r="I75" s="75"/>
      <c r="J75" s="76"/>
      <c r="K75" s="75"/>
    </row>
    <row r="76" spans="1:11" s="77" customFormat="1" ht="17.45" customHeight="1" x14ac:dyDescent="0.25">
      <c r="A76" s="73"/>
      <c r="B76" s="74"/>
      <c r="C76" s="91"/>
      <c r="D76" s="75"/>
      <c r="E76" s="76"/>
      <c r="F76" s="76"/>
      <c r="G76" s="76"/>
      <c r="H76" s="75"/>
      <c r="I76" s="75"/>
      <c r="J76" s="76"/>
      <c r="K76" s="75"/>
    </row>
    <row r="77" spans="1:11" s="77" customFormat="1" ht="17.45" customHeight="1" x14ac:dyDescent="0.25">
      <c r="A77" s="73"/>
      <c r="B77" s="74"/>
      <c r="C77" s="91"/>
      <c r="D77" s="75"/>
      <c r="E77" s="76"/>
      <c r="F77" s="76"/>
      <c r="G77" s="76"/>
      <c r="H77" s="75"/>
      <c r="I77" s="75"/>
      <c r="J77" s="76"/>
      <c r="K77" s="75"/>
    </row>
    <row r="78" spans="1:11" s="77" customFormat="1" ht="17.45" customHeight="1" x14ac:dyDescent="0.25">
      <c r="A78" s="73"/>
      <c r="B78" s="74"/>
      <c r="C78" s="91"/>
      <c r="D78" s="75"/>
      <c r="E78" s="76"/>
      <c r="F78" s="76"/>
      <c r="G78" s="76"/>
      <c r="H78" s="75"/>
      <c r="I78" s="75"/>
      <c r="J78" s="76"/>
      <c r="K78" s="75"/>
    </row>
    <row r="79" spans="1:11" s="77" customFormat="1" ht="17.45" customHeight="1" x14ac:dyDescent="0.25">
      <c r="A79" s="73"/>
      <c r="B79" s="74"/>
      <c r="C79" s="91"/>
      <c r="D79" s="75"/>
      <c r="E79" s="76"/>
      <c r="F79" s="76"/>
      <c r="G79" s="76"/>
      <c r="H79" s="75"/>
      <c r="I79" s="75"/>
      <c r="J79" s="76"/>
      <c r="K79" s="75"/>
    </row>
    <row r="80" spans="1:11" s="77" customFormat="1" ht="17.45" customHeight="1" x14ac:dyDescent="0.25">
      <c r="A80" s="73"/>
      <c r="B80" s="74"/>
      <c r="C80" s="91"/>
      <c r="D80" s="75"/>
      <c r="E80" s="76"/>
      <c r="F80" s="76"/>
      <c r="G80" s="76"/>
      <c r="H80" s="75"/>
      <c r="I80" s="75"/>
      <c r="J80" s="76"/>
      <c r="K80" s="75"/>
    </row>
    <row r="81" spans="1:11" s="77" customFormat="1" ht="17.45" customHeight="1" x14ac:dyDescent="0.25">
      <c r="A81" s="73"/>
      <c r="B81" s="74"/>
      <c r="C81" s="91"/>
      <c r="D81" s="75"/>
      <c r="E81" s="76"/>
      <c r="F81" s="76"/>
      <c r="G81" s="76"/>
      <c r="H81" s="75"/>
      <c r="I81" s="75"/>
      <c r="J81" s="76"/>
      <c r="K81" s="75"/>
    </row>
    <row r="82" spans="1:11" s="77" customFormat="1" ht="17.45" customHeight="1" x14ac:dyDescent="0.25">
      <c r="A82" s="73"/>
      <c r="B82" s="74"/>
      <c r="C82" s="91"/>
      <c r="D82" s="75"/>
      <c r="E82" s="76"/>
      <c r="F82" s="76"/>
      <c r="G82" s="76"/>
      <c r="H82" s="75"/>
      <c r="I82" s="75"/>
      <c r="J82" s="76"/>
      <c r="K82" s="75"/>
    </row>
    <row r="83" spans="1:11" s="77" customFormat="1" ht="17.45" customHeight="1" x14ac:dyDescent="0.25">
      <c r="A83" s="73"/>
      <c r="B83" s="74"/>
      <c r="C83" s="91"/>
      <c r="D83" s="75"/>
      <c r="E83" s="76"/>
      <c r="F83" s="76"/>
      <c r="G83" s="76"/>
      <c r="H83" s="75"/>
      <c r="I83" s="75"/>
      <c r="J83" s="76"/>
      <c r="K83" s="75"/>
    </row>
    <row r="84" spans="1:11" s="77" customFormat="1" ht="17.45" customHeight="1" x14ac:dyDescent="0.25">
      <c r="A84" s="73"/>
      <c r="B84" s="74"/>
      <c r="C84" s="91"/>
      <c r="D84" s="75"/>
      <c r="E84" s="76"/>
      <c r="F84" s="76"/>
      <c r="G84" s="76"/>
      <c r="H84" s="75"/>
      <c r="I84" s="75"/>
      <c r="J84" s="76"/>
      <c r="K84" s="75"/>
    </row>
    <row r="85" spans="1:11" ht="17.45" customHeight="1" x14ac:dyDescent="0.25"/>
    <row r="86" spans="1:11" ht="17.45" customHeight="1" x14ac:dyDescent="0.25"/>
    <row r="87" spans="1:11" ht="17.45" customHeight="1" x14ac:dyDescent="0.25"/>
    <row r="88" spans="1:11" ht="17.45" customHeight="1" x14ac:dyDescent="0.25"/>
    <row r="89" spans="1:11" ht="17.45" customHeight="1" x14ac:dyDescent="0.25"/>
    <row r="90" spans="1:11" ht="17.45" customHeight="1" x14ac:dyDescent="0.25"/>
    <row r="91" spans="1:11" ht="17.45" customHeight="1" x14ac:dyDescent="0.25"/>
    <row r="92" spans="1:11" ht="17.45" customHeight="1" x14ac:dyDescent="0.25"/>
    <row r="93" spans="1:11" ht="17.45" customHeight="1" x14ac:dyDescent="0.25"/>
    <row r="94" spans="1:11" ht="17.45" customHeight="1" x14ac:dyDescent="0.25"/>
    <row r="95" spans="1:11" ht="17.45" customHeight="1" x14ac:dyDescent="0.25"/>
    <row r="96" spans="1:11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J12:J13 E11:H13 J10 I10:I13 K9:K13" name="PreRetrofit_3"/>
    <protectedRange sqref="D10:D13" name="SpaceDescription_2"/>
    <protectedRange sqref="E10:H10" name="PreRetrofit_1_2"/>
  </protectedRanges>
  <printOptions horizontalCentered="1"/>
  <pageMargins left="0.57999999999999996" right="0.51" top="0.75" bottom="0.74" header="0.5" footer="0.5"/>
  <pageSetup scale="45" fitToHeight="0" pageOrder="overThenDown" orientation="landscape" r:id="rId1"/>
  <headerFooter alignWithMargins="0">
    <oddFooter>&amp;L&amp;9&amp;F&amp;CPage &amp;P&amp;R&amp;9&amp;D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41"/>
  <sheetViews>
    <sheetView showGridLines="0" view="pageBreakPreview" zoomScaleNormal="100" zoomScaleSheetLayoutView="100" workbookViewId="0">
      <selection activeCell="B6" sqref="B6:I6"/>
    </sheetView>
  </sheetViews>
  <sheetFormatPr defaultRowHeight="12.75" x14ac:dyDescent="0.2"/>
  <cols>
    <col min="1" max="1" width="20.7109375" style="95" customWidth="1"/>
    <col min="2" max="7" width="9.140625" style="95"/>
    <col min="8" max="8" width="6.85546875" style="95" customWidth="1"/>
    <col min="9" max="9" width="2.7109375" style="95" customWidth="1"/>
    <col min="10" max="10" width="4.140625" style="95" customWidth="1"/>
    <col min="11" max="16384" width="9.140625" style="95"/>
  </cols>
  <sheetData>
    <row r="1" spans="1:9" x14ac:dyDescent="0.2">
      <c r="F1" s="245" t="s">
        <v>8125</v>
      </c>
      <c r="G1" s="246"/>
      <c r="H1" s="246"/>
      <c r="I1" s="246"/>
    </row>
    <row r="2" spans="1:9" ht="50.1" customHeight="1" x14ac:dyDescent="0.2">
      <c r="A2" s="247" t="s">
        <v>8126</v>
      </c>
      <c r="B2" s="248"/>
      <c r="C2" s="248"/>
      <c r="D2" s="248"/>
      <c r="E2" s="248"/>
      <c r="F2" s="248"/>
      <c r="G2" s="248"/>
      <c r="H2" s="248"/>
      <c r="I2" s="248"/>
    </row>
    <row r="3" spans="1:9" ht="9" customHeight="1" x14ac:dyDescent="0.2">
      <c r="A3" s="248"/>
      <c r="B3" s="248"/>
      <c r="C3" s="248"/>
      <c r="D3" s="248"/>
      <c r="E3" s="248"/>
      <c r="F3" s="248"/>
      <c r="G3" s="248"/>
      <c r="H3" s="248"/>
      <c r="I3" s="248"/>
    </row>
    <row r="4" spans="1:9" ht="20.100000000000001" customHeight="1" x14ac:dyDescent="0.2">
      <c r="A4" s="249" t="s">
        <v>8127</v>
      </c>
      <c r="B4" s="250"/>
      <c r="C4" s="250"/>
      <c r="D4" s="250"/>
      <c r="E4" s="250"/>
      <c r="F4" s="250"/>
      <c r="G4" s="250"/>
      <c r="H4" s="250"/>
      <c r="I4" s="250"/>
    </row>
    <row r="5" spans="1:9" ht="20.100000000000001" customHeight="1" x14ac:dyDescent="0.2">
      <c r="A5" s="96" t="s">
        <v>8128</v>
      </c>
      <c r="B5" s="251"/>
      <c r="C5" s="251"/>
      <c r="D5" s="251"/>
      <c r="E5" s="251"/>
      <c r="F5" s="251"/>
      <c r="G5" s="251"/>
      <c r="H5" s="251"/>
      <c r="I5" s="251"/>
    </row>
    <row r="6" spans="1:9" ht="20.100000000000001" customHeight="1" x14ac:dyDescent="0.2">
      <c r="A6" s="96" t="s">
        <v>8129</v>
      </c>
      <c r="B6" s="244"/>
      <c r="C6" s="244"/>
      <c r="D6" s="244"/>
      <c r="E6" s="244"/>
      <c r="F6" s="244"/>
      <c r="G6" s="244"/>
      <c r="H6" s="244"/>
      <c r="I6" s="244"/>
    </row>
    <row r="7" spans="1:9" ht="20.100000000000001" customHeight="1" x14ac:dyDescent="0.2">
      <c r="A7" s="96" t="s">
        <v>8130</v>
      </c>
      <c r="B7" s="244"/>
      <c r="C7" s="244"/>
      <c r="D7" s="244"/>
      <c r="E7" s="244"/>
      <c r="F7" s="244"/>
      <c r="G7" s="244"/>
      <c r="H7" s="244"/>
      <c r="I7" s="244"/>
    </row>
    <row r="8" spans="1:9" ht="20.100000000000001" customHeight="1" x14ac:dyDescent="0.2">
      <c r="A8" s="96" t="s">
        <v>8131</v>
      </c>
      <c r="B8" s="244"/>
      <c r="C8" s="244"/>
      <c r="D8" s="244"/>
      <c r="E8" s="244"/>
      <c r="F8" s="244"/>
      <c r="G8" s="244"/>
      <c r="H8" s="244"/>
      <c r="I8" s="244"/>
    </row>
    <row r="9" spans="1:9" ht="20.100000000000001" customHeight="1" x14ac:dyDescent="0.2">
      <c r="A9" s="97"/>
      <c r="B9" s="244"/>
      <c r="C9" s="244"/>
      <c r="D9" s="244"/>
      <c r="E9" s="244"/>
      <c r="F9" s="244"/>
      <c r="G9" s="244"/>
      <c r="H9" s="244"/>
      <c r="I9" s="244"/>
    </row>
    <row r="10" spans="1:9" ht="17.25" customHeight="1" x14ac:dyDescent="0.25">
      <c r="A10" s="98"/>
    </row>
    <row r="11" spans="1:9" ht="20.100000000000001" customHeight="1" x14ac:dyDescent="0.2">
      <c r="A11" s="253" t="s">
        <v>8132</v>
      </c>
      <c r="B11" s="254"/>
      <c r="C11" s="254"/>
      <c r="D11" s="254"/>
      <c r="E11" s="254"/>
      <c r="F11" s="254"/>
      <c r="G11" s="254"/>
      <c r="H11" s="254"/>
      <c r="I11" s="254"/>
    </row>
    <row r="12" spans="1:9" ht="20.100000000000001" customHeight="1" x14ac:dyDescent="0.2">
      <c r="A12" s="99" t="s">
        <v>8133</v>
      </c>
      <c r="B12" s="251"/>
      <c r="C12" s="251"/>
      <c r="D12" s="251"/>
      <c r="E12" s="251"/>
      <c r="F12" s="251"/>
      <c r="G12" s="251"/>
      <c r="H12" s="251"/>
      <c r="I12" s="251"/>
    </row>
    <row r="13" spans="1:9" ht="20.100000000000001" customHeight="1" x14ac:dyDescent="0.2">
      <c r="A13" s="99" t="s">
        <v>8134</v>
      </c>
      <c r="B13" s="244"/>
      <c r="C13" s="244"/>
      <c r="D13" s="244"/>
      <c r="E13" s="244"/>
      <c r="F13" s="244"/>
      <c r="G13" s="244"/>
      <c r="H13" s="244"/>
      <c r="I13" s="244"/>
    </row>
    <row r="14" spans="1:9" ht="20.100000000000001" customHeight="1" x14ac:dyDescent="0.2">
      <c r="A14" s="99" t="s">
        <v>8135</v>
      </c>
      <c r="B14" s="244"/>
      <c r="C14" s="244"/>
      <c r="D14" s="244"/>
      <c r="E14" s="244"/>
      <c r="F14" s="244"/>
      <c r="G14" s="244"/>
      <c r="H14" s="244"/>
      <c r="I14" s="244"/>
    </row>
    <row r="15" spans="1:9" ht="20.100000000000001" customHeight="1" x14ac:dyDescent="0.2">
      <c r="A15" s="99" t="s">
        <v>8136</v>
      </c>
      <c r="B15" s="100"/>
      <c r="C15" s="100" t="s">
        <v>8137</v>
      </c>
      <c r="D15" s="100"/>
      <c r="E15" s="100"/>
      <c r="F15" s="100"/>
      <c r="G15" s="100" t="s">
        <v>8138</v>
      </c>
      <c r="H15" s="100"/>
      <c r="I15" s="100"/>
    </row>
    <row r="16" spans="1:9" ht="20.100000000000001" customHeight="1" x14ac:dyDescent="0.2">
      <c r="A16" s="99" t="s">
        <v>8139</v>
      </c>
      <c r="B16" s="100"/>
      <c r="C16" s="100" t="s">
        <v>8140</v>
      </c>
      <c r="D16" s="100"/>
      <c r="F16" s="100"/>
      <c r="G16" s="100" t="s">
        <v>8141</v>
      </c>
      <c r="H16" s="100"/>
      <c r="I16" s="100"/>
    </row>
    <row r="17" spans="1:9" ht="20.100000000000001" customHeight="1" x14ac:dyDescent="0.2">
      <c r="A17" s="99" t="s">
        <v>8142</v>
      </c>
      <c r="B17" s="101"/>
      <c r="C17" s="101"/>
      <c r="D17" s="101"/>
      <c r="E17" s="101"/>
      <c r="F17" s="101"/>
      <c r="G17" s="101"/>
      <c r="H17" s="101"/>
      <c r="I17" s="101"/>
    </row>
    <row r="18" spans="1:9" ht="19.5" customHeight="1" x14ac:dyDescent="0.2">
      <c r="A18" s="99"/>
      <c r="B18" s="101"/>
      <c r="C18" s="101"/>
      <c r="D18" s="101"/>
      <c r="E18" s="101"/>
      <c r="F18" s="101"/>
      <c r="G18" s="101"/>
      <c r="H18" s="101"/>
      <c r="I18" s="101"/>
    </row>
    <row r="19" spans="1:9" ht="19.5" customHeight="1" x14ac:dyDescent="0.2">
      <c r="B19" s="102"/>
      <c r="C19" s="102"/>
      <c r="D19" s="102"/>
      <c r="E19" s="102"/>
      <c r="F19" s="102"/>
      <c r="G19" s="102"/>
      <c r="H19" s="102"/>
      <c r="I19" s="103"/>
    </row>
    <row r="20" spans="1:9" ht="20.100000000000001" customHeight="1" x14ac:dyDescent="0.2">
      <c r="A20" s="255" t="s">
        <v>8143</v>
      </c>
      <c r="B20" s="256"/>
      <c r="C20" s="256"/>
      <c r="D20" s="256"/>
      <c r="E20" s="256"/>
      <c r="F20" s="256"/>
      <c r="G20" s="256"/>
      <c r="H20" s="256"/>
      <c r="I20" s="256"/>
    </row>
    <row r="21" spans="1:9" ht="20.100000000000001" customHeight="1" x14ac:dyDescent="0.2">
      <c r="A21" s="99" t="s">
        <v>8133</v>
      </c>
      <c r="B21" s="251"/>
      <c r="C21" s="251"/>
      <c r="D21" s="251"/>
      <c r="E21" s="251"/>
      <c r="F21" s="251"/>
      <c r="G21" s="251"/>
      <c r="H21" s="251"/>
      <c r="I21" s="251"/>
    </row>
    <row r="22" spans="1:9" ht="20.100000000000001" customHeight="1" x14ac:dyDescent="0.2">
      <c r="A22" s="99" t="s">
        <v>8134</v>
      </c>
      <c r="B22" s="244"/>
      <c r="C22" s="244"/>
      <c r="D22" s="244"/>
      <c r="E22" s="244"/>
      <c r="F22" s="244"/>
      <c r="G22" s="244"/>
      <c r="H22" s="244"/>
      <c r="I22" s="244"/>
    </row>
    <row r="23" spans="1:9" ht="20.100000000000001" customHeight="1" x14ac:dyDescent="0.2">
      <c r="A23" s="99" t="s">
        <v>8135</v>
      </c>
      <c r="B23" s="244"/>
      <c r="C23" s="244"/>
      <c r="D23" s="244"/>
      <c r="E23" s="244"/>
      <c r="F23" s="244"/>
      <c r="G23" s="244"/>
      <c r="H23" s="244"/>
      <c r="I23" s="244"/>
    </row>
    <row r="24" spans="1:9" ht="20.100000000000001" customHeight="1" x14ac:dyDescent="0.2">
      <c r="A24" s="99" t="s">
        <v>8136</v>
      </c>
      <c r="B24" s="100"/>
      <c r="C24" s="100" t="s">
        <v>8137</v>
      </c>
      <c r="D24" s="100"/>
      <c r="E24" s="100"/>
      <c r="F24" s="100"/>
      <c r="G24" s="100" t="s">
        <v>8138</v>
      </c>
      <c r="H24" s="100"/>
      <c r="I24" s="100"/>
    </row>
    <row r="25" spans="1:9" ht="20.100000000000001" customHeight="1" x14ac:dyDescent="0.2">
      <c r="A25" s="99" t="s">
        <v>8139</v>
      </c>
      <c r="B25" s="100"/>
      <c r="C25" s="100" t="s">
        <v>8140</v>
      </c>
      <c r="D25" s="100"/>
      <c r="F25" s="100"/>
      <c r="G25" s="100" t="s">
        <v>8141</v>
      </c>
      <c r="H25" s="100"/>
      <c r="I25" s="100"/>
    </row>
    <row r="26" spans="1:9" ht="20.100000000000001" customHeight="1" x14ac:dyDescent="0.2">
      <c r="A26" s="99" t="s">
        <v>8142</v>
      </c>
      <c r="B26" s="101"/>
      <c r="C26" s="101"/>
      <c r="D26" s="101"/>
      <c r="E26" s="101"/>
      <c r="F26" s="101"/>
      <c r="G26" s="101"/>
      <c r="H26" s="101"/>
      <c r="I26" s="101"/>
    </row>
    <row r="27" spans="1:9" ht="19.5" customHeight="1" x14ac:dyDescent="0.2">
      <c r="A27" s="99"/>
      <c r="B27" s="101"/>
      <c r="C27" s="101"/>
      <c r="D27" s="101"/>
      <c r="E27" s="101"/>
      <c r="F27" s="101"/>
      <c r="G27" s="101"/>
      <c r="H27" s="101"/>
      <c r="I27" s="101"/>
    </row>
    <row r="28" spans="1:9" ht="19.5" customHeight="1" x14ac:dyDescent="0.2">
      <c r="B28" s="102"/>
      <c r="C28" s="102"/>
      <c r="D28" s="102"/>
      <c r="E28" s="102"/>
      <c r="F28" s="102"/>
      <c r="G28" s="102"/>
      <c r="H28" s="102"/>
      <c r="I28" s="103"/>
    </row>
    <row r="30" spans="1:9" ht="20.100000000000001" customHeight="1" x14ac:dyDescent="0.2">
      <c r="A30" s="257" t="s">
        <v>8144</v>
      </c>
      <c r="B30" s="258"/>
      <c r="C30" s="258"/>
      <c r="D30" s="258"/>
      <c r="E30" s="258"/>
      <c r="F30" s="258"/>
      <c r="G30" s="258"/>
      <c r="H30" s="258"/>
      <c r="I30" s="258"/>
    </row>
    <row r="31" spans="1:9" ht="20.100000000000001" customHeight="1" x14ac:dyDescent="0.2">
      <c r="B31" s="252"/>
      <c r="C31" s="252"/>
      <c r="D31" s="252"/>
      <c r="E31" s="252"/>
      <c r="F31" s="252"/>
      <c r="G31" s="252"/>
      <c r="H31" s="252"/>
      <c r="I31" s="252"/>
    </row>
    <row r="32" spans="1:9" ht="20.100000000000001" customHeight="1" x14ac:dyDescent="0.2">
      <c r="A32" s="104"/>
      <c r="B32" s="251"/>
      <c r="C32" s="251"/>
      <c r="D32" s="251"/>
      <c r="E32" s="251"/>
      <c r="F32" s="251"/>
      <c r="G32" s="251"/>
      <c r="H32" s="251"/>
      <c r="I32" s="251"/>
    </row>
    <row r="33" spans="2:2" x14ac:dyDescent="0.2">
      <c r="B33" s="95" t="s">
        <v>8145</v>
      </c>
    </row>
    <row r="41" spans="2:2" ht="20.100000000000001" customHeight="1" x14ac:dyDescent="0.2"/>
  </sheetData>
  <mergeCells count="18">
    <mergeCell ref="B31:I32"/>
    <mergeCell ref="B8:I8"/>
    <mergeCell ref="B9:I9"/>
    <mergeCell ref="A11:I11"/>
    <mergeCell ref="B12:I12"/>
    <mergeCell ref="B13:I13"/>
    <mergeCell ref="B14:I14"/>
    <mergeCell ref="A20:I20"/>
    <mergeCell ref="B21:I21"/>
    <mergeCell ref="B22:I22"/>
    <mergeCell ref="B23:I23"/>
    <mergeCell ref="A30:I30"/>
    <mergeCell ref="B7:I7"/>
    <mergeCell ref="F1:I1"/>
    <mergeCell ref="A2:I3"/>
    <mergeCell ref="A4:I4"/>
    <mergeCell ref="B5:I5"/>
    <mergeCell ref="B6:I6"/>
  </mergeCells>
  <pageMargins left="0.75" right="0.75" top="0.5" bottom="0.5" header="0.25" footer="0.2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N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140625" style="81" customWidth="1"/>
    <col min="8" max="8" width="14.42578125" style="81" customWidth="1"/>
    <col min="9" max="9" width="15.140625" style="81" customWidth="1"/>
    <col min="10" max="10" width="18.140625" style="81" customWidth="1"/>
    <col min="11" max="11" width="53.42578125" style="81" customWidth="1"/>
    <col min="12" max="12" width="12.140625" style="81" customWidth="1"/>
    <col min="13" max="13" width="15.140625" style="81" customWidth="1"/>
    <col min="14" max="14" width="18.140625" style="81" customWidth="1"/>
    <col min="15" max="252" width="9.140625" style="81"/>
    <col min="253" max="254" width="13.7109375" style="81" customWidth="1"/>
    <col min="255" max="255" width="8.570312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570312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570312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570312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570312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570312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570312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570312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570312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570312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570312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570312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570312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570312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570312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570312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570312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570312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570312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570312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570312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570312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570312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570312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570312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570312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570312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570312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570312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570312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570312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570312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570312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570312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570312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570312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570312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570312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570312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570312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570312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570312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570312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570312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570312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570312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570312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570312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570312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570312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570312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570312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570312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570312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570312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570312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570312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570312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570312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570312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570312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570312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570312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  <c r="K1" s="92"/>
      <c r="L1" s="92"/>
      <c r="M1" s="92"/>
      <c r="N1" s="92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93"/>
      <c r="M7" s="93"/>
      <c r="N7" s="94"/>
    </row>
    <row r="8" spans="1:14" s="72" customFormat="1" ht="69.7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  <row r="84" spans="1:14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</row>
    <row r="85" spans="1:14" ht="17.45" customHeight="1" x14ac:dyDescent="0.25"/>
    <row r="86" spans="1:14" ht="17.45" customHeight="1" x14ac:dyDescent="0.25"/>
    <row r="87" spans="1:14" ht="17.45" customHeight="1" x14ac:dyDescent="0.25"/>
    <row r="88" spans="1:14" ht="17.45" customHeight="1" x14ac:dyDescent="0.25"/>
    <row r="89" spans="1:14" ht="17.45" customHeight="1" x14ac:dyDescent="0.25"/>
    <row r="90" spans="1:14" ht="17.45" customHeight="1" x14ac:dyDescent="0.25"/>
    <row r="91" spans="1:14" ht="17.45" customHeight="1" x14ac:dyDescent="0.25"/>
    <row r="92" spans="1:14" ht="17.45" customHeight="1" x14ac:dyDescent="0.25"/>
    <row r="93" spans="1:14" ht="17.45" customHeight="1" x14ac:dyDescent="0.25"/>
    <row r="94" spans="1:14" ht="17.45" customHeight="1" x14ac:dyDescent="0.25"/>
    <row r="95" spans="1:14" ht="17.45" customHeight="1" x14ac:dyDescent="0.25"/>
    <row r="96" spans="1:14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Q983049:WVQ98305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">
      <formula1>ControlTypes</formula1>
    </dataValidation>
    <dataValidation type="list" showInputMessage="1" showErrorMessage="1" sqref="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 WVL983049:WVL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43" fitToHeight="0" pageOrder="overThenDown" orientation="landscape" r:id="rId1"/>
  <headerFooter alignWithMargins="0">
    <oddFooter>&amp;L&amp;9&amp;F&amp;CPage &amp;P&amp;R&amp;9&amp;D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83"/>
  <sheetViews>
    <sheetView showGridLines="0" view="pageBreakPreview" zoomScale="70" zoomScaleNormal="70" zoomScaleSheetLayoutView="70" workbookViewId="0">
      <selection activeCell="E17" sqref="E17"/>
    </sheetView>
  </sheetViews>
  <sheetFormatPr defaultRowHeight="15" x14ac:dyDescent="0.25"/>
  <cols>
    <col min="1" max="1" width="11.140625" style="81" customWidth="1"/>
    <col min="2" max="2" width="13.7109375" style="81" customWidth="1"/>
    <col min="3" max="3" width="8.85546875" style="81" customWidth="1"/>
    <col min="4" max="4" width="24.140625" style="81" customWidth="1"/>
    <col min="5" max="5" width="23" style="81" bestFit="1" customWidth="1"/>
    <col min="6" max="6" width="53.42578125" style="81" customWidth="1"/>
    <col min="7" max="7" width="12.7109375" style="81" customWidth="1"/>
    <col min="8" max="8" width="14.28515625" style="81" bestFit="1" customWidth="1"/>
    <col min="9" max="9" width="23.7109375" style="81" bestFit="1" customWidth="1"/>
    <col min="10" max="10" width="18.140625" style="81" customWidth="1"/>
    <col min="11" max="11" width="53.42578125" style="81" customWidth="1"/>
    <col min="12" max="12" width="12.7109375" style="81" customWidth="1"/>
    <col min="13" max="13" width="26.140625" style="81" customWidth="1"/>
    <col min="14" max="14" width="19.28515625" style="81" customWidth="1"/>
    <col min="15" max="252" width="9.140625" style="81"/>
    <col min="253" max="254" width="13.7109375" style="81" customWidth="1"/>
    <col min="255" max="255" width="8.85546875" style="81" customWidth="1"/>
    <col min="256" max="256" width="10.5703125" style="81" bestFit="1" customWidth="1"/>
    <col min="257" max="257" width="7" style="81" bestFit="1" customWidth="1"/>
    <col min="258" max="258" width="20.5703125" style="81" customWidth="1"/>
    <col min="259" max="259" width="21.140625" style="81" bestFit="1" customWidth="1"/>
    <col min="260" max="260" width="24.140625" style="81" bestFit="1" customWidth="1"/>
    <col min="261" max="261" width="23" style="81" bestFit="1" customWidth="1"/>
    <col min="262" max="263" width="15" style="81" bestFit="1" customWidth="1"/>
    <col min="264" max="264" width="14.28515625" style="81" bestFit="1" customWidth="1"/>
    <col min="265" max="265" width="23.7109375" style="81" bestFit="1" customWidth="1"/>
    <col min="266" max="266" width="18.140625" style="81" customWidth="1"/>
    <col min="267" max="267" width="15.5703125" style="81" bestFit="1" customWidth="1"/>
    <col min="268" max="268" width="15" style="81" bestFit="1" customWidth="1"/>
    <col min="269" max="269" width="26.140625" style="81" customWidth="1"/>
    <col min="270" max="270" width="19.28515625" style="81" customWidth="1"/>
    <col min="271" max="508" width="9.140625" style="81"/>
    <col min="509" max="510" width="13.7109375" style="81" customWidth="1"/>
    <col min="511" max="511" width="8.85546875" style="81" customWidth="1"/>
    <col min="512" max="512" width="10.5703125" style="81" bestFit="1" customWidth="1"/>
    <col min="513" max="513" width="7" style="81" bestFit="1" customWidth="1"/>
    <col min="514" max="514" width="20.5703125" style="81" customWidth="1"/>
    <col min="515" max="515" width="21.140625" style="81" bestFit="1" customWidth="1"/>
    <col min="516" max="516" width="24.140625" style="81" bestFit="1" customWidth="1"/>
    <col min="517" max="517" width="23" style="81" bestFit="1" customWidth="1"/>
    <col min="518" max="519" width="15" style="81" bestFit="1" customWidth="1"/>
    <col min="520" max="520" width="14.28515625" style="81" bestFit="1" customWidth="1"/>
    <col min="521" max="521" width="23.7109375" style="81" bestFit="1" customWidth="1"/>
    <col min="522" max="522" width="18.140625" style="81" customWidth="1"/>
    <col min="523" max="523" width="15.5703125" style="81" bestFit="1" customWidth="1"/>
    <col min="524" max="524" width="15" style="81" bestFit="1" customWidth="1"/>
    <col min="525" max="525" width="26.140625" style="81" customWidth="1"/>
    <col min="526" max="526" width="19.28515625" style="81" customWidth="1"/>
    <col min="527" max="764" width="9.140625" style="81"/>
    <col min="765" max="766" width="13.7109375" style="81" customWidth="1"/>
    <col min="767" max="767" width="8.85546875" style="81" customWidth="1"/>
    <col min="768" max="768" width="10.5703125" style="81" bestFit="1" customWidth="1"/>
    <col min="769" max="769" width="7" style="81" bestFit="1" customWidth="1"/>
    <col min="770" max="770" width="20.5703125" style="81" customWidth="1"/>
    <col min="771" max="771" width="21.140625" style="81" bestFit="1" customWidth="1"/>
    <col min="772" max="772" width="24.140625" style="81" bestFit="1" customWidth="1"/>
    <col min="773" max="773" width="23" style="81" bestFit="1" customWidth="1"/>
    <col min="774" max="775" width="15" style="81" bestFit="1" customWidth="1"/>
    <col min="776" max="776" width="14.28515625" style="81" bestFit="1" customWidth="1"/>
    <col min="777" max="777" width="23.7109375" style="81" bestFit="1" customWidth="1"/>
    <col min="778" max="778" width="18.140625" style="81" customWidth="1"/>
    <col min="779" max="779" width="15.5703125" style="81" bestFit="1" customWidth="1"/>
    <col min="780" max="780" width="15" style="81" bestFit="1" customWidth="1"/>
    <col min="781" max="781" width="26.140625" style="81" customWidth="1"/>
    <col min="782" max="782" width="19.28515625" style="81" customWidth="1"/>
    <col min="783" max="1020" width="9.140625" style="81"/>
    <col min="1021" max="1022" width="13.7109375" style="81" customWidth="1"/>
    <col min="1023" max="1023" width="8.85546875" style="81" customWidth="1"/>
    <col min="1024" max="1024" width="10.5703125" style="81" bestFit="1" customWidth="1"/>
    <col min="1025" max="1025" width="7" style="81" bestFit="1" customWidth="1"/>
    <col min="1026" max="1026" width="20.5703125" style="81" customWidth="1"/>
    <col min="1027" max="1027" width="21.140625" style="81" bestFit="1" customWidth="1"/>
    <col min="1028" max="1028" width="24.140625" style="81" bestFit="1" customWidth="1"/>
    <col min="1029" max="1029" width="23" style="81" bestFit="1" customWidth="1"/>
    <col min="1030" max="1031" width="15" style="81" bestFit="1" customWidth="1"/>
    <col min="1032" max="1032" width="14.28515625" style="81" bestFit="1" customWidth="1"/>
    <col min="1033" max="1033" width="23.7109375" style="81" bestFit="1" customWidth="1"/>
    <col min="1034" max="1034" width="18.140625" style="81" customWidth="1"/>
    <col min="1035" max="1035" width="15.5703125" style="81" bestFit="1" customWidth="1"/>
    <col min="1036" max="1036" width="15" style="81" bestFit="1" customWidth="1"/>
    <col min="1037" max="1037" width="26.140625" style="81" customWidth="1"/>
    <col min="1038" max="1038" width="19.28515625" style="81" customWidth="1"/>
    <col min="1039" max="1276" width="9.140625" style="81"/>
    <col min="1277" max="1278" width="13.7109375" style="81" customWidth="1"/>
    <col min="1279" max="1279" width="8.85546875" style="81" customWidth="1"/>
    <col min="1280" max="1280" width="10.5703125" style="81" bestFit="1" customWidth="1"/>
    <col min="1281" max="1281" width="7" style="81" bestFit="1" customWidth="1"/>
    <col min="1282" max="1282" width="20.5703125" style="81" customWidth="1"/>
    <col min="1283" max="1283" width="21.140625" style="81" bestFit="1" customWidth="1"/>
    <col min="1284" max="1284" width="24.140625" style="81" bestFit="1" customWidth="1"/>
    <col min="1285" max="1285" width="23" style="81" bestFit="1" customWidth="1"/>
    <col min="1286" max="1287" width="15" style="81" bestFit="1" customWidth="1"/>
    <col min="1288" max="1288" width="14.28515625" style="81" bestFit="1" customWidth="1"/>
    <col min="1289" max="1289" width="23.7109375" style="81" bestFit="1" customWidth="1"/>
    <col min="1290" max="1290" width="18.140625" style="81" customWidth="1"/>
    <col min="1291" max="1291" width="15.5703125" style="81" bestFit="1" customWidth="1"/>
    <col min="1292" max="1292" width="15" style="81" bestFit="1" customWidth="1"/>
    <col min="1293" max="1293" width="26.140625" style="81" customWidth="1"/>
    <col min="1294" max="1294" width="19.28515625" style="81" customWidth="1"/>
    <col min="1295" max="1532" width="9.140625" style="81"/>
    <col min="1533" max="1534" width="13.7109375" style="81" customWidth="1"/>
    <col min="1535" max="1535" width="8.85546875" style="81" customWidth="1"/>
    <col min="1536" max="1536" width="10.5703125" style="81" bestFit="1" customWidth="1"/>
    <col min="1537" max="1537" width="7" style="81" bestFit="1" customWidth="1"/>
    <col min="1538" max="1538" width="20.5703125" style="81" customWidth="1"/>
    <col min="1539" max="1539" width="21.140625" style="81" bestFit="1" customWidth="1"/>
    <col min="1540" max="1540" width="24.140625" style="81" bestFit="1" customWidth="1"/>
    <col min="1541" max="1541" width="23" style="81" bestFit="1" customWidth="1"/>
    <col min="1542" max="1543" width="15" style="81" bestFit="1" customWidth="1"/>
    <col min="1544" max="1544" width="14.28515625" style="81" bestFit="1" customWidth="1"/>
    <col min="1545" max="1545" width="23.7109375" style="81" bestFit="1" customWidth="1"/>
    <col min="1546" max="1546" width="18.140625" style="81" customWidth="1"/>
    <col min="1547" max="1547" width="15.5703125" style="81" bestFit="1" customWidth="1"/>
    <col min="1548" max="1548" width="15" style="81" bestFit="1" customWidth="1"/>
    <col min="1549" max="1549" width="26.140625" style="81" customWidth="1"/>
    <col min="1550" max="1550" width="19.28515625" style="81" customWidth="1"/>
    <col min="1551" max="1788" width="9.140625" style="81"/>
    <col min="1789" max="1790" width="13.7109375" style="81" customWidth="1"/>
    <col min="1791" max="1791" width="8.85546875" style="81" customWidth="1"/>
    <col min="1792" max="1792" width="10.5703125" style="81" bestFit="1" customWidth="1"/>
    <col min="1793" max="1793" width="7" style="81" bestFit="1" customWidth="1"/>
    <col min="1794" max="1794" width="20.5703125" style="81" customWidth="1"/>
    <col min="1795" max="1795" width="21.140625" style="81" bestFit="1" customWidth="1"/>
    <col min="1796" max="1796" width="24.140625" style="81" bestFit="1" customWidth="1"/>
    <col min="1797" max="1797" width="23" style="81" bestFit="1" customWidth="1"/>
    <col min="1798" max="1799" width="15" style="81" bestFit="1" customWidth="1"/>
    <col min="1800" max="1800" width="14.28515625" style="81" bestFit="1" customWidth="1"/>
    <col min="1801" max="1801" width="23.7109375" style="81" bestFit="1" customWidth="1"/>
    <col min="1802" max="1802" width="18.140625" style="81" customWidth="1"/>
    <col min="1803" max="1803" width="15.5703125" style="81" bestFit="1" customWidth="1"/>
    <col min="1804" max="1804" width="15" style="81" bestFit="1" customWidth="1"/>
    <col min="1805" max="1805" width="26.140625" style="81" customWidth="1"/>
    <col min="1806" max="1806" width="19.28515625" style="81" customWidth="1"/>
    <col min="1807" max="2044" width="9.140625" style="81"/>
    <col min="2045" max="2046" width="13.7109375" style="81" customWidth="1"/>
    <col min="2047" max="2047" width="8.85546875" style="81" customWidth="1"/>
    <col min="2048" max="2048" width="10.5703125" style="81" bestFit="1" customWidth="1"/>
    <col min="2049" max="2049" width="7" style="81" bestFit="1" customWidth="1"/>
    <col min="2050" max="2050" width="20.5703125" style="81" customWidth="1"/>
    <col min="2051" max="2051" width="21.140625" style="81" bestFit="1" customWidth="1"/>
    <col min="2052" max="2052" width="24.140625" style="81" bestFit="1" customWidth="1"/>
    <col min="2053" max="2053" width="23" style="81" bestFit="1" customWidth="1"/>
    <col min="2054" max="2055" width="15" style="81" bestFit="1" customWidth="1"/>
    <col min="2056" max="2056" width="14.28515625" style="81" bestFit="1" customWidth="1"/>
    <col min="2057" max="2057" width="23.7109375" style="81" bestFit="1" customWidth="1"/>
    <col min="2058" max="2058" width="18.140625" style="81" customWidth="1"/>
    <col min="2059" max="2059" width="15.5703125" style="81" bestFit="1" customWidth="1"/>
    <col min="2060" max="2060" width="15" style="81" bestFit="1" customWidth="1"/>
    <col min="2061" max="2061" width="26.140625" style="81" customWidth="1"/>
    <col min="2062" max="2062" width="19.28515625" style="81" customWidth="1"/>
    <col min="2063" max="2300" width="9.140625" style="81"/>
    <col min="2301" max="2302" width="13.7109375" style="81" customWidth="1"/>
    <col min="2303" max="2303" width="8.85546875" style="81" customWidth="1"/>
    <col min="2304" max="2304" width="10.5703125" style="81" bestFit="1" customWidth="1"/>
    <col min="2305" max="2305" width="7" style="81" bestFit="1" customWidth="1"/>
    <col min="2306" max="2306" width="20.5703125" style="81" customWidth="1"/>
    <col min="2307" max="2307" width="21.140625" style="81" bestFit="1" customWidth="1"/>
    <col min="2308" max="2308" width="24.140625" style="81" bestFit="1" customWidth="1"/>
    <col min="2309" max="2309" width="23" style="81" bestFit="1" customWidth="1"/>
    <col min="2310" max="2311" width="15" style="81" bestFit="1" customWidth="1"/>
    <col min="2312" max="2312" width="14.28515625" style="81" bestFit="1" customWidth="1"/>
    <col min="2313" max="2313" width="23.7109375" style="81" bestFit="1" customWidth="1"/>
    <col min="2314" max="2314" width="18.140625" style="81" customWidth="1"/>
    <col min="2315" max="2315" width="15.5703125" style="81" bestFit="1" customWidth="1"/>
    <col min="2316" max="2316" width="15" style="81" bestFit="1" customWidth="1"/>
    <col min="2317" max="2317" width="26.140625" style="81" customWidth="1"/>
    <col min="2318" max="2318" width="19.28515625" style="81" customWidth="1"/>
    <col min="2319" max="2556" width="9.140625" style="81"/>
    <col min="2557" max="2558" width="13.7109375" style="81" customWidth="1"/>
    <col min="2559" max="2559" width="8.85546875" style="81" customWidth="1"/>
    <col min="2560" max="2560" width="10.5703125" style="81" bestFit="1" customWidth="1"/>
    <col min="2561" max="2561" width="7" style="81" bestFit="1" customWidth="1"/>
    <col min="2562" max="2562" width="20.5703125" style="81" customWidth="1"/>
    <col min="2563" max="2563" width="21.140625" style="81" bestFit="1" customWidth="1"/>
    <col min="2564" max="2564" width="24.140625" style="81" bestFit="1" customWidth="1"/>
    <col min="2565" max="2565" width="23" style="81" bestFit="1" customWidth="1"/>
    <col min="2566" max="2567" width="15" style="81" bestFit="1" customWidth="1"/>
    <col min="2568" max="2568" width="14.28515625" style="81" bestFit="1" customWidth="1"/>
    <col min="2569" max="2569" width="23.7109375" style="81" bestFit="1" customWidth="1"/>
    <col min="2570" max="2570" width="18.140625" style="81" customWidth="1"/>
    <col min="2571" max="2571" width="15.5703125" style="81" bestFit="1" customWidth="1"/>
    <col min="2572" max="2572" width="15" style="81" bestFit="1" customWidth="1"/>
    <col min="2573" max="2573" width="26.140625" style="81" customWidth="1"/>
    <col min="2574" max="2574" width="19.28515625" style="81" customWidth="1"/>
    <col min="2575" max="2812" width="9.140625" style="81"/>
    <col min="2813" max="2814" width="13.7109375" style="81" customWidth="1"/>
    <col min="2815" max="2815" width="8.85546875" style="81" customWidth="1"/>
    <col min="2816" max="2816" width="10.5703125" style="81" bestFit="1" customWidth="1"/>
    <col min="2817" max="2817" width="7" style="81" bestFit="1" customWidth="1"/>
    <col min="2818" max="2818" width="20.5703125" style="81" customWidth="1"/>
    <col min="2819" max="2819" width="21.140625" style="81" bestFit="1" customWidth="1"/>
    <col min="2820" max="2820" width="24.140625" style="81" bestFit="1" customWidth="1"/>
    <col min="2821" max="2821" width="23" style="81" bestFit="1" customWidth="1"/>
    <col min="2822" max="2823" width="15" style="81" bestFit="1" customWidth="1"/>
    <col min="2824" max="2824" width="14.28515625" style="81" bestFit="1" customWidth="1"/>
    <col min="2825" max="2825" width="23.7109375" style="81" bestFit="1" customWidth="1"/>
    <col min="2826" max="2826" width="18.140625" style="81" customWidth="1"/>
    <col min="2827" max="2827" width="15.5703125" style="81" bestFit="1" customWidth="1"/>
    <col min="2828" max="2828" width="15" style="81" bestFit="1" customWidth="1"/>
    <col min="2829" max="2829" width="26.140625" style="81" customWidth="1"/>
    <col min="2830" max="2830" width="19.28515625" style="81" customWidth="1"/>
    <col min="2831" max="3068" width="9.140625" style="81"/>
    <col min="3069" max="3070" width="13.7109375" style="81" customWidth="1"/>
    <col min="3071" max="3071" width="8.85546875" style="81" customWidth="1"/>
    <col min="3072" max="3072" width="10.5703125" style="81" bestFit="1" customWidth="1"/>
    <col min="3073" max="3073" width="7" style="81" bestFit="1" customWidth="1"/>
    <col min="3074" max="3074" width="20.5703125" style="81" customWidth="1"/>
    <col min="3075" max="3075" width="21.140625" style="81" bestFit="1" customWidth="1"/>
    <col min="3076" max="3076" width="24.140625" style="81" bestFit="1" customWidth="1"/>
    <col min="3077" max="3077" width="23" style="81" bestFit="1" customWidth="1"/>
    <col min="3078" max="3079" width="15" style="81" bestFit="1" customWidth="1"/>
    <col min="3080" max="3080" width="14.28515625" style="81" bestFit="1" customWidth="1"/>
    <col min="3081" max="3081" width="23.7109375" style="81" bestFit="1" customWidth="1"/>
    <col min="3082" max="3082" width="18.140625" style="81" customWidth="1"/>
    <col min="3083" max="3083" width="15.5703125" style="81" bestFit="1" customWidth="1"/>
    <col min="3084" max="3084" width="15" style="81" bestFit="1" customWidth="1"/>
    <col min="3085" max="3085" width="26.140625" style="81" customWidth="1"/>
    <col min="3086" max="3086" width="19.28515625" style="81" customWidth="1"/>
    <col min="3087" max="3324" width="9.140625" style="81"/>
    <col min="3325" max="3326" width="13.7109375" style="81" customWidth="1"/>
    <col min="3327" max="3327" width="8.85546875" style="81" customWidth="1"/>
    <col min="3328" max="3328" width="10.5703125" style="81" bestFit="1" customWidth="1"/>
    <col min="3329" max="3329" width="7" style="81" bestFit="1" customWidth="1"/>
    <col min="3330" max="3330" width="20.5703125" style="81" customWidth="1"/>
    <col min="3331" max="3331" width="21.140625" style="81" bestFit="1" customWidth="1"/>
    <col min="3332" max="3332" width="24.140625" style="81" bestFit="1" customWidth="1"/>
    <col min="3333" max="3333" width="23" style="81" bestFit="1" customWidth="1"/>
    <col min="3334" max="3335" width="15" style="81" bestFit="1" customWidth="1"/>
    <col min="3336" max="3336" width="14.28515625" style="81" bestFit="1" customWidth="1"/>
    <col min="3337" max="3337" width="23.7109375" style="81" bestFit="1" customWidth="1"/>
    <col min="3338" max="3338" width="18.140625" style="81" customWidth="1"/>
    <col min="3339" max="3339" width="15.5703125" style="81" bestFit="1" customWidth="1"/>
    <col min="3340" max="3340" width="15" style="81" bestFit="1" customWidth="1"/>
    <col min="3341" max="3341" width="26.140625" style="81" customWidth="1"/>
    <col min="3342" max="3342" width="19.28515625" style="81" customWidth="1"/>
    <col min="3343" max="3580" width="9.140625" style="81"/>
    <col min="3581" max="3582" width="13.7109375" style="81" customWidth="1"/>
    <col min="3583" max="3583" width="8.85546875" style="81" customWidth="1"/>
    <col min="3584" max="3584" width="10.5703125" style="81" bestFit="1" customWidth="1"/>
    <col min="3585" max="3585" width="7" style="81" bestFit="1" customWidth="1"/>
    <col min="3586" max="3586" width="20.5703125" style="81" customWidth="1"/>
    <col min="3587" max="3587" width="21.140625" style="81" bestFit="1" customWidth="1"/>
    <col min="3588" max="3588" width="24.140625" style="81" bestFit="1" customWidth="1"/>
    <col min="3589" max="3589" width="23" style="81" bestFit="1" customWidth="1"/>
    <col min="3590" max="3591" width="15" style="81" bestFit="1" customWidth="1"/>
    <col min="3592" max="3592" width="14.28515625" style="81" bestFit="1" customWidth="1"/>
    <col min="3593" max="3593" width="23.7109375" style="81" bestFit="1" customWidth="1"/>
    <col min="3594" max="3594" width="18.140625" style="81" customWidth="1"/>
    <col min="3595" max="3595" width="15.5703125" style="81" bestFit="1" customWidth="1"/>
    <col min="3596" max="3596" width="15" style="81" bestFit="1" customWidth="1"/>
    <col min="3597" max="3597" width="26.140625" style="81" customWidth="1"/>
    <col min="3598" max="3598" width="19.28515625" style="81" customWidth="1"/>
    <col min="3599" max="3836" width="9.140625" style="81"/>
    <col min="3837" max="3838" width="13.7109375" style="81" customWidth="1"/>
    <col min="3839" max="3839" width="8.85546875" style="81" customWidth="1"/>
    <col min="3840" max="3840" width="10.5703125" style="81" bestFit="1" customWidth="1"/>
    <col min="3841" max="3841" width="7" style="81" bestFit="1" customWidth="1"/>
    <col min="3842" max="3842" width="20.5703125" style="81" customWidth="1"/>
    <col min="3843" max="3843" width="21.140625" style="81" bestFit="1" customWidth="1"/>
    <col min="3844" max="3844" width="24.140625" style="81" bestFit="1" customWidth="1"/>
    <col min="3845" max="3845" width="23" style="81" bestFit="1" customWidth="1"/>
    <col min="3846" max="3847" width="15" style="81" bestFit="1" customWidth="1"/>
    <col min="3848" max="3848" width="14.28515625" style="81" bestFit="1" customWidth="1"/>
    <col min="3849" max="3849" width="23.7109375" style="81" bestFit="1" customWidth="1"/>
    <col min="3850" max="3850" width="18.140625" style="81" customWidth="1"/>
    <col min="3851" max="3851" width="15.5703125" style="81" bestFit="1" customWidth="1"/>
    <col min="3852" max="3852" width="15" style="81" bestFit="1" customWidth="1"/>
    <col min="3853" max="3853" width="26.140625" style="81" customWidth="1"/>
    <col min="3854" max="3854" width="19.28515625" style="81" customWidth="1"/>
    <col min="3855" max="4092" width="9.140625" style="81"/>
    <col min="4093" max="4094" width="13.7109375" style="81" customWidth="1"/>
    <col min="4095" max="4095" width="8.85546875" style="81" customWidth="1"/>
    <col min="4096" max="4096" width="10.5703125" style="81" bestFit="1" customWidth="1"/>
    <col min="4097" max="4097" width="7" style="81" bestFit="1" customWidth="1"/>
    <col min="4098" max="4098" width="20.5703125" style="81" customWidth="1"/>
    <col min="4099" max="4099" width="21.140625" style="81" bestFit="1" customWidth="1"/>
    <col min="4100" max="4100" width="24.140625" style="81" bestFit="1" customWidth="1"/>
    <col min="4101" max="4101" width="23" style="81" bestFit="1" customWidth="1"/>
    <col min="4102" max="4103" width="15" style="81" bestFit="1" customWidth="1"/>
    <col min="4104" max="4104" width="14.28515625" style="81" bestFit="1" customWidth="1"/>
    <col min="4105" max="4105" width="23.7109375" style="81" bestFit="1" customWidth="1"/>
    <col min="4106" max="4106" width="18.140625" style="81" customWidth="1"/>
    <col min="4107" max="4107" width="15.5703125" style="81" bestFit="1" customWidth="1"/>
    <col min="4108" max="4108" width="15" style="81" bestFit="1" customWidth="1"/>
    <col min="4109" max="4109" width="26.140625" style="81" customWidth="1"/>
    <col min="4110" max="4110" width="19.28515625" style="81" customWidth="1"/>
    <col min="4111" max="4348" width="9.140625" style="81"/>
    <col min="4349" max="4350" width="13.7109375" style="81" customWidth="1"/>
    <col min="4351" max="4351" width="8.85546875" style="81" customWidth="1"/>
    <col min="4352" max="4352" width="10.5703125" style="81" bestFit="1" customWidth="1"/>
    <col min="4353" max="4353" width="7" style="81" bestFit="1" customWidth="1"/>
    <col min="4354" max="4354" width="20.5703125" style="81" customWidth="1"/>
    <col min="4355" max="4355" width="21.140625" style="81" bestFit="1" customWidth="1"/>
    <col min="4356" max="4356" width="24.140625" style="81" bestFit="1" customWidth="1"/>
    <col min="4357" max="4357" width="23" style="81" bestFit="1" customWidth="1"/>
    <col min="4358" max="4359" width="15" style="81" bestFit="1" customWidth="1"/>
    <col min="4360" max="4360" width="14.28515625" style="81" bestFit="1" customWidth="1"/>
    <col min="4361" max="4361" width="23.7109375" style="81" bestFit="1" customWidth="1"/>
    <col min="4362" max="4362" width="18.140625" style="81" customWidth="1"/>
    <col min="4363" max="4363" width="15.5703125" style="81" bestFit="1" customWidth="1"/>
    <col min="4364" max="4364" width="15" style="81" bestFit="1" customWidth="1"/>
    <col min="4365" max="4365" width="26.140625" style="81" customWidth="1"/>
    <col min="4366" max="4366" width="19.28515625" style="81" customWidth="1"/>
    <col min="4367" max="4604" width="9.140625" style="81"/>
    <col min="4605" max="4606" width="13.7109375" style="81" customWidth="1"/>
    <col min="4607" max="4607" width="8.85546875" style="81" customWidth="1"/>
    <col min="4608" max="4608" width="10.5703125" style="81" bestFit="1" customWidth="1"/>
    <col min="4609" max="4609" width="7" style="81" bestFit="1" customWidth="1"/>
    <col min="4610" max="4610" width="20.5703125" style="81" customWidth="1"/>
    <col min="4611" max="4611" width="21.140625" style="81" bestFit="1" customWidth="1"/>
    <col min="4612" max="4612" width="24.140625" style="81" bestFit="1" customWidth="1"/>
    <col min="4613" max="4613" width="23" style="81" bestFit="1" customWidth="1"/>
    <col min="4614" max="4615" width="15" style="81" bestFit="1" customWidth="1"/>
    <col min="4616" max="4616" width="14.28515625" style="81" bestFit="1" customWidth="1"/>
    <col min="4617" max="4617" width="23.7109375" style="81" bestFit="1" customWidth="1"/>
    <col min="4618" max="4618" width="18.140625" style="81" customWidth="1"/>
    <col min="4619" max="4619" width="15.5703125" style="81" bestFit="1" customWidth="1"/>
    <col min="4620" max="4620" width="15" style="81" bestFit="1" customWidth="1"/>
    <col min="4621" max="4621" width="26.140625" style="81" customWidth="1"/>
    <col min="4622" max="4622" width="19.28515625" style="81" customWidth="1"/>
    <col min="4623" max="4860" width="9.140625" style="81"/>
    <col min="4861" max="4862" width="13.7109375" style="81" customWidth="1"/>
    <col min="4863" max="4863" width="8.85546875" style="81" customWidth="1"/>
    <col min="4864" max="4864" width="10.5703125" style="81" bestFit="1" customWidth="1"/>
    <col min="4865" max="4865" width="7" style="81" bestFit="1" customWidth="1"/>
    <col min="4866" max="4866" width="20.5703125" style="81" customWidth="1"/>
    <col min="4867" max="4867" width="21.140625" style="81" bestFit="1" customWidth="1"/>
    <col min="4868" max="4868" width="24.140625" style="81" bestFit="1" customWidth="1"/>
    <col min="4869" max="4869" width="23" style="81" bestFit="1" customWidth="1"/>
    <col min="4870" max="4871" width="15" style="81" bestFit="1" customWidth="1"/>
    <col min="4872" max="4872" width="14.28515625" style="81" bestFit="1" customWidth="1"/>
    <col min="4873" max="4873" width="23.7109375" style="81" bestFit="1" customWidth="1"/>
    <col min="4874" max="4874" width="18.140625" style="81" customWidth="1"/>
    <col min="4875" max="4875" width="15.5703125" style="81" bestFit="1" customWidth="1"/>
    <col min="4876" max="4876" width="15" style="81" bestFit="1" customWidth="1"/>
    <col min="4877" max="4877" width="26.140625" style="81" customWidth="1"/>
    <col min="4878" max="4878" width="19.28515625" style="81" customWidth="1"/>
    <col min="4879" max="5116" width="9.140625" style="81"/>
    <col min="5117" max="5118" width="13.7109375" style="81" customWidth="1"/>
    <col min="5119" max="5119" width="8.85546875" style="81" customWidth="1"/>
    <col min="5120" max="5120" width="10.5703125" style="81" bestFit="1" customWidth="1"/>
    <col min="5121" max="5121" width="7" style="81" bestFit="1" customWidth="1"/>
    <col min="5122" max="5122" width="20.5703125" style="81" customWidth="1"/>
    <col min="5123" max="5123" width="21.140625" style="81" bestFit="1" customWidth="1"/>
    <col min="5124" max="5124" width="24.140625" style="81" bestFit="1" customWidth="1"/>
    <col min="5125" max="5125" width="23" style="81" bestFit="1" customWidth="1"/>
    <col min="5126" max="5127" width="15" style="81" bestFit="1" customWidth="1"/>
    <col min="5128" max="5128" width="14.28515625" style="81" bestFit="1" customWidth="1"/>
    <col min="5129" max="5129" width="23.7109375" style="81" bestFit="1" customWidth="1"/>
    <col min="5130" max="5130" width="18.140625" style="81" customWidth="1"/>
    <col min="5131" max="5131" width="15.5703125" style="81" bestFit="1" customWidth="1"/>
    <col min="5132" max="5132" width="15" style="81" bestFit="1" customWidth="1"/>
    <col min="5133" max="5133" width="26.140625" style="81" customWidth="1"/>
    <col min="5134" max="5134" width="19.28515625" style="81" customWidth="1"/>
    <col min="5135" max="5372" width="9.140625" style="81"/>
    <col min="5373" max="5374" width="13.7109375" style="81" customWidth="1"/>
    <col min="5375" max="5375" width="8.85546875" style="81" customWidth="1"/>
    <col min="5376" max="5376" width="10.5703125" style="81" bestFit="1" customWidth="1"/>
    <col min="5377" max="5377" width="7" style="81" bestFit="1" customWidth="1"/>
    <col min="5378" max="5378" width="20.5703125" style="81" customWidth="1"/>
    <col min="5379" max="5379" width="21.140625" style="81" bestFit="1" customWidth="1"/>
    <col min="5380" max="5380" width="24.140625" style="81" bestFit="1" customWidth="1"/>
    <col min="5381" max="5381" width="23" style="81" bestFit="1" customWidth="1"/>
    <col min="5382" max="5383" width="15" style="81" bestFit="1" customWidth="1"/>
    <col min="5384" max="5384" width="14.28515625" style="81" bestFit="1" customWidth="1"/>
    <col min="5385" max="5385" width="23.7109375" style="81" bestFit="1" customWidth="1"/>
    <col min="5386" max="5386" width="18.140625" style="81" customWidth="1"/>
    <col min="5387" max="5387" width="15.5703125" style="81" bestFit="1" customWidth="1"/>
    <col min="5388" max="5388" width="15" style="81" bestFit="1" customWidth="1"/>
    <col min="5389" max="5389" width="26.140625" style="81" customWidth="1"/>
    <col min="5390" max="5390" width="19.28515625" style="81" customWidth="1"/>
    <col min="5391" max="5628" width="9.140625" style="81"/>
    <col min="5629" max="5630" width="13.7109375" style="81" customWidth="1"/>
    <col min="5631" max="5631" width="8.85546875" style="81" customWidth="1"/>
    <col min="5632" max="5632" width="10.5703125" style="81" bestFit="1" customWidth="1"/>
    <col min="5633" max="5633" width="7" style="81" bestFit="1" customWidth="1"/>
    <col min="5634" max="5634" width="20.5703125" style="81" customWidth="1"/>
    <col min="5635" max="5635" width="21.140625" style="81" bestFit="1" customWidth="1"/>
    <col min="5636" max="5636" width="24.140625" style="81" bestFit="1" customWidth="1"/>
    <col min="5637" max="5637" width="23" style="81" bestFit="1" customWidth="1"/>
    <col min="5638" max="5639" width="15" style="81" bestFit="1" customWidth="1"/>
    <col min="5640" max="5640" width="14.28515625" style="81" bestFit="1" customWidth="1"/>
    <col min="5641" max="5641" width="23.7109375" style="81" bestFit="1" customWidth="1"/>
    <col min="5642" max="5642" width="18.140625" style="81" customWidth="1"/>
    <col min="5643" max="5643" width="15.5703125" style="81" bestFit="1" customWidth="1"/>
    <col min="5644" max="5644" width="15" style="81" bestFit="1" customWidth="1"/>
    <col min="5645" max="5645" width="26.140625" style="81" customWidth="1"/>
    <col min="5646" max="5646" width="19.28515625" style="81" customWidth="1"/>
    <col min="5647" max="5884" width="9.140625" style="81"/>
    <col min="5885" max="5886" width="13.7109375" style="81" customWidth="1"/>
    <col min="5887" max="5887" width="8.85546875" style="81" customWidth="1"/>
    <col min="5888" max="5888" width="10.5703125" style="81" bestFit="1" customWidth="1"/>
    <col min="5889" max="5889" width="7" style="81" bestFit="1" customWidth="1"/>
    <col min="5890" max="5890" width="20.5703125" style="81" customWidth="1"/>
    <col min="5891" max="5891" width="21.140625" style="81" bestFit="1" customWidth="1"/>
    <col min="5892" max="5892" width="24.140625" style="81" bestFit="1" customWidth="1"/>
    <col min="5893" max="5893" width="23" style="81" bestFit="1" customWidth="1"/>
    <col min="5894" max="5895" width="15" style="81" bestFit="1" customWidth="1"/>
    <col min="5896" max="5896" width="14.28515625" style="81" bestFit="1" customWidth="1"/>
    <col min="5897" max="5897" width="23.7109375" style="81" bestFit="1" customWidth="1"/>
    <col min="5898" max="5898" width="18.140625" style="81" customWidth="1"/>
    <col min="5899" max="5899" width="15.5703125" style="81" bestFit="1" customWidth="1"/>
    <col min="5900" max="5900" width="15" style="81" bestFit="1" customWidth="1"/>
    <col min="5901" max="5901" width="26.140625" style="81" customWidth="1"/>
    <col min="5902" max="5902" width="19.28515625" style="81" customWidth="1"/>
    <col min="5903" max="6140" width="9.140625" style="81"/>
    <col min="6141" max="6142" width="13.7109375" style="81" customWidth="1"/>
    <col min="6143" max="6143" width="8.85546875" style="81" customWidth="1"/>
    <col min="6144" max="6144" width="10.5703125" style="81" bestFit="1" customWidth="1"/>
    <col min="6145" max="6145" width="7" style="81" bestFit="1" customWidth="1"/>
    <col min="6146" max="6146" width="20.5703125" style="81" customWidth="1"/>
    <col min="6147" max="6147" width="21.140625" style="81" bestFit="1" customWidth="1"/>
    <col min="6148" max="6148" width="24.140625" style="81" bestFit="1" customWidth="1"/>
    <col min="6149" max="6149" width="23" style="81" bestFit="1" customWidth="1"/>
    <col min="6150" max="6151" width="15" style="81" bestFit="1" customWidth="1"/>
    <col min="6152" max="6152" width="14.28515625" style="81" bestFit="1" customWidth="1"/>
    <col min="6153" max="6153" width="23.7109375" style="81" bestFit="1" customWidth="1"/>
    <col min="6154" max="6154" width="18.140625" style="81" customWidth="1"/>
    <col min="6155" max="6155" width="15.5703125" style="81" bestFit="1" customWidth="1"/>
    <col min="6156" max="6156" width="15" style="81" bestFit="1" customWidth="1"/>
    <col min="6157" max="6157" width="26.140625" style="81" customWidth="1"/>
    <col min="6158" max="6158" width="19.28515625" style="81" customWidth="1"/>
    <col min="6159" max="6396" width="9.140625" style="81"/>
    <col min="6397" max="6398" width="13.7109375" style="81" customWidth="1"/>
    <col min="6399" max="6399" width="8.85546875" style="81" customWidth="1"/>
    <col min="6400" max="6400" width="10.5703125" style="81" bestFit="1" customWidth="1"/>
    <col min="6401" max="6401" width="7" style="81" bestFit="1" customWidth="1"/>
    <col min="6402" max="6402" width="20.5703125" style="81" customWidth="1"/>
    <col min="6403" max="6403" width="21.140625" style="81" bestFit="1" customWidth="1"/>
    <col min="6404" max="6404" width="24.140625" style="81" bestFit="1" customWidth="1"/>
    <col min="6405" max="6405" width="23" style="81" bestFit="1" customWidth="1"/>
    <col min="6406" max="6407" width="15" style="81" bestFit="1" customWidth="1"/>
    <col min="6408" max="6408" width="14.28515625" style="81" bestFit="1" customWidth="1"/>
    <col min="6409" max="6409" width="23.7109375" style="81" bestFit="1" customWidth="1"/>
    <col min="6410" max="6410" width="18.140625" style="81" customWidth="1"/>
    <col min="6411" max="6411" width="15.5703125" style="81" bestFit="1" customWidth="1"/>
    <col min="6412" max="6412" width="15" style="81" bestFit="1" customWidth="1"/>
    <col min="6413" max="6413" width="26.140625" style="81" customWidth="1"/>
    <col min="6414" max="6414" width="19.28515625" style="81" customWidth="1"/>
    <col min="6415" max="6652" width="9.140625" style="81"/>
    <col min="6653" max="6654" width="13.7109375" style="81" customWidth="1"/>
    <col min="6655" max="6655" width="8.85546875" style="81" customWidth="1"/>
    <col min="6656" max="6656" width="10.5703125" style="81" bestFit="1" customWidth="1"/>
    <col min="6657" max="6657" width="7" style="81" bestFit="1" customWidth="1"/>
    <col min="6658" max="6658" width="20.5703125" style="81" customWidth="1"/>
    <col min="6659" max="6659" width="21.140625" style="81" bestFit="1" customWidth="1"/>
    <col min="6660" max="6660" width="24.140625" style="81" bestFit="1" customWidth="1"/>
    <col min="6661" max="6661" width="23" style="81" bestFit="1" customWidth="1"/>
    <col min="6662" max="6663" width="15" style="81" bestFit="1" customWidth="1"/>
    <col min="6664" max="6664" width="14.28515625" style="81" bestFit="1" customWidth="1"/>
    <col min="6665" max="6665" width="23.7109375" style="81" bestFit="1" customWidth="1"/>
    <col min="6666" max="6666" width="18.140625" style="81" customWidth="1"/>
    <col min="6667" max="6667" width="15.5703125" style="81" bestFit="1" customWidth="1"/>
    <col min="6668" max="6668" width="15" style="81" bestFit="1" customWidth="1"/>
    <col min="6669" max="6669" width="26.140625" style="81" customWidth="1"/>
    <col min="6670" max="6670" width="19.28515625" style="81" customWidth="1"/>
    <col min="6671" max="6908" width="9.140625" style="81"/>
    <col min="6909" max="6910" width="13.7109375" style="81" customWidth="1"/>
    <col min="6911" max="6911" width="8.85546875" style="81" customWidth="1"/>
    <col min="6912" max="6912" width="10.5703125" style="81" bestFit="1" customWidth="1"/>
    <col min="6913" max="6913" width="7" style="81" bestFit="1" customWidth="1"/>
    <col min="6914" max="6914" width="20.5703125" style="81" customWidth="1"/>
    <col min="6915" max="6915" width="21.140625" style="81" bestFit="1" customWidth="1"/>
    <col min="6916" max="6916" width="24.140625" style="81" bestFit="1" customWidth="1"/>
    <col min="6917" max="6917" width="23" style="81" bestFit="1" customWidth="1"/>
    <col min="6918" max="6919" width="15" style="81" bestFit="1" customWidth="1"/>
    <col min="6920" max="6920" width="14.28515625" style="81" bestFit="1" customWidth="1"/>
    <col min="6921" max="6921" width="23.7109375" style="81" bestFit="1" customWidth="1"/>
    <col min="6922" max="6922" width="18.140625" style="81" customWidth="1"/>
    <col min="6923" max="6923" width="15.5703125" style="81" bestFit="1" customWidth="1"/>
    <col min="6924" max="6924" width="15" style="81" bestFit="1" customWidth="1"/>
    <col min="6925" max="6925" width="26.140625" style="81" customWidth="1"/>
    <col min="6926" max="6926" width="19.28515625" style="81" customWidth="1"/>
    <col min="6927" max="7164" width="9.140625" style="81"/>
    <col min="7165" max="7166" width="13.7109375" style="81" customWidth="1"/>
    <col min="7167" max="7167" width="8.85546875" style="81" customWidth="1"/>
    <col min="7168" max="7168" width="10.5703125" style="81" bestFit="1" customWidth="1"/>
    <col min="7169" max="7169" width="7" style="81" bestFit="1" customWidth="1"/>
    <col min="7170" max="7170" width="20.5703125" style="81" customWidth="1"/>
    <col min="7171" max="7171" width="21.140625" style="81" bestFit="1" customWidth="1"/>
    <col min="7172" max="7172" width="24.140625" style="81" bestFit="1" customWidth="1"/>
    <col min="7173" max="7173" width="23" style="81" bestFit="1" customWidth="1"/>
    <col min="7174" max="7175" width="15" style="81" bestFit="1" customWidth="1"/>
    <col min="7176" max="7176" width="14.28515625" style="81" bestFit="1" customWidth="1"/>
    <col min="7177" max="7177" width="23.7109375" style="81" bestFit="1" customWidth="1"/>
    <col min="7178" max="7178" width="18.140625" style="81" customWidth="1"/>
    <col min="7179" max="7179" width="15.5703125" style="81" bestFit="1" customWidth="1"/>
    <col min="7180" max="7180" width="15" style="81" bestFit="1" customWidth="1"/>
    <col min="7181" max="7181" width="26.140625" style="81" customWidth="1"/>
    <col min="7182" max="7182" width="19.28515625" style="81" customWidth="1"/>
    <col min="7183" max="7420" width="9.140625" style="81"/>
    <col min="7421" max="7422" width="13.7109375" style="81" customWidth="1"/>
    <col min="7423" max="7423" width="8.85546875" style="81" customWidth="1"/>
    <col min="7424" max="7424" width="10.5703125" style="81" bestFit="1" customWidth="1"/>
    <col min="7425" max="7425" width="7" style="81" bestFit="1" customWidth="1"/>
    <col min="7426" max="7426" width="20.5703125" style="81" customWidth="1"/>
    <col min="7427" max="7427" width="21.140625" style="81" bestFit="1" customWidth="1"/>
    <col min="7428" max="7428" width="24.140625" style="81" bestFit="1" customWidth="1"/>
    <col min="7429" max="7429" width="23" style="81" bestFit="1" customWidth="1"/>
    <col min="7430" max="7431" width="15" style="81" bestFit="1" customWidth="1"/>
    <col min="7432" max="7432" width="14.28515625" style="81" bestFit="1" customWidth="1"/>
    <col min="7433" max="7433" width="23.7109375" style="81" bestFit="1" customWidth="1"/>
    <col min="7434" max="7434" width="18.140625" style="81" customWidth="1"/>
    <col min="7435" max="7435" width="15.5703125" style="81" bestFit="1" customWidth="1"/>
    <col min="7436" max="7436" width="15" style="81" bestFit="1" customWidth="1"/>
    <col min="7437" max="7437" width="26.140625" style="81" customWidth="1"/>
    <col min="7438" max="7438" width="19.28515625" style="81" customWidth="1"/>
    <col min="7439" max="7676" width="9.140625" style="81"/>
    <col min="7677" max="7678" width="13.7109375" style="81" customWidth="1"/>
    <col min="7679" max="7679" width="8.85546875" style="81" customWidth="1"/>
    <col min="7680" max="7680" width="10.5703125" style="81" bestFit="1" customWidth="1"/>
    <col min="7681" max="7681" width="7" style="81" bestFit="1" customWidth="1"/>
    <col min="7682" max="7682" width="20.5703125" style="81" customWidth="1"/>
    <col min="7683" max="7683" width="21.140625" style="81" bestFit="1" customWidth="1"/>
    <col min="7684" max="7684" width="24.140625" style="81" bestFit="1" customWidth="1"/>
    <col min="7685" max="7685" width="23" style="81" bestFit="1" customWidth="1"/>
    <col min="7686" max="7687" width="15" style="81" bestFit="1" customWidth="1"/>
    <col min="7688" max="7688" width="14.28515625" style="81" bestFit="1" customWidth="1"/>
    <col min="7689" max="7689" width="23.7109375" style="81" bestFit="1" customWidth="1"/>
    <col min="7690" max="7690" width="18.140625" style="81" customWidth="1"/>
    <col min="7691" max="7691" width="15.5703125" style="81" bestFit="1" customWidth="1"/>
    <col min="7692" max="7692" width="15" style="81" bestFit="1" customWidth="1"/>
    <col min="7693" max="7693" width="26.140625" style="81" customWidth="1"/>
    <col min="7694" max="7694" width="19.28515625" style="81" customWidth="1"/>
    <col min="7695" max="7932" width="9.140625" style="81"/>
    <col min="7933" max="7934" width="13.7109375" style="81" customWidth="1"/>
    <col min="7935" max="7935" width="8.85546875" style="81" customWidth="1"/>
    <col min="7936" max="7936" width="10.5703125" style="81" bestFit="1" customWidth="1"/>
    <col min="7937" max="7937" width="7" style="81" bestFit="1" customWidth="1"/>
    <col min="7938" max="7938" width="20.5703125" style="81" customWidth="1"/>
    <col min="7939" max="7939" width="21.140625" style="81" bestFit="1" customWidth="1"/>
    <col min="7940" max="7940" width="24.140625" style="81" bestFit="1" customWidth="1"/>
    <col min="7941" max="7941" width="23" style="81" bestFit="1" customWidth="1"/>
    <col min="7942" max="7943" width="15" style="81" bestFit="1" customWidth="1"/>
    <col min="7944" max="7944" width="14.28515625" style="81" bestFit="1" customWidth="1"/>
    <col min="7945" max="7945" width="23.7109375" style="81" bestFit="1" customWidth="1"/>
    <col min="7946" max="7946" width="18.140625" style="81" customWidth="1"/>
    <col min="7947" max="7947" width="15.5703125" style="81" bestFit="1" customWidth="1"/>
    <col min="7948" max="7948" width="15" style="81" bestFit="1" customWidth="1"/>
    <col min="7949" max="7949" width="26.140625" style="81" customWidth="1"/>
    <col min="7950" max="7950" width="19.28515625" style="81" customWidth="1"/>
    <col min="7951" max="8188" width="9.140625" style="81"/>
    <col min="8189" max="8190" width="13.7109375" style="81" customWidth="1"/>
    <col min="8191" max="8191" width="8.85546875" style="81" customWidth="1"/>
    <col min="8192" max="8192" width="10.5703125" style="81" bestFit="1" customWidth="1"/>
    <col min="8193" max="8193" width="7" style="81" bestFit="1" customWidth="1"/>
    <col min="8194" max="8194" width="20.5703125" style="81" customWidth="1"/>
    <col min="8195" max="8195" width="21.140625" style="81" bestFit="1" customWidth="1"/>
    <col min="8196" max="8196" width="24.140625" style="81" bestFit="1" customWidth="1"/>
    <col min="8197" max="8197" width="23" style="81" bestFit="1" customWidth="1"/>
    <col min="8198" max="8199" width="15" style="81" bestFit="1" customWidth="1"/>
    <col min="8200" max="8200" width="14.28515625" style="81" bestFit="1" customWidth="1"/>
    <col min="8201" max="8201" width="23.7109375" style="81" bestFit="1" customWidth="1"/>
    <col min="8202" max="8202" width="18.140625" style="81" customWidth="1"/>
    <col min="8203" max="8203" width="15.5703125" style="81" bestFit="1" customWidth="1"/>
    <col min="8204" max="8204" width="15" style="81" bestFit="1" customWidth="1"/>
    <col min="8205" max="8205" width="26.140625" style="81" customWidth="1"/>
    <col min="8206" max="8206" width="19.28515625" style="81" customWidth="1"/>
    <col min="8207" max="8444" width="9.140625" style="81"/>
    <col min="8445" max="8446" width="13.7109375" style="81" customWidth="1"/>
    <col min="8447" max="8447" width="8.85546875" style="81" customWidth="1"/>
    <col min="8448" max="8448" width="10.5703125" style="81" bestFit="1" customWidth="1"/>
    <col min="8449" max="8449" width="7" style="81" bestFit="1" customWidth="1"/>
    <col min="8450" max="8450" width="20.5703125" style="81" customWidth="1"/>
    <col min="8451" max="8451" width="21.140625" style="81" bestFit="1" customWidth="1"/>
    <col min="8452" max="8452" width="24.140625" style="81" bestFit="1" customWidth="1"/>
    <col min="8453" max="8453" width="23" style="81" bestFit="1" customWidth="1"/>
    <col min="8454" max="8455" width="15" style="81" bestFit="1" customWidth="1"/>
    <col min="8456" max="8456" width="14.28515625" style="81" bestFit="1" customWidth="1"/>
    <col min="8457" max="8457" width="23.7109375" style="81" bestFit="1" customWidth="1"/>
    <col min="8458" max="8458" width="18.140625" style="81" customWidth="1"/>
    <col min="8459" max="8459" width="15.5703125" style="81" bestFit="1" customWidth="1"/>
    <col min="8460" max="8460" width="15" style="81" bestFit="1" customWidth="1"/>
    <col min="8461" max="8461" width="26.140625" style="81" customWidth="1"/>
    <col min="8462" max="8462" width="19.28515625" style="81" customWidth="1"/>
    <col min="8463" max="8700" width="9.140625" style="81"/>
    <col min="8701" max="8702" width="13.7109375" style="81" customWidth="1"/>
    <col min="8703" max="8703" width="8.85546875" style="81" customWidth="1"/>
    <col min="8704" max="8704" width="10.5703125" style="81" bestFit="1" customWidth="1"/>
    <col min="8705" max="8705" width="7" style="81" bestFit="1" customWidth="1"/>
    <col min="8706" max="8706" width="20.5703125" style="81" customWidth="1"/>
    <col min="8707" max="8707" width="21.140625" style="81" bestFit="1" customWidth="1"/>
    <col min="8708" max="8708" width="24.140625" style="81" bestFit="1" customWidth="1"/>
    <col min="8709" max="8709" width="23" style="81" bestFit="1" customWidth="1"/>
    <col min="8710" max="8711" width="15" style="81" bestFit="1" customWidth="1"/>
    <col min="8712" max="8712" width="14.28515625" style="81" bestFit="1" customWidth="1"/>
    <col min="8713" max="8713" width="23.7109375" style="81" bestFit="1" customWidth="1"/>
    <col min="8714" max="8714" width="18.140625" style="81" customWidth="1"/>
    <col min="8715" max="8715" width="15.5703125" style="81" bestFit="1" customWidth="1"/>
    <col min="8716" max="8716" width="15" style="81" bestFit="1" customWidth="1"/>
    <col min="8717" max="8717" width="26.140625" style="81" customWidth="1"/>
    <col min="8718" max="8718" width="19.28515625" style="81" customWidth="1"/>
    <col min="8719" max="8956" width="9.140625" style="81"/>
    <col min="8957" max="8958" width="13.7109375" style="81" customWidth="1"/>
    <col min="8959" max="8959" width="8.85546875" style="81" customWidth="1"/>
    <col min="8960" max="8960" width="10.5703125" style="81" bestFit="1" customWidth="1"/>
    <col min="8961" max="8961" width="7" style="81" bestFit="1" customWidth="1"/>
    <col min="8962" max="8962" width="20.5703125" style="81" customWidth="1"/>
    <col min="8963" max="8963" width="21.140625" style="81" bestFit="1" customWidth="1"/>
    <col min="8964" max="8964" width="24.140625" style="81" bestFit="1" customWidth="1"/>
    <col min="8965" max="8965" width="23" style="81" bestFit="1" customWidth="1"/>
    <col min="8966" max="8967" width="15" style="81" bestFit="1" customWidth="1"/>
    <col min="8968" max="8968" width="14.28515625" style="81" bestFit="1" customWidth="1"/>
    <col min="8969" max="8969" width="23.7109375" style="81" bestFit="1" customWidth="1"/>
    <col min="8970" max="8970" width="18.140625" style="81" customWidth="1"/>
    <col min="8971" max="8971" width="15.5703125" style="81" bestFit="1" customWidth="1"/>
    <col min="8972" max="8972" width="15" style="81" bestFit="1" customWidth="1"/>
    <col min="8973" max="8973" width="26.140625" style="81" customWidth="1"/>
    <col min="8974" max="8974" width="19.28515625" style="81" customWidth="1"/>
    <col min="8975" max="9212" width="9.140625" style="81"/>
    <col min="9213" max="9214" width="13.7109375" style="81" customWidth="1"/>
    <col min="9215" max="9215" width="8.85546875" style="81" customWidth="1"/>
    <col min="9216" max="9216" width="10.5703125" style="81" bestFit="1" customWidth="1"/>
    <col min="9217" max="9217" width="7" style="81" bestFit="1" customWidth="1"/>
    <col min="9218" max="9218" width="20.5703125" style="81" customWidth="1"/>
    <col min="9219" max="9219" width="21.140625" style="81" bestFit="1" customWidth="1"/>
    <col min="9220" max="9220" width="24.140625" style="81" bestFit="1" customWidth="1"/>
    <col min="9221" max="9221" width="23" style="81" bestFit="1" customWidth="1"/>
    <col min="9222" max="9223" width="15" style="81" bestFit="1" customWidth="1"/>
    <col min="9224" max="9224" width="14.28515625" style="81" bestFit="1" customWidth="1"/>
    <col min="9225" max="9225" width="23.7109375" style="81" bestFit="1" customWidth="1"/>
    <col min="9226" max="9226" width="18.140625" style="81" customWidth="1"/>
    <col min="9227" max="9227" width="15.5703125" style="81" bestFit="1" customWidth="1"/>
    <col min="9228" max="9228" width="15" style="81" bestFit="1" customWidth="1"/>
    <col min="9229" max="9229" width="26.140625" style="81" customWidth="1"/>
    <col min="9230" max="9230" width="19.28515625" style="81" customWidth="1"/>
    <col min="9231" max="9468" width="9.140625" style="81"/>
    <col min="9469" max="9470" width="13.7109375" style="81" customWidth="1"/>
    <col min="9471" max="9471" width="8.85546875" style="81" customWidth="1"/>
    <col min="9472" max="9472" width="10.5703125" style="81" bestFit="1" customWidth="1"/>
    <col min="9473" max="9473" width="7" style="81" bestFit="1" customWidth="1"/>
    <col min="9474" max="9474" width="20.5703125" style="81" customWidth="1"/>
    <col min="9475" max="9475" width="21.140625" style="81" bestFit="1" customWidth="1"/>
    <col min="9476" max="9476" width="24.140625" style="81" bestFit="1" customWidth="1"/>
    <col min="9477" max="9477" width="23" style="81" bestFit="1" customWidth="1"/>
    <col min="9478" max="9479" width="15" style="81" bestFit="1" customWidth="1"/>
    <col min="9480" max="9480" width="14.28515625" style="81" bestFit="1" customWidth="1"/>
    <col min="9481" max="9481" width="23.7109375" style="81" bestFit="1" customWidth="1"/>
    <col min="9482" max="9482" width="18.140625" style="81" customWidth="1"/>
    <col min="9483" max="9483" width="15.5703125" style="81" bestFit="1" customWidth="1"/>
    <col min="9484" max="9484" width="15" style="81" bestFit="1" customWidth="1"/>
    <col min="9485" max="9485" width="26.140625" style="81" customWidth="1"/>
    <col min="9486" max="9486" width="19.28515625" style="81" customWidth="1"/>
    <col min="9487" max="9724" width="9.140625" style="81"/>
    <col min="9725" max="9726" width="13.7109375" style="81" customWidth="1"/>
    <col min="9727" max="9727" width="8.85546875" style="81" customWidth="1"/>
    <col min="9728" max="9728" width="10.5703125" style="81" bestFit="1" customWidth="1"/>
    <col min="9729" max="9729" width="7" style="81" bestFit="1" customWidth="1"/>
    <col min="9730" max="9730" width="20.5703125" style="81" customWidth="1"/>
    <col min="9731" max="9731" width="21.140625" style="81" bestFit="1" customWidth="1"/>
    <col min="9732" max="9732" width="24.140625" style="81" bestFit="1" customWidth="1"/>
    <col min="9733" max="9733" width="23" style="81" bestFit="1" customWidth="1"/>
    <col min="9734" max="9735" width="15" style="81" bestFit="1" customWidth="1"/>
    <col min="9736" max="9736" width="14.28515625" style="81" bestFit="1" customWidth="1"/>
    <col min="9737" max="9737" width="23.7109375" style="81" bestFit="1" customWidth="1"/>
    <col min="9738" max="9738" width="18.140625" style="81" customWidth="1"/>
    <col min="9739" max="9739" width="15.5703125" style="81" bestFit="1" customWidth="1"/>
    <col min="9740" max="9740" width="15" style="81" bestFit="1" customWidth="1"/>
    <col min="9741" max="9741" width="26.140625" style="81" customWidth="1"/>
    <col min="9742" max="9742" width="19.28515625" style="81" customWidth="1"/>
    <col min="9743" max="9980" width="9.140625" style="81"/>
    <col min="9981" max="9982" width="13.7109375" style="81" customWidth="1"/>
    <col min="9983" max="9983" width="8.85546875" style="81" customWidth="1"/>
    <col min="9984" max="9984" width="10.5703125" style="81" bestFit="1" customWidth="1"/>
    <col min="9985" max="9985" width="7" style="81" bestFit="1" customWidth="1"/>
    <col min="9986" max="9986" width="20.5703125" style="81" customWidth="1"/>
    <col min="9987" max="9987" width="21.140625" style="81" bestFit="1" customWidth="1"/>
    <col min="9988" max="9988" width="24.140625" style="81" bestFit="1" customWidth="1"/>
    <col min="9989" max="9989" width="23" style="81" bestFit="1" customWidth="1"/>
    <col min="9990" max="9991" width="15" style="81" bestFit="1" customWidth="1"/>
    <col min="9992" max="9992" width="14.28515625" style="81" bestFit="1" customWidth="1"/>
    <col min="9993" max="9993" width="23.7109375" style="81" bestFit="1" customWidth="1"/>
    <col min="9994" max="9994" width="18.140625" style="81" customWidth="1"/>
    <col min="9995" max="9995" width="15.5703125" style="81" bestFit="1" customWidth="1"/>
    <col min="9996" max="9996" width="15" style="81" bestFit="1" customWidth="1"/>
    <col min="9997" max="9997" width="26.140625" style="81" customWidth="1"/>
    <col min="9998" max="9998" width="19.28515625" style="81" customWidth="1"/>
    <col min="9999" max="10236" width="9.140625" style="81"/>
    <col min="10237" max="10238" width="13.7109375" style="81" customWidth="1"/>
    <col min="10239" max="10239" width="8.85546875" style="81" customWidth="1"/>
    <col min="10240" max="10240" width="10.5703125" style="81" bestFit="1" customWidth="1"/>
    <col min="10241" max="10241" width="7" style="81" bestFit="1" customWidth="1"/>
    <col min="10242" max="10242" width="20.5703125" style="81" customWidth="1"/>
    <col min="10243" max="10243" width="21.140625" style="81" bestFit="1" customWidth="1"/>
    <col min="10244" max="10244" width="24.140625" style="81" bestFit="1" customWidth="1"/>
    <col min="10245" max="10245" width="23" style="81" bestFit="1" customWidth="1"/>
    <col min="10246" max="10247" width="15" style="81" bestFit="1" customWidth="1"/>
    <col min="10248" max="10248" width="14.28515625" style="81" bestFit="1" customWidth="1"/>
    <col min="10249" max="10249" width="23.7109375" style="81" bestFit="1" customWidth="1"/>
    <col min="10250" max="10250" width="18.140625" style="81" customWidth="1"/>
    <col min="10251" max="10251" width="15.5703125" style="81" bestFit="1" customWidth="1"/>
    <col min="10252" max="10252" width="15" style="81" bestFit="1" customWidth="1"/>
    <col min="10253" max="10253" width="26.140625" style="81" customWidth="1"/>
    <col min="10254" max="10254" width="19.28515625" style="81" customWidth="1"/>
    <col min="10255" max="10492" width="9.140625" style="81"/>
    <col min="10493" max="10494" width="13.7109375" style="81" customWidth="1"/>
    <col min="10495" max="10495" width="8.85546875" style="81" customWidth="1"/>
    <col min="10496" max="10496" width="10.5703125" style="81" bestFit="1" customWidth="1"/>
    <col min="10497" max="10497" width="7" style="81" bestFit="1" customWidth="1"/>
    <col min="10498" max="10498" width="20.5703125" style="81" customWidth="1"/>
    <col min="10499" max="10499" width="21.140625" style="81" bestFit="1" customWidth="1"/>
    <col min="10500" max="10500" width="24.140625" style="81" bestFit="1" customWidth="1"/>
    <col min="10501" max="10501" width="23" style="81" bestFit="1" customWidth="1"/>
    <col min="10502" max="10503" width="15" style="81" bestFit="1" customWidth="1"/>
    <col min="10504" max="10504" width="14.28515625" style="81" bestFit="1" customWidth="1"/>
    <col min="10505" max="10505" width="23.7109375" style="81" bestFit="1" customWidth="1"/>
    <col min="10506" max="10506" width="18.140625" style="81" customWidth="1"/>
    <col min="10507" max="10507" width="15.5703125" style="81" bestFit="1" customWidth="1"/>
    <col min="10508" max="10508" width="15" style="81" bestFit="1" customWidth="1"/>
    <col min="10509" max="10509" width="26.140625" style="81" customWidth="1"/>
    <col min="10510" max="10510" width="19.28515625" style="81" customWidth="1"/>
    <col min="10511" max="10748" width="9.140625" style="81"/>
    <col min="10749" max="10750" width="13.7109375" style="81" customWidth="1"/>
    <col min="10751" max="10751" width="8.85546875" style="81" customWidth="1"/>
    <col min="10752" max="10752" width="10.5703125" style="81" bestFit="1" customWidth="1"/>
    <col min="10753" max="10753" width="7" style="81" bestFit="1" customWidth="1"/>
    <col min="10754" max="10754" width="20.5703125" style="81" customWidth="1"/>
    <col min="10755" max="10755" width="21.140625" style="81" bestFit="1" customWidth="1"/>
    <col min="10756" max="10756" width="24.140625" style="81" bestFit="1" customWidth="1"/>
    <col min="10757" max="10757" width="23" style="81" bestFit="1" customWidth="1"/>
    <col min="10758" max="10759" width="15" style="81" bestFit="1" customWidth="1"/>
    <col min="10760" max="10760" width="14.28515625" style="81" bestFit="1" customWidth="1"/>
    <col min="10761" max="10761" width="23.7109375" style="81" bestFit="1" customWidth="1"/>
    <col min="10762" max="10762" width="18.140625" style="81" customWidth="1"/>
    <col min="10763" max="10763" width="15.5703125" style="81" bestFit="1" customWidth="1"/>
    <col min="10764" max="10764" width="15" style="81" bestFit="1" customWidth="1"/>
    <col min="10765" max="10765" width="26.140625" style="81" customWidth="1"/>
    <col min="10766" max="10766" width="19.28515625" style="81" customWidth="1"/>
    <col min="10767" max="11004" width="9.140625" style="81"/>
    <col min="11005" max="11006" width="13.7109375" style="81" customWidth="1"/>
    <col min="11007" max="11007" width="8.85546875" style="81" customWidth="1"/>
    <col min="11008" max="11008" width="10.5703125" style="81" bestFit="1" customWidth="1"/>
    <col min="11009" max="11009" width="7" style="81" bestFit="1" customWidth="1"/>
    <col min="11010" max="11010" width="20.5703125" style="81" customWidth="1"/>
    <col min="11011" max="11011" width="21.140625" style="81" bestFit="1" customWidth="1"/>
    <col min="11012" max="11012" width="24.140625" style="81" bestFit="1" customWidth="1"/>
    <col min="11013" max="11013" width="23" style="81" bestFit="1" customWidth="1"/>
    <col min="11014" max="11015" width="15" style="81" bestFit="1" customWidth="1"/>
    <col min="11016" max="11016" width="14.28515625" style="81" bestFit="1" customWidth="1"/>
    <col min="11017" max="11017" width="23.7109375" style="81" bestFit="1" customWidth="1"/>
    <col min="11018" max="11018" width="18.140625" style="81" customWidth="1"/>
    <col min="11019" max="11019" width="15.5703125" style="81" bestFit="1" customWidth="1"/>
    <col min="11020" max="11020" width="15" style="81" bestFit="1" customWidth="1"/>
    <col min="11021" max="11021" width="26.140625" style="81" customWidth="1"/>
    <col min="11022" max="11022" width="19.28515625" style="81" customWidth="1"/>
    <col min="11023" max="11260" width="9.140625" style="81"/>
    <col min="11261" max="11262" width="13.7109375" style="81" customWidth="1"/>
    <col min="11263" max="11263" width="8.85546875" style="81" customWidth="1"/>
    <col min="11264" max="11264" width="10.5703125" style="81" bestFit="1" customWidth="1"/>
    <col min="11265" max="11265" width="7" style="81" bestFit="1" customWidth="1"/>
    <col min="11266" max="11266" width="20.5703125" style="81" customWidth="1"/>
    <col min="11267" max="11267" width="21.140625" style="81" bestFit="1" customWidth="1"/>
    <col min="11268" max="11268" width="24.140625" style="81" bestFit="1" customWidth="1"/>
    <col min="11269" max="11269" width="23" style="81" bestFit="1" customWidth="1"/>
    <col min="11270" max="11271" width="15" style="81" bestFit="1" customWidth="1"/>
    <col min="11272" max="11272" width="14.28515625" style="81" bestFit="1" customWidth="1"/>
    <col min="11273" max="11273" width="23.7109375" style="81" bestFit="1" customWidth="1"/>
    <col min="11274" max="11274" width="18.140625" style="81" customWidth="1"/>
    <col min="11275" max="11275" width="15.5703125" style="81" bestFit="1" customWidth="1"/>
    <col min="11276" max="11276" width="15" style="81" bestFit="1" customWidth="1"/>
    <col min="11277" max="11277" width="26.140625" style="81" customWidth="1"/>
    <col min="11278" max="11278" width="19.28515625" style="81" customWidth="1"/>
    <col min="11279" max="11516" width="9.140625" style="81"/>
    <col min="11517" max="11518" width="13.7109375" style="81" customWidth="1"/>
    <col min="11519" max="11519" width="8.85546875" style="81" customWidth="1"/>
    <col min="11520" max="11520" width="10.5703125" style="81" bestFit="1" customWidth="1"/>
    <col min="11521" max="11521" width="7" style="81" bestFit="1" customWidth="1"/>
    <col min="11522" max="11522" width="20.5703125" style="81" customWidth="1"/>
    <col min="11523" max="11523" width="21.140625" style="81" bestFit="1" customWidth="1"/>
    <col min="11524" max="11524" width="24.140625" style="81" bestFit="1" customWidth="1"/>
    <col min="11525" max="11525" width="23" style="81" bestFit="1" customWidth="1"/>
    <col min="11526" max="11527" width="15" style="81" bestFit="1" customWidth="1"/>
    <col min="11528" max="11528" width="14.28515625" style="81" bestFit="1" customWidth="1"/>
    <col min="11529" max="11529" width="23.7109375" style="81" bestFit="1" customWidth="1"/>
    <col min="11530" max="11530" width="18.140625" style="81" customWidth="1"/>
    <col min="11531" max="11531" width="15.5703125" style="81" bestFit="1" customWidth="1"/>
    <col min="11532" max="11532" width="15" style="81" bestFit="1" customWidth="1"/>
    <col min="11533" max="11533" width="26.140625" style="81" customWidth="1"/>
    <col min="11534" max="11534" width="19.28515625" style="81" customWidth="1"/>
    <col min="11535" max="11772" width="9.140625" style="81"/>
    <col min="11773" max="11774" width="13.7109375" style="81" customWidth="1"/>
    <col min="11775" max="11775" width="8.85546875" style="81" customWidth="1"/>
    <col min="11776" max="11776" width="10.5703125" style="81" bestFit="1" customWidth="1"/>
    <col min="11777" max="11777" width="7" style="81" bestFit="1" customWidth="1"/>
    <col min="11778" max="11778" width="20.5703125" style="81" customWidth="1"/>
    <col min="11779" max="11779" width="21.140625" style="81" bestFit="1" customWidth="1"/>
    <col min="11780" max="11780" width="24.140625" style="81" bestFit="1" customWidth="1"/>
    <col min="11781" max="11781" width="23" style="81" bestFit="1" customWidth="1"/>
    <col min="11782" max="11783" width="15" style="81" bestFit="1" customWidth="1"/>
    <col min="11784" max="11784" width="14.28515625" style="81" bestFit="1" customWidth="1"/>
    <col min="11785" max="11785" width="23.7109375" style="81" bestFit="1" customWidth="1"/>
    <col min="11786" max="11786" width="18.140625" style="81" customWidth="1"/>
    <col min="11787" max="11787" width="15.5703125" style="81" bestFit="1" customWidth="1"/>
    <col min="11788" max="11788" width="15" style="81" bestFit="1" customWidth="1"/>
    <col min="11789" max="11789" width="26.140625" style="81" customWidth="1"/>
    <col min="11790" max="11790" width="19.28515625" style="81" customWidth="1"/>
    <col min="11791" max="12028" width="9.140625" style="81"/>
    <col min="12029" max="12030" width="13.7109375" style="81" customWidth="1"/>
    <col min="12031" max="12031" width="8.85546875" style="81" customWidth="1"/>
    <col min="12032" max="12032" width="10.5703125" style="81" bestFit="1" customWidth="1"/>
    <col min="12033" max="12033" width="7" style="81" bestFit="1" customWidth="1"/>
    <col min="12034" max="12034" width="20.5703125" style="81" customWidth="1"/>
    <col min="12035" max="12035" width="21.140625" style="81" bestFit="1" customWidth="1"/>
    <col min="12036" max="12036" width="24.140625" style="81" bestFit="1" customWidth="1"/>
    <col min="12037" max="12037" width="23" style="81" bestFit="1" customWidth="1"/>
    <col min="12038" max="12039" width="15" style="81" bestFit="1" customWidth="1"/>
    <col min="12040" max="12040" width="14.28515625" style="81" bestFit="1" customWidth="1"/>
    <col min="12041" max="12041" width="23.7109375" style="81" bestFit="1" customWidth="1"/>
    <col min="12042" max="12042" width="18.140625" style="81" customWidth="1"/>
    <col min="12043" max="12043" width="15.5703125" style="81" bestFit="1" customWidth="1"/>
    <col min="12044" max="12044" width="15" style="81" bestFit="1" customWidth="1"/>
    <col min="12045" max="12045" width="26.140625" style="81" customWidth="1"/>
    <col min="12046" max="12046" width="19.28515625" style="81" customWidth="1"/>
    <col min="12047" max="12284" width="9.140625" style="81"/>
    <col min="12285" max="12286" width="13.7109375" style="81" customWidth="1"/>
    <col min="12287" max="12287" width="8.85546875" style="81" customWidth="1"/>
    <col min="12288" max="12288" width="10.5703125" style="81" bestFit="1" customWidth="1"/>
    <col min="12289" max="12289" width="7" style="81" bestFit="1" customWidth="1"/>
    <col min="12290" max="12290" width="20.5703125" style="81" customWidth="1"/>
    <col min="12291" max="12291" width="21.140625" style="81" bestFit="1" customWidth="1"/>
    <col min="12292" max="12292" width="24.140625" style="81" bestFit="1" customWidth="1"/>
    <col min="12293" max="12293" width="23" style="81" bestFit="1" customWidth="1"/>
    <col min="12294" max="12295" width="15" style="81" bestFit="1" customWidth="1"/>
    <col min="12296" max="12296" width="14.28515625" style="81" bestFit="1" customWidth="1"/>
    <col min="12297" max="12297" width="23.7109375" style="81" bestFit="1" customWidth="1"/>
    <col min="12298" max="12298" width="18.140625" style="81" customWidth="1"/>
    <col min="12299" max="12299" width="15.5703125" style="81" bestFit="1" customWidth="1"/>
    <col min="12300" max="12300" width="15" style="81" bestFit="1" customWidth="1"/>
    <col min="12301" max="12301" width="26.140625" style="81" customWidth="1"/>
    <col min="12302" max="12302" width="19.28515625" style="81" customWidth="1"/>
    <col min="12303" max="12540" width="9.140625" style="81"/>
    <col min="12541" max="12542" width="13.7109375" style="81" customWidth="1"/>
    <col min="12543" max="12543" width="8.85546875" style="81" customWidth="1"/>
    <col min="12544" max="12544" width="10.5703125" style="81" bestFit="1" customWidth="1"/>
    <col min="12545" max="12545" width="7" style="81" bestFit="1" customWidth="1"/>
    <col min="12546" max="12546" width="20.5703125" style="81" customWidth="1"/>
    <col min="12547" max="12547" width="21.140625" style="81" bestFit="1" customWidth="1"/>
    <col min="12548" max="12548" width="24.140625" style="81" bestFit="1" customWidth="1"/>
    <col min="12549" max="12549" width="23" style="81" bestFit="1" customWidth="1"/>
    <col min="12550" max="12551" width="15" style="81" bestFit="1" customWidth="1"/>
    <col min="12552" max="12552" width="14.28515625" style="81" bestFit="1" customWidth="1"/>
    <col min="12553" max="12553" width="23.7109375" style="81" bestFit="1" customWidth="1"/>
    <col min="12554" max="12554" width="18.140625" style="81" customWidth="1"/>
    <col min="12555" max="12555" width="15.5703125" style="81" bestFit="1" customWidth="1"/>
    <col min="12556" max="12556" width="15" style="81" bestFit="1" customWidth="1"/>
    <col min="12557" max="12557" width="26.140625" style="81" customWidth="1"/>
    <col min="12558" max="12558" width="19.28515625" style="81" customWidth="1"/>
    <col min="12559" max="12796" width="9.140625" style="81"/>
    <col min="12797" max="12798" width="13.7109375" style="81" customWidth="1"/>
    <col min="12799" max="12799" width="8.85546875" style="81" customWidth="1"/>
    <col min="12800" max="12800" width="10.5703125" style="81" bestFit="1" customWidth="1"/>
    <col min="12801" max="12801" width="7" style="81" bestFit="1" customWidth="1"/>
    <col min="12802" max="12802" width="20.5703125" style="81" customWidth="1"/>
    <col min="12803" max="12803" width="21.140625" style="81" bestFit="1" customWidth="1"/>
    <col min="12804" max="12804" width="24.140625" style="81" bestFit="1" customWidth="1"/>
    <col min="12805" max="12805" width="23" style="81" bestFit="1" customWidth="1"/>
    <col min="12806" max="12807" width="15" style="81" bestFit="1" customWidth="1"/>
    <col min="12808" max="12808" width="14.28515625" style="81" bestFit="1" customWidth="1"/>
    <col min="12809" max="12809" width="23.7109375" style="81" bestFit="1" customWidth="1"/>
    <col min="12810" max="12810" width="18.140625" style="81" customWidth="1"/>
    <col min="12811" max="12811" width="15.5703125" style="81" bestFit="1" customWidth="1"/>
    <col min="12812" max="12812" width="15" style="81" bestFit="1" customWidth="1"/>
    <col min="12813" max="12813" width="26.140625" style="81" customWidth="1"/>
    <col min="12814" max="12814" width="19.28515625" style="81" customWidth="1"/>
    <col min="12815" max="13052" width="9.140625" style="81"/>
    <col min="13053" max="13054" width="13.7109375" style="81" customWidth="1"/>
    <col min="13055" max="13055" width="8.85546875" style="81" customWidth="1"/>
    <col min="13056" max="13056" width="10.5703125" style="81" bestFit="1" customWidth="1"/>
    <col min="13057" max="13057" width="7" style="81" bestFit="1" customWidth="1"/>
    <col min="13058" max="13058" width="20.5703125" style="81" customWidth="1"/>
    <col min="13059" max="13059" width="21.140625" style="81" bestFit="1" customWidth="1"/>
    <col min="13060" max="13060" width="24.140625" style="81" bestFit="1" customWidth="1"/>
    <col min="13061" max="13061" width="23" style="81" bestFit="1" customWidth="1"/>
    <col min="13062" max="13063" width="15" style="81" bestFit="1" customWidth="1"/>
    <col min="13064" max="13064" width="14.28515625" style="81" bestFit="1" customWidth="1"/>
    <col min="13065" max="13065" width="23.7109375" style="81" bestFit="1" customWidth="1"/>
    <col min="13066" max="13066" width="18.140625" style="81" customWidth="1"/>
    <col min="13067" max="13067" width="15.5703125" style="81" bestFit="1" customWidth="1"/>
    <col min="13068" max="13068" width="15" style="81" bestFit="1" customWidth="1"/>
    <col min="13069" max="13069" width="26.140625" style="81" customWidth="1"/>
    <col min="13070" max="13070" width="19.28515625" style="81" customWidth="1"/>
    <col min="13071" max="13308" width="9.140625" style="81"/>
    <col min="13309" max="13310" width="13.7109375" style="81" customWidth="1"/>
    <col min="13311" max="13311" width="8.85546875" style="81" customWidth="1"/>
    <col min="13312" max="13312" width="10.5703125" style="81" bestFit="1" customWidth="1"/>
    <col min="13313" max="13313" width="7" style="81" bestFit="1" customWidth="1"/>
    <col min="13314" max="13314" width="20.5703125" style="81" customWidth="1"/>
    <col min="13315" max="13315" width="21.140625" style="81" bestFit="1" customWidth="1"/>
    <col min="13316" max="13316" width="24.140625" style="81" bestFit="1" customWidth="1"/>
    <col min="13317" max="13317" width="23" style="81" bestFit="1" customWidth="1"/>
    <col min="13318" max="13319" width="15" style="81" bestFit="1" customWidth="1"/>
    <col min="13320" max="13320" width="14.28515625" style="81" bestFit="1" customWidth="1"/>
    <col min="13321" max="13321" width="23.7109375" style="81" bestFit="1" customWidth="1"/>
    <col min="13322" max="13322" width="18.140625" style="81" customWidth="1"/>
    <col min="13323" max="13323" width="15.5703125" style="81" bestFit="1" customWidth="1"/>
    <col min="13324" max="13324" width="15" style="81" bestFit="1" customWidth="1"/>
    <col min="13325" max="13325" width="26.140625" style="81" customWidth="1"/>
    <col min="13326" max="13326" width="19.28515625" style="81" customWidth="1"/>
    <col min="13327" max="13564" width="9.140625" style="81"/>
    <col min="13565" max="13566" width="13.7109375" style="81" customWidth="1"/>
    <col min="13567" max="13567" width="8.85546875" style="81" customWidth="1"/>
    <col min="13568" max="13568" width="10.5703125" style="81" bestFit="1" customWidth="1"/>
    <col min="13569" max="13569" width="7" style="81" bestFit="1" customWidth="1"/>
    <col min="13570" max="13570" width="20.5703125" style="81" customWidth="1"/>
    <col min="13571" max="13571" width="21.140625" style="81" bestFit="1" customWidth="1"/>
    <col min="13572" max="13572" width="24.140625" style="81" bestFit="1" customWidth="1"/>
    <col min="13573" max="13573" width="23" style="81" bestFit="1" customWidth="1"/>
    <col min="13574" max="13575" width="15" style="81" bestFit="1" customWidth="1"/>
    <col min="13576" max="13576" width="14.28515625" style="81" bestFit="1" customWidth="1"/>
    <col min="13577" max="13577" width="23.7109375" style="81" bestFit="1" customWidth="1"/>
    <col min="13578" max="13578" width="18.140625" style="81" customWidth="1"/>
    <col min="13579" max="13579" width="15.5703125" style="81" bestFit="1" customWidth="1"/>
    <col min="13580" max="13580" width="15" style="81" bestFit="1" customWidth="1"/>
    <col min="13581" max="13581" width="26.140625" style="81" customWidth="1"/>
    <col min="13582" max="13582" width="19.28515625" style="81" customWidth="1"/>
    <col min="13583" max="13820" width="9.140625" style="81"/>
    <col min="13821" max="13822" width="13.7109375" style="81" customWidth="1"/>
    <col min="13823" max="13823" width="8.85546875" style="81" customWidth="1"/>
    <col min="13824" max="13824" width="10.5703125" style="81" bestFit="1" customWidth="1"/>
    <col min="13825" max="13825" width="7" style="81" bestFit="1" customWidth="1"/>
    <col min="13826" max="13826" width="20.5703125" style="81" customWidth="1"/>
    <col min="13827" max="13827" width="21.140625" style="81" bestFit="1" customWidth="1"/>
    <col min="13828" max="13828" width="24.140625" style="81" bestFit="1" customWidth="1"/>
    <col min="13829" max="13829" width="23" style="81" bestFit="1" customWidth="1"/>
    <col min="13830" max="13831" width="15" style="81" bestFit="1" customWidth="1"/>
    <col min="13832" max="13832" width="14.28515625" style="81" bestFit="1" customWidth="1"/>
    <col min="13833" max="13833" width="23.7109375" style="81" bestFit="1" customWidth="1"/>
    <col min="13834" max="13834" width="18.140625" style="81" customWidth="1"/>
    <col min="13835" max="13835" width="15.5703125" style="81" bestFit="1" customWidth="1"/>
    <col min="13836" max="13836" width="15" style="81" bestFit="1" customWidth="1"/>
    <col min="13837" max="13837" width="26.140625" style="81" customWidth="1"/>
    <col min="13838" max="13838" width="19.28515625" style="81" customWidth="1"/>
    <col min="13839" max="14076" width="9.140625" style="81"/>
    <col min="14077" max="14078" width="13.7109375" style="81" customWidth="1"/>
    <col min="14079" max="14079" width="8.85546875" style="81" customWidth="1"/>
    <col min="14080" max="14080" width="10.5703125" style="81" bestFit="1" customWidth="1"/>
    <col min="14081" max="14081" width="7" style="81" bestFit="1" customWidth="1"/>
    <col min="14082" max="14082" width="20.5703125" style="81" customWidth="1"/>
    <col min="14083" max="14083" width="21.140625" style="81" bestFit="1" customWidth="1"/>
    <col min="14084" max="14084" width="24.140625" style="81" bestFit="1" customWidth="1"/>
    <col min="14085" max="14085" width="23" style="81" bestFit="1" customWidth="1"/>
    <col min="14086" max="14087" width="15" style="81" bestFit="1" customWidth="1"/>
    <col min="14088" max="14088" width="14.28515625" style="81" bestFit="1" customWidth="1"/>
    <col min="14089" max="14089" width="23.7109375" style="81" bestFit="1" customWidth="1"/>
    <col min="14090" max="14090" width="18.140625" style="81" customWidth="1"/>
    <col min="14091" max="14091" width="15.5703125" style="81" bestFit="1" customWidth="1"/>
    <col min="14092" max="14092" width="15" style="81" bestFit="1" customWidth="1"/>
    <col min="14093" max="14093" width="26.140625" style="81" customWidth="1"/>
    <col min="14094" max="14094" width="19.28515625" style="81" customWidth="1"/>
    <col min="14095" max="14332" width="9.140625" style="81"/>
    <col min="14333" max="14334" width="13.7109375" style="81" customWidth="1"/>
    <col min="14335" max="14335" width="8.85546875" style="81" customWidth="1"/>
    <col min="14336" max="14336" width="10.5703125" style="81" bestFit="1" customWidth="1"/>
    <col min="14337" max="14337" width="7" style="81" bestFit="1" customWidth="1"/>
    <col min="14338" max="14338" width="20.5703125" style="81" customWidth="1"/>
    <col min="14339" max="14339" width="21.140625" style="81" bestFit="1" customWidth="1"/>
    <col min="14340" max="14340" width="24.140625" style="81" bestFit="1" customWidth="1"/>
    <col min="14341" max="14341" width="23" style="81" bestFit="1" customWidth="1"/>
    <col min="14342" max="14343" width="15" style="81" bestFit="1" customWidth="1"/>
    <col min="14344" max="14344" width="14.28515625" style="81" bestFit="1" customWidth="1"/>
    <col min="14345" max="14345" width="23.7109375" style="81" bestFit="1" customWidth="1"/>
    <col min="14346" max="14346" width="18.140625" style="81" customWidth="1"/>
    <col min="14347" max="14347" width="15.5703125" style="81" bestFit="1" customWidth="1"/>
    <col min="14348" max="14348" width="15" style="81" bestFit="1" customWidth="1"/>
    <col min="14349" max="14349" width="26.140625" style="81" customWidth="1"/>
    <col min="14350" max="14350" width="19.28515625" style="81" customWidth="1"/>
    <col min="14351" max="14588" width="9.140625" style="81"/>
    <col min="14589" max="14590" width="13.7109375" style="81" customWidth="1"/>
    <col min="14591" max="14591" width="8.85546875" style="81" customWidth="1"/>
    <col min="14592" max="14592" width="10.5703125" style="81" bestFit="1" customWidth="1"/>
    <col min="14593" max="14593" width="7" style="81" bestFit="1" customWidth="1"/>
    <col min="14594" max="14594" width="20.5703125" style="81" customWidth="1"/>
    <col min="14595" max="14595" width="21.140625" style="81" bestFit="1" customWidth="1"/>
    <col min="14596" max="14596" width="24.140625" style="81" bestFit="1" customWidth="1"/>
    <col min="14597" max="14597" width="23" style="81" bestFit="1" customWidth="1"/>
    <col min="14598" max="14599" width="15" style="81" bestFit="1" customWidth="1"/>
    <col min="14600" max="14600" width="14.28515625" style="81" bestFit="1" customWidth="1"/>
    <col min="14601" max="14601" width="23.7109375" style="81" bestFit="1" customWidth="1"/>
    <col min="14602" max="14602" width="18.140625" style="81" customWidth="1"/>
    <col min="14603" max="14603" width="15.5703125" style="81" bestFit="1" customWidth="1"/>
    <col min="14604" max="14604" width="15" style="81" bestFit="1" customWidth="1"/>
    <col min="14605" max="14605" width="26.140625" style="81" customWidth="1"/>
    <col min="14606" max="14606" width="19.28515625" style="81" customWidth="1"/>
    <col min="14607" max="14844" width="9.140625" style="81"/>
    <col min="14845" max="14846" width="13.7109375" style="81" customWidth="1"/>
    <col min="14847" max="14847" width="8.85546875" style="81" customWidth="1"/>
    <col min="14848" max="14848" width="10.5703125" style="81" bestFit="1" customWidth="1"/>
    <col min="14849" max="14849" width="7" style="81" bestFit="1" customWidth="1"/>
    <col min="14850" max="14850" width="20.5703125" style="81" customWidth="1"/>
    <col min="14851" max="14851" width="21.140625" style="81" bestFit="1" customWidth="1"/>
    <col min="14852" max="14852" width="24.140625" style="81" bestFit="1" customWidth="1"/>
    <col min="14853" max="14853" width="23" style="81" bestFit="1" customWidth="1"/>
    <col min="14854" max="14855" width="15" style="81" bestFit="1" customWidth="1"/>
    <col min="14856" max="14856" width="14.28515625" style="81" bestFit="1" customWidth="1"/>
    <col min="14857" max="14857" width="23.7109375" style="81" bestFit="1" customWidth="1"/>
    <col min="14858" max="14858" width="18.140625" style="81" customWidth="1"/>
    <col min="14859" max="14859" width="15.5703125" style="81" bestFit="1" customWidth="1"/>
    <col min="14860" max="14860" width="15" style="81" bestFit="1" customWidth="1"/>
    <col min="14861" max="14861" width="26.140625" style="81" customWidth="1"/>
    <col min="14862" max="14862" width="19.28515625" style="81" customWidth="1"/>
    <col min="14863" max="15100" width="9.140625" style="81"/>
    <col min="15101" max="15102" width="13.7109375" style="81" customWidth="1"/>
    <col min="15103" max="15103" width="8.85546875" style="81" customWidth="1"/>
    <col min="15104" max="15104" width="10.5703125" style="81" bestFit="1" customWidth="1"/>
    <col min="15105" max="15105" width="7" style="81" bestFit="1" customWidth="1"/>
    <col min="15106" max="15106" width="20.5703125" style="81" customWidth="1"/>
    <col min="15107" max="15107" width="21.140625" style="81" bestFit="1" customWidth="1"/>
    <col min="15108" max="15108" width="24.140625" style="81" bestFit="1" customWidth="1"/>
    <col min="15109" max="15109" width="23" style="81" bestFit="1" customWidth="1"/>
    <col min="15110" max="15111" width="15" style="81" bestFit="1" customWidth="1"/>
    <col min="15112" max="15112" width="14.28515625" style="81" bestFit="1" customWidth="1"/>
    <col min="15113" max="15113" width="23.7109375" style="81" bestFit="1" customWidth="1"/>
    <col min="15114" max="15114" width="18.140625" style="81" customWidth="1"/>
    <col min="15115" max="15115" width="15.5703125" style="81" bestFit="1" customWidth="1"/>
    <col min="15116" max="15116" width="15" style="81" bestFit="1" customWidth="1"/>
    <col min="15117" max="15117" width="26.140625" style="81" customWidth="1"/>
    <col min="15118" max="15118" width="19.28515625" style="81" customWidth="1"/>
    <col min="15119" max="15356" width="9.140625" style="81"/>
    <col min="15357" max="15358" width="13.7109375" style="81" customWidth="1"/>
    <col min="15359" max="15359" width="8.85546875" style="81" customWidth="1"/>
    <col min="15360" max="15360" width="10.5703125" style="81" bestFit="1" customWidth="1"/>
    <col min="15361" max="15361" width="7" style="81" bestFit="1" customWidth="1"/>
    <col min="15362" max="15362" width="20.5703125" style="81" customWidth="1"/>
    <col min="15363" max="15363" width="21.140625" style="81" bestFit="1" customWidth="1"/>
    <col min="15364" max="15364" width="24.140625" style="81" bestFit="1" customWidth="1"/>
    <col min="15365" max="15365" width="23" style="81" bestFit="1" customWidth="1"/>
    <col min="15366" max="15367" width="15" style="81" bestFit="1" customWidth="1"/>
    <col min="15368" max="15368" width="14.28515625" style="81" bestFit="1" customWidth="1"/>
    <col min="15369" max="15369" width="23.7109375" style="81" bestFit="1" customWidth="1"/>
    <col min="15370" max="15370" width="18.140625" style="81" customWidth="1"/>
    <col min="15371" max="15371" width="15.5703125" style="81" bestFit="1" customWidth="1"/>
    <col min="15372" max="15372" width="15" style="81" bestFit="1" customWidth="1"/>
    <col min="15373" max="15373" width="26.140625" style="81" customWidth="1"/>
    <col min="15374" max="15374" width="19.28515625" style="81" customWidth="1"/>
    <col min="15375" max="15612" width="9.140625" style="81"/>
    <col min="15613" max="15614" width="13.7109375" style="81" customWidth="1"/>
    <col min="15615" max="15615" width="8.85546875" style="81" customWidth="1"/>
    <col min="15616" max="15616" width="10.5703125" style="81" bestFit="1" customWidth="1"/>
    <col min="15617" max="15617" width="7" style="81" bestFit="1" customWidth="1"/>
    <col min="15618" max="15618" width="20.5703125" style="81" customWidth="1"/>
    <col min="15619" max="15619" width="21.140625" style="81" bestFit="1" customWidth="1"/>
    <col min="15620" max="15620" width="24.140625" style="81" bestFit="1" customWidth="1"/>
    <col min="15621" max="15621" width="23" style="81" bestFit="1" customWidth="1"/>
    <col min="15622" max="15623" width="15" style="81" bestFit="1" customWidth="1"/>
    <col min="15624" max="15624" width="14.28515625" style="81" bestFit="1" customWidth="1"/>
    <col min="15625" max="15625" width="23.7109375" style="81" bestFit="1" customWidth="1"/>
    <col min="15626" max="15626" width="18.140625" style="81" customWidth="1"/>
    <col min="15627" max="15627" width="15.5703125" style="81" bestFit="1" customWidth="1"/>
    <col min="15628" max="15628" width="15" style="81" bestFit="1" customWidth="1"/>
    <col min="15629" max="15629" width="26.140625" style="81" customWidth="1"/>
    <col min="15630" max="15630" width="19.28515625" style="81" customWidth="1"/>
    <col min="15631" max="15868" width="9.140625" style="81"/>
    <col min="15869" max="15870" width="13.7109375" style="81" customWidth="1"/>
    <col min="15871" max="15871" width="8.85546875" style="81" customWidth="1"/>
    <col min="15872" max="15872" width="10.5703125" style="81" bestFit="1" customWidth="1"/>
    <col min="15873" max="15873" width="7" style="81" bestFit="1" customWidth="1"/>
    <col min="15874" max="15874" width="20.5703125" style="81" customWidth="1"/>
    <col min="15875" max="15875" width="21.140625" style="81" bestFit="1" customWidth="1"/>
    <col min="15876" max="15876" width="24.140625" style="81" bestFit="1" customWidth="1"/>
    <col min="15877" max="15877" width="23" style="81" bestFit="1" customWidth="1"/>
    <col min="15878" max="15879" width="15" style="81" bestFit="1" customWidth="1"/>
    <col min="15880" max="15880" width="14.28515625" style="81" bestFit="1" customWidth="1"/>
    <col min="15881" max="15881" width="23.7109375" style="81" bestFit="1" customWidth="1"/>
    <col min="15882" max="15882" width="18.140625" style="81" customWidth="1"/>
    <col min="15883" max="15883" width="15.5703125" style="81" bestFit="1" customWidth="1"/>
    <col min="15884" max="15884" width="15" style="81" bestFit="1" customWidth="1"/>
    <col min="15885" max="15885" width="26.140625" style="81" customWidth="1"/>
    <col min="15886" max="15886" width="19.28515625" style="81" customWidth="1"/>
    <col min="15887" max="16124" width="9.140625" style="81"/>
    <col min="16125" max="16126" width="13.7109375" style="81" customWidth="1"/>
    <col min="16127" max="16127" width="8.85546875" style="81" customWidth="1"/>
    <col min="16128" max="16128" width="10.5703125" style="81" bestFit="1" customWidth="1"/>
    <col min="16129" max="16129" width="7" style="81" bestFit="1" customWidth="1"/>
    <col min="16130" max="16130" width="20.5703125" style="81" customWidth="1"/>
    <col min="16131" max="16131" width="21.140625" style="81" bestFit="1" customWidth="1"/>
    <col min="16132" max="16132" width="24.140625" style="81" bestFit="1" customWidth="1"/>
    <col min="16133" max="16133" width="23" style="81" bestFit="1" customWidth="1"/>
    <col min="16134" max="16135" width="15" style="81" bestFit="1" customWidth="1"/>
    <col min="16136" max="16136" width="14.28515625" style="81" bestFit="1" customWidth="1"/>
    <col min="16137" max="16137" width="23.7109375" style="81" bestFit="1" customWidth="1"/>
    <col min="16138" max="16138" width="18.140625" style="81" customWidth="1"/>
    <col min="16139" max="16139" width="15.5703125" style="81" bestFit="1" customWidth="1"/>
    <col min="16140" max="16140" width="15" style="81" bestFit="1" customWidth="1"/>
    <col min="16141" max="16141" width="26.140625" style="81" customWidth="1"/>
    <col min="16142" max="16142" width="19.28515625" style="81" customWidth="1"/>
    <col min="16143" max="16384" width="9.140625" style="81"/>
  </cols>
  <sheetData>
    <row r="1" spans="1:14" s="42" customFormat="1" ht="18.75" customHeight="1" x14ac:dyDescent="0.2">
      <c r="A1" s="82" t="s">
        <v>8288</v>
      </c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  <c r="N1" s="84"/>
    </row>
    <row r="2" spans="1:14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4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85"/>
      <c r="K3" s="86"/>
    </row>
    <row r="4" spans="1:14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85"/>
      <c r="K4" s="86"/>
    </row>
    <row r="5" spans="1:14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87"/>
      <c r="K5" s="88"/>
    </row>
    <row r="6" spans="1:14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4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8119</v>
      </c>
      <c r="G7" s="66"/>
      <c r="H7" s="66"/>
      <c r="I7" s="66"/>
      <c r="J7" s="65"/>
      <c r="K7" s="64" t="s">
        <v>8120</v>
      </c>
      <c r="L7" s="66"/>
      <c r="M7" s="66"/>
      <c r="N7" s="67"/>
    </row>
    <row r="8" spans="1:14" s="72" customFormat="1" ht="47.25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8121</v>
      </c>
      <c r="J8" s="70" t="s">
        <v>8122</v>
      </c>
      <c r="K8" s="89" t="s">
        <v>8114</v>
      </c>
      <c r="L8" s="89" t="s">
        <v>8115</v>
      </c>
      <c r="M8" s="89" t="s">
        <v>8123</v>
      </c>
      <c r="N8" s="90" t="s">
        <v>8124</v>
      </c>
    </row>
    <row r="9" spans="1:14" s="77" customFormat="1" ht="17.45" customHeight="1" x14ac:dyDescent="0.25">
      <c r="A9" s="73"/>
      <c r="B9" s="73"/>
      <c r="C9" s="91"/>
      <c r="D9" s="75"/>
      <c r="E9" s="75"/>
      <c r="F9" s="76"/>
      <c r="G9" s="75"/>
      <c r="H9" s="76"/>
      <c r="I9" s="75"/>
      <c r="J9" s="73"/>
      <c r="K9" s="73"/>
      <c r="L9" s="73"/>
      <c r="M9" s="73"/>
      <c r="N9" s="73"/>
    </row>
    <row r="10" spans="1:14" s="77" customFormat="1" ht="17.45" customHeight="1" x14ac:dyDescent="0.25">
      <c r="A10" s="73"/>
      <c r="B10" s="73"/>
      <c r="C10" s="91"/>
      <c r="D10" s="75"/>
      <c r="E10" s="75"/>
      <c r="F10" s="76"/>
      <c r="G10" s="75"/>
      <c r="H10" s="76"/>
      <c r="I10" s="75"/>
      <c r="J10" s="73"/>
      <c r="K10" s="73"/>
      <c r="L10" s="73"/>
      <c r="M10" s="73"/>
      <c r="N10" s="73"/>
    </row>
    <row r="11" spans="1:14" s="77" customFormat="1" ht="17.45" customHeight="1" x14ac:dyDescent="0.25">
      <c r="A11" s="73"/>
      <c r="B11" s="73"/>
      <c r="C11" s="91"/>
      <c r="D11" s="75"/>
      <c r="E11" s="75"/>
      <c r="F11" s="76"/>
      <c r="G11" s="75"/>
      <c r="H11" s="76"/>
      <c r="I11" s="75"/>
      <c r="J11" s="73"/>
      <c r="K11" s="73"/>
      <c r="L11" s="73"/>
      <c r="M11" s="73"/>
      <c r="N11" s="73"/>
    </row>
    <row r="12" spans="1:14" s="77" customFormat="1" ht="17.45" customHeight="1" x14ac:dyDescent="0.25">
      <c r="A12" s="73"/>
      <c r="B12" s="73"/>
      <c r="C12" s="91"/>
      <c r="D12" s="75"/>
      <c r="E12" s="75"/>
      <c r="F12" s="76"/>
      <c r="G12" s="75"/>
      <c r="H12" s="76"/>
      <c r="I12" s="75"/>
      <c r="J12" s="73"/>
      <c r="K12" s="73"/>
      <c r="L12" s="73"/>
      <c r="M12" s="73"/>
      <c r="N12" s="73"/>
    </row>
    <row r="13" spans="1:14" s="77" customFormat="1" ht="17.45" customHeight="1" x14ac:dyDescent="0.25">
      <c r="A13" s="73"/>
      <c r="B13" s="73"/>
      <c r="C13" s="91"/>
      <c r="D13" s="75"/>
      <c r="E13" s="75"/>
      <c r="F13" s="76"/>
      <c r="G13" s="75"/>
      <c r="H13" s="76"/>
      <c r="I13" s="75"/>
      <c r="J13" s="73"/>
      <c r="K13" s="73"/>
      <c r="L13" s="73"/>
      <c r="M13" s="73"/>
      <c r="N13" s="73"/>
    </row>
    <row r="14" spans="1:14" s="77" customFormat="1" ht="17.45" customHeight="1" x14ac:dyDescent="0.25">
      <c r="A14" s="73"/>
      <c r="B14" s="73"/>
      <c r="C14" s="91"/>
      <c r="D14" s="78"/>
      <c r="E14" s="78"/>
      <c r="F14" s="79"/>
      <c r="G14" s="78"/>
      <c r="H14" s="79"/>
      <c r="I14" s="78"/>
      <c r="J14" s="73"/>
      <c r="K14" s="73"/>
      <c r="L14" s="73"/>
      <c r="M14" s="73"/>
      <c r="N14" s="73"/>
    </row>
    <row r="15" spans="1:14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</row>
    <row r="16" spans="1:14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</row>
    <row r="17" spans="1:14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</row>
    <row r="18" spans="1:14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</row>
    <row r="19" spans="1:14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</row>
    <row r="20" spans="1:14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</row>
    <row r="21" spans="1:14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</row>
    <row r="22" spans="1:14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</row>
    <row r="23" spans="1:14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</row>
    <row r="24" spans="1:14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</row>
    <row r="25" spans="1:14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</row>
    <row r="26" spans="1:14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</row>
    <row r="27" spans="1:14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</row>
    <row r="28" spans="1:14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</row>
    <row r="29" spans="1:14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</row>
    <row r="30" spans="1:14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</row>
    <row r="31" spans="1:14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</row>
    <row r="32" spans="1:14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</row>
    <row r="33" spans="1:14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</row>
    <row r="34" spans="1:14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</row>
    <row r="35" spans="1:14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</row>
    <row r="36" spans="1:14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</row>
    <row r="37" spans="1:14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</row>
    <row r="38" spans="1:14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</row>
    <row r="39" spans="1:14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</row>
    <row r="40" spans="1:14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</row>
    <row r="41" spans="1:14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</row>
    <row r="42" spans="1:14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</row>
    <row r="43" spans="1:14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</row>
    <row r="44" spans="1:14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</row>
    <row r="45" spans="1:14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</row>
    <row r="46" spans="1:14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</row>
    <row r="47" spans="1:14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</row>
    <row r="48" spans="1:14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</row>
    <row r="49" spans="1:14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</row>
    <row r="50" spans="1:14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</row>
    <row r="51" spans="1:14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</row>
    <row r="52" spans="1:14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</row>
    <row r="53" spans="1:14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</row>
    <row r="54" spans="1:14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</row>
    <row r="55" spans="1:14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</row>
    <row r="56" spans="1:14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</row>
    <row r="57" spans="1:14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</row>
    <row r="58" spans="1:14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</row>
    <row r="59" spans="1:14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</row>
    <row r="60" spans="1:14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</row>
    <row r="61" spans="1:14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</row>
    <row r="62" spans="1:14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</row>
    <row r="63" spans="1:14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</row>
    <row r="64" spans="1:14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</row>
    <row r="65" spans="1:14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</row>
    <row r="66" spans="1:14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</row>
    <row r="67" spans="1:14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</row>
    <row r="68" spans="1:14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</row>
    <row r="69" spans="1:14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</row>
    <row r="70" spans="1:14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</row>
    <row r="71" spans="1:14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</row>
    <row r="72" spans="1:14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</row>
    <row r="73" spans="1:14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</row>
    <row r="74" spans="1:14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</row>
    <row r="75" spans="1:14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</row>
    <row r="76" spans="1:14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</row>
    <row r="77" spans="1:14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</row>
    <row r="78" spans="1:14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</row>
    <row r="79" spans="1:14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</row>
    <row r="80" spans="1:14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</row>
    <row r="81" spans="1:14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</row>
    <row r="82" spans="1:14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</row>
    <row r="83" spans="1:14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</row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I9:I14 JE9:JE14 TA9:TA14 ACW9:ACW14 AMS9:AMS14 AWO9:AWO14 BGK9:BGK14 BQG9:BQG14 CAC9:CAC14 CJY9:CJY14 CTU9:CTU14 DDQ9:DDQ14 DNM9:DNM14 DXI9:DXI14 EHE9:EHE14 ERA9:ERA14 FAW9:FAW14 FKS9:FKS14 FUO9:FUO14 GEK9:GEK14 GOG9:GOG14 GYC9:GYC14 HHY9:HHY14 HRU9:HRU14 IBQ9:IBQ14 ILM9:ILM14 IVI9:IVI14 JFE9:JFE14 JPA9:JPA14 JYW9:JYW14 KIS9:KIS14 KSO9:KSO14 LCK9:LCK14 LMG9:LMG14 LWC9:LWC14 MFY9:MFY14 MPU9:MPU14 MZQ9:MZQ14 NJM9:NJM14 NTI9:NTI14 ODE9:ODE14 ONA9:ONA14 OWW9:OWW14 PGS9:PGS14 PQO9:PQO14 QAK9:QAK14 QKG9:QKG14 QUC9:QUC14 RDY9:RDY14 RNU9:RNU14 RXQ9:RXQ14 SHM9:SHM14 SRI9:SRI14 TBE9:TBE14 TLA9:TLA14 TUW9:TUW14 UES9:UES14 UOO9:UOO14 UYK9:UYK14 VIG9:VIG14 VSC9:VSC14 WBY9:WBY14 WLU9:WLU14 WVQ9:WVQ14 I65545:I65550 JE65545:JE65550 TA65545:TA65550 ACW65545:ACW65550 AMS65545:AMS65550 AWO65545:AWO65550 BGK65545:BGK65550 BQG65545:BQG65550 CAC65545:CAC65550 CJY65545:CJY65550 CTU65545:CTU65550 DDQ65545:DDQ65550 DNM65545:DNM65550 DXI65545:DXI65550 EHE65545:EHE65550 ERA65545:ERA65550 FAW65545:FAW65550 FKS65545:FKS65550 FUO65545:FUO65550 GEK65545:GEK65550 GOG65545:GOG65550 GYC65545:GYC65550 HHY65545:HHY65550 HRU65545:HRU65550 IBQ65545:IBQ65550 ILM65545:ILM65550 IVI65545:IVI65550 JFE65545:JFE65550 JPA65545:JPA65550 JYW65545:JYW65550 KIS65545:KIS65550 KSO65545:KSO65550 LCK65545:LCK65550 LMG65545:LMG65550 LWC65545:LWC65550 MFY65545:MFY65550 MPU65545:MPU65550 MZQ65545:MZQ65550 NJM65545:NJM65550 NTI65545:NTI65550 ODE65545:ODE65550 ONA65545:ONA65550 OWW65545:OWW65550 PGS65545:PGS65550 PQO65545:PQO65550 QAK65545:QAK65550 QKG65545:QKG65550 QUC65545:QUC65550 RDY65545:RDY65550 RNU65545:RNU65550 RXQ65545:RXQ65550 SHM65545:SHM65550 SRI65545:SRI65550 TBE65545:TBE65550 TLA65545:TLA65550 TUW65545:TUW65550 UES65545:UES65550 UOO65545:UOO65550 UYK65545:UYK65550 VIG65545:VIG65550 VSC65545:VSC65550 WBY65545:WBY65550 WLU65545:WLU65550 WVQ65545:WVQ65550 I131081:I131086 JE131081:JE131086 TA131081:TA131086 ACW131081:ACW131086 AMS131081:AMS131086 AWO131081:AWO131086 BGK131081:BGK131086 BQG131081:BQG131086 CAC131081:CAC131086 CJY131081:CJY131086 CTU131081:CTU131086 DDQ131081:DDQ131086 DNM131081:DNM131086 DXI131081:DXI131086 EHE131081:EHE131086 ERA131081:ERA131086 FAW131081:FAW131086 FKS131081:FKS131086 FUO131081:FUO131086 GEK131081:GEK131086 GOG131081:GOG131086 GYC131081:GYC131086 HHY131081:HHY131086 HRU131081:HRU131086 IBQ131081:IBQ131086 ILM131081:ILM131086 IVI131081:IVI131086 JFE131081:JFE131086 JPA131081:JPA131086 JYW131081:JYW131086 KIS131081:KIS131086 KSO131081:KSO131086 LCK131081:LCK131086 LMG131081:LMG131086 LWC131081:LWC131086 MFY131081:MFY131086 MPU131081:MPU131086 MZQ131081:MZQ131086 NJM131081:NJM131086 NTI131081:NTI131086 ODE131081:ODE131086 ONA131081:ONA131086 OWW131081:OWW131086 PGS131081:PGS131086 PQO131081:PQO131086 QAK131081:QAK131086 QKG131081:QKG131086 QUC131081:QUC131086 RDY131081:RDY131086 RNU131081:RNU131086 RXQ131081:RXQ131086 SHM131081:SHM131086 SRI131081:SRI131086 TBE131081:TBE131086 TLA131081:TLA131086 TUW131081:TUW131086 UES131081:UES131086 UOO131081:UOO131086 UYK131081:UYK131086 VIG131081:VIG131086 VSC131081:VSC131086 WBY131081:WBY131086 WLU131081:WLU131086 WVQ131081:WVQ131086 I196617:I196622 JE196617:JE196622 TA196617:TA196622 ACW196617:ACW196622 AMS196617:AMS196622 AWO196617:AWO196622 BGK196617:BGK196622 BQG196617:BQG196622 CAC196617:CAC196622 CJY196617:CJY196622 CTU196617:CTU196622 DDQ196617:DDQ196622 DNM196617:DNM196622 DXI196617:DXI196622 EHE196617:EHE196622 ERA196617:ERA196622 FAW196617:FAW196622 FKS196617:FKS196622 FUO196617:FUO196622 GEK196617:GEK196622 GOG196617:GOG196622 GYC196617:GYC196622 HHY196617:HHY196622 HRU196617:HRU196622 IBQ196617:IBQ196622 ILM196617:ILM196622 IVI196617:IVI196622 JFE196617:JFE196622 JPA196617:JPA196622 JYW196617:JYW196622 KIS196617:KIS196622 KSO196617:KSO196622 LCK196617:LCK196622 LMG196617:LMG196622 LWC196617:LWC196622 MFY196617:MFY196622 MPU196617:MPU196622 MZQ196617:MZQ196622 NJM196617:NJM196622 NTI196617:NTI196622 ODE196617:ODE196622 ONA196617:ONA196622 OWW196617:OWW196622 PGS196617:PGS196622 PQO196617:PQO196622 QAK196617:QAK196622 QKG196617:QKG196622 QUC196617:QUC196622 RDY196617:RDY196622 RNU196617:RNU196622 RXQ196617:RXQ196622 SHM196617:SHM196622 SRI196617:SRI196622 TBE196617:TBE196622 TLA196617:TLA196622 TUW196617:TUW196622 UES196617:UES196622 UOO196617:UOO196622 UYK196617:UYK196622 VIG196617:VIG196622 VSC196617:VSC196622 WBY196617:WBY196622 WLU196617:WLU196622 WVQ196617:WVQ196622 I262153:I262158 JE262153:JE262158 TA262153:TA262158 ACW262153:ACW262158 AMS262153:AMS262158 AWO262153:AWO262158 BGK262153:BGK262158 BQG262153:BQG262158 CAC262153:CAC262158 CJY262153:CJY262158 CTU262153:CTU262158 DDQ262153:DDQ262158 DNM262153:DNM262158 DXI262153:DXI262158 EHE262153:EHE262158 ERA262153:ERA262158 FAW262153:FAW262158 FKS262153:FKS262158 FUO262153:FUO262158 GEK262153:GEK262158 GOG262153:GOG262158 GYC262153:GYC262158 HHY262153:HHY262158 HRU262153:HRU262158 IBQ262153:IBQ262158 ILM262153:ILM262158 IVI262153:IVI262158 JFE262153:JFE262158 JPA262153:JPA262158 JYW262153:JYW262158 KIS262153:KIS262158 KSO262153:KSO262158 LCK262153:LCK262158 LMG262153:LMG262158 LWC262153:LWC262158 MFY262153:MFY262158 MPU262153:MPU262158 MZQ262153:MZQ262158 NJM262153:NJM262158 NTI262153:NTI262158 ODE262153:ODE262158 ONA262153:ONA262158 OWW262153:OWW262158 PGS262153:PGS262158 PQO262153:PQO262158 QAK262153:QAK262158 QKG262153:QKG262158 QUC262153:QUC262158 RDY262153:RDY262158 RNU262153:RNU262158 RXQ262153:RXQ262158 SHM262153:SHM262158 SRI262153:SRI262158 TBE262153:TBE262158 TLA262153:TLA262158 TUW262153:TUW262158 UES262153:UES262158 UOO262153:UOO262158 UYK262153:UYK262158 VIG262153:VIG262158 VSC262153:VSC262158 WBY262153:WBY262158 WLU262153:WLU262158 WVQ262153:WVQ262158 I327689:I327694 JE327689:JE327694 TA327689:TA327694 ACW327689:ACW327694 AMS327689:AMS327694 AWO327689:AWO327694 BGK327689:BGK327694 BQG327689:BQG327694 CAC327689:CAC327694 CJY327689:CJY327694 CTU327689:CTU327694 DDQ327689:DDQ327694 DNM327689:DNM327694 DXI327689:DXI327694 EHE327689:EHE327694 ERA327689:ERA327694 FAW327689:FAW327694 FKS327689:FKS327694 FUO327689:FUO327694 GEK327689:GEK327694 GOG327689:GOG327694 GYC327689:GYC327694 HHY327689:HHY327694 HRU327689:HRU327694 IBQ327689:IBQ327694 ILM327689:ILM327694 IVI327689:IVI327694 JFE327689:JFE327694 JPA327689:JPA327694 JYW327689:JYW327694 KIS327689:KIS327694 KSO327689:KSO327694 LCK327689:LCK327694 LMG327689:LMG327694 LWC327689:LWC327694 MFY327689:MFY327694 MPU327689:MPU327694 MZQ327689:MZQ327694 NJM327689:NJM327694 NTI327689:NTI327694 ODE327689:ODE327694 ONA327689:ONA327694 OWW327689:OWW327694 PGS327689:PGS327694 PQO327689:PQO327694 QAK327689:QAK327694 QKG327689:QKG327694 QUC327689:QUC327694 RDY327689:RDY327694 RNU327689:RNU327694 RXQ327689:RXQ327694 SHM327689:SHM327694 SRI327689:SRI327694 TBE327689:TBE327694 TLA327689:TLA327694 TUW327689:TUW327694 UES327689:UES327694 UOO327689:UOO327694 UYK327689:UYK327694 VIG327689:VIG327694 VSC327689:VSC327694 WBY327689:WBY327694 WLU327689:WLU327694 WVQ327689:WVQ327694 I393225:I393230 JE393225:JE393230 TA393225:TA393230 ACW393225:ACW393230 AMS393225:AMS393230 AWO393225:AWO393230 BGK393225:BGK393230 BQG393225:BQG393230 CAC393225:CAC393230 CJY393225:CJY393230 CTU393225:CTU393230 DDQ393225:DDQ393230 DNM393225:DNM393230 DXI393225:DXI393230 EHE393225:EHE393230 ERA393225:ERA393230 FAW393225:FAW393230 FKS393225:FKS393230 FUO393225:FUO393230 GEK393225:GEK393230 GOG393225:GOG393230 GYC393225:GYC393230 HHY393225:HHY393230 HRU393225:HRU393230 IBQ393225:IBQ393230 ILM393225:ILM393230 IVI393225:IVI393230 JFE393225:JFE393230 JPA393225:JPA393230 JYW393225:JYW393230 KIS393225:KIS393230 KSO393225:KSO393230 LCK393225:LCK393230 LMG393225:LMG393230 LWC393225:LWC393230 MFY393225:MFY393230 MPU393225:MPU393230 MZQ393225:MZQ393230 NJM393225:NJM393230 NTI393225:NTI393230 ODE393225:ODE393230 ONA393225:ONA393230 OWW393225:OWW393230 PGS393225:PGS393230 PQO393225:PQO393230 QAK393225:QAK393230 QKG393225:QKG393230 QUC393225:QUC393230 RDY393225:RDY393230 RNU393225:RNU393230 RXQ393225:RXQ393230 SHM393225:SHM393230 SRI393225:SRI393230 TBE393225:TBE393230 TLA393225:TLA393230 TUW393225:TUW393230 UES393225:UES393230 UOO393225:UOO393230 UYK393225:UYK393230 VIG393225:VIG393230 VSC393225:VSC393230 WBY393225:WBY393230 WLU393225:WLU393230 WVQ393225:WVQ393230 I458761:I458766 JE458761:JE458766 TA458761:TA458766 ACW458761:ACW458766 AMS458761:AMS458766 AWO458761:AWO458766 BGK458761:BGK458766 BQG458761:BQG458766 CAC458761:CAC458766 CJY458761:CJY458766 CTU458761:CTU458766 DDQ458761:DDQ458766 DNM458761:DNM458766 DXI458761:DXI458766 EHE458761:EHE458766 ERA458761:ERA458766 FAW458761:FAW458766 FKS458761:FKS458766 FUO458761:FUO458766 GEK458761:GEK458766 GOG458761:GOG458766 GYC458761:GYC458766 HHY458761:HHY458766 HRU458761:HRU458766 IBQ458761:IBQ458766 ILM458761:ILM458766 IVI458761:IVI458766 JFE458761:JFE458766 JPA458761:JPA458766 JYW458761:JYW458766 KIS458761:KIS458766 KSO458761:KSO458766 LCK458761:LCK458766 LMG458761:LMG458766 LWC458761:LWC458766 MFY458761:MFY458766 MPU458761:MPU458766 MZQ458761:MZQ458766 NJM458761:NJM458766 NTI458761:NTI458766 ODE458761:ODE458766 ONA458761:ONA458766 OWW458761:OWW458766 PGS458761:PGS458766 PQO458761:PQO458766 QAK458761:QAK458766 QKG458761:QKG458766 QUC458761:QUC458766 RDY458761:RDY458766 RNU458761:RNU458766 RXQ458761:RXQ458766 SHM458761:SHM458766 SRI458761:SRI458766 TBE458761:TBE458766 TLA458761:TLA458766 TUW458761:TUW458766 UES458761:UES458766 UOO458761:UOO458766 UYK458761:UYK458766 VIG458761:VIG458766 VSC458761:VSC458766 WBY458761:WBY458766 WLU458761:WLU458766 WVQ458761:WVQ458766 I524297:I524302 JE524297:JE524302 TA524297:TA524302 ACW524297:ACW524302 AMS524297:AMS524302 AWO524297:AWO524302 BGK524297:BGK524302 BQG524297:BQG524302 CAC524297:CAC524302 CJY524297:CJY524302 CTU524297:CTU524302 DDQ524297:DDQ524302 DNM524297:DNM524302 DXI524297:DXI524302 EHE524297:EHE524302 ERA524297:ERA524302 FAW524297:FAW524302 FKS524297:FKS524302 FUO524297:FUO524302 GEK524297:GEK524302 GOG524297:GOG524302 GYC524297:GYC524302 HHY524297:HHY524302 HRU524297:HRU524302 IBQ524297:IBQ524302 ILM524297:ILM524302 IVI524297:IVI524302 JFE524297:JFE524302 JPA524297:JPA524302 JYW524297:JYW524302 KIS524297:KIS524302 KSO524297:KSO524302 LCK524297:LCK524302 LMG524297:LMG524302 LWC524297:LWC524302 MFY524297:MFY524302 MPU524297:MPU524302 MZQ524297:MZQ524302 NJM524297:NJM524302 NTI524297:NTI524302 ODE524297:ODE524302 ONA524297:ONA524302 OWW524297:OWW524302 PGS524297:PGS524302 PQO524297:PQO524302 QAK524297:QAK524302 QKG524297:QKG524302 QUC524297:QUC524302 RDY524297:RDY524302 RNU524297:RNU524302 RXQ524297:RXQ524302 SHM524297:SHM524302 SRI524297:SRI524302 TBE524297:TBE524302 TLA524297:TLA524302 TUW524297:TUW524302 UES524297:UES524302 UOO524297:UOO524302 UYK524297:UYK524302 VIG524297:VIG524302 VSC524297:VSC524302 WBY524297:WBY524302 WLU524297:WLU524302 WVQ524297:WVQ524302 I589833:I589838 JE589833:JE589838 TA589833:TA589838 ACW589833:ACW589838 AMS589833:AMS589838 AWO589833:AWO589838 BGK589833:BGK589838 BQG589833:BQG589838 CAC589833:CAC589838 CJY589833:CJY589838 CTU589833:CTU589838 DDQ589833:DDQ589838 DNM589833:DNM589838 DXI589833:DXI589838 EHE589833:EHE589838 ERA589833:ERA589838 FAW589833:FAW589838 FKS589833:FKS589838 FUO589833:FUO589838 GEK589833:GEK589838 GOG589833:GOG589838 GYC589833:GYC589838 HHY589833:HHY589838 HRU589833:HRU589838 IBQ589833:IBQ589838 ILM589833:ILM589838 IVI589833:IVI589838 JFE589833:JFE589838 JPA589833:JPA589838 JYW589833:JYW589838 KIS589833:KIS589838 KSO589833:KSO589838 LCK589833:LCK589838 LMG589833:LMG589838 LWC589833:LWC589838 MFY589833:MFY589838 MPU589833:MPU589838 MZQ589833:MZQ589838 NJM589833:NJM589838 NTI589833:NTI589838 ODE589833:ODE589838 ONA589833:ONA589838 OWW589833:OWW589838 PGS589833:PGS589838 PQO589833:PQO589838 QAK589833:QAK589838 QKG589833:QKG589838 QUC589833:QUC589838 RDY589833:RDY589838 RNU589833:RNU589838 RXQ589833:RXQ589838 SHM589833:SHM589838 SRI589833:SRI589838 TBE589833:TBE589838 TLA589833:TLA589838 TUW589833:TUW589838 UES589833:UES589838 UOO589833:UOO589838 UYK589833:UYK589838 VIG589833:VIG589838 VSC589833:VSC589838 WBY589833:WBY589838 WLU589833:WLU589838 WVQ589833:WVQ589838 I655369:I655374 JE655369:JE655374 TA655369:TA655374 ACW655369:ACW655374 AMS655369:AMS655374 AWO655369:AWO655374 BGK655369:BGK655374 BQG655369:BQG655374 CAC655369:CAC655374 CJY655369:CJY655374 CTU655369:CTU655374 DDQ655369:DDQ655374 DNM655369:DNM655374 DXI655369:DXI655374 EHE655369:EHE655374 ERA655369:ERA655374 FAW655369:FAW655374 FKS655369:FKS655374 FUO655369:FUO655374 GEK655369:GEK655374 GOG655369:GOG655374 GYC655369:GYC655374 HHY655369:HHY655374 HRU655369:HRU655374 IBQ655369:IBQ655374 ILM655369:ILM655374 IVI655369:IVI655374 JFE655369:JFE655374 JPA655369:JPA655374 JYW655369:JYW655374 KIS655369:KIS655374 KSO655369:KSO655374 LCK655369:LCK655374 LMG655369:LMG655374 LWC655369:LWC655374 MFY655369:MFY655374 MPU655369:MPU655374 MZQ655369:MZQ655374 NJM655369:NJM655374 NTI655369:NTI655374 ODE655369:ODE655374 ONA655369:ONA655374 OWW655369:OWW655374 PGS655369:PGS655374 PQO655369:PQO655374 QAK655369:QAK655374 QKG655369:QKG655374 QUC655369:QUC655374 RDY655369:RDY655374 RNU655369:RNU655374 RXQ655369:RXQ655374 SHM655369:SHM655374 SRI655369:SRI655374 TBE655369:TBE655374 TLA655369:TLA655374 TUW655369:TUW655374 UES655369:UES655374 UOO655369:UOO655374 UYK655369:UYK655374 VIG655369:VIG655374 VSC655369:VSC655374 WBY655369:WBY655374 WLU655369:WLU655374 WVQ655369:WVQ655374 I720905:I720910 JE720905:JE720910 TA720905:TA720910 ACW720905:ACW720910 AMS720905:AMS720910 AWO720905:AWO720910 BGK720905:BGK720910 BQG720905:BQG720910 CAC720905:CAC720910 CJY720905:CJY720910 CTU720905:CTU720910 DDQ720905:DDQ720910 DNM720905:DNM720910 DXI720905:DXI720910 EHE720905:EHE720910 ERA720905:ERA720910 FAW720905:FAW720910 FKS720905:FKS720910 FUO720905:FUO720910 GEK720905:GEK720910 GOG720905:GOG720910 GYC720905:GYC720910 HHY720905:HHY720910 HRU720905:HRU720910 IBQ720905:IBQ720910 ILM720905:ILM720910 IVI720905:IVI720910 JFE720905:JFE720910 JPA720905:JPA720910 JYW720905:JYW720910 KIS720905:KIS720910 KSO720905:KSO720910 LCK720905:LCK720910 LMG720905:LMG720910 LWC720905:LWC720910 MFY720905:MFY720910 MPU720905:MPU720910 MZQ720905:MZQ720910 NJM720905:NJM720910 NTI720905:NTI720910 ODE720905:ODE720910 ONA720905:ONA720910 OWW720905:OWW720910 PGS720905:PGS720910 PQO720905:PQO720910 QAK720905:QAK720910 QKG720905:QKG720910 QUC720905:QUC720910 RDY720905:RDY720910 RNU720905:RNU720910 RXQ720905:RXQ720910 SHM720905:SHM720910 SRI720905:SRI720910 TBE720905:TBE720910 TLA720905:TLA720910 TUW720905:TUW720910 UES720905:UES720910 UOO720905:UOO720910 UYK720905:UYK720910 VIG720905:VIG720910 VSC720905:VSC720910 WBY720905:WBY720910 WLU720905:WLU720910 WVQ720905:WVQ720910 I786441:I786446 JE786441:JE786446 TA786441:TA786446 ACW786441:ACW786446 AMS786441:AMS786446 AWO786441:AWO786446 BGK786441:BGK786446 BQG786441:BQG786446 CAC786441:CAC786446 CJY786441:CJY786446 CTU786441:CTU786446 DDQ786441:DDQ786446 DNM786441:DNM786446 DXI786441:DXI786446 EHE786441:EHE786446 ERA786441:ERA786446 FAW786441:FAW786446 FKS786441:FKS786446 FUO786441:FUO786446 GEK786441:GEK786446 GOG786441:GOG786446 GYC786441:GYC786446 HHY786441:HHY786446 HRU786441:HRU786446 IBQ786441:IBQ786446 ILM786441:ILM786446 IVI786441:IVI786446 JFE786441:JFE786446 JPA786441:JPA786446 JYW786441:JYW786446 KIS786441:KIS786446 KSO786441:KSO786446 LCK786441:LCK786446 LMG786441:LMG786446 LWC786441:LWC786446 MFY786441:MFY786446 MPU786441:MPU786446 MZQ786441:MZQ786446 NJM786441:NJM786446 NTI786441:NTI786446 ODE786441:ODE786446 ONA786441:ONA786446 OWW786441:OWW786446 PGS786441:PGS786446 PQO786441:PQO786446 QAK786441:QAK786446 QKG786441:QKG786446 QUC786441:QUC786446 RDY786441:RDY786446 RNU786441:RNU786446 RXQ786441:RXQ786446 SHM786441:SHM786446 SRI786441:SRI786446 TBE786441:TBE786446 TLA786441:TLA786446 TUW786441:TUW786446 UES786441:UES786446 UOO786441:UOO786446 UYK786441:UYK786446 VIG786441:VIG786446 VSC786441:VSC786446 WBY786441:WBY786446 WLU786441:WLU786446 WVQ786441:WVQ786446 I851977:I851982 JE851977:JE851982 TA851977:TA851982 ACW851977:ACW851982 AMS851977:AMS851982 AWO851977:AWO851982 BGK851977:BGK851982 BQG851977:BQG851982 CAC851977:CAC851982 CJY851977:CJY851982 CTU851977:CTU851982 DDQ851977:DDQ851982 DNM851977:DNM851982 DXI851977:DXI851982 EHE851977:EHE851982 ERA851977:ERA851982 FAW851977:FAW851982 FKS851977:FKS851982 FUO851977:FUO851982 GEK851977:GEK851982 GOG851977:GOG851982 GYC851977:GYC851982 HHY851977:HHY851982 HRU851977:HRU851982 IBQ851977:IBQ851982 ILM851977:ILM851982 IVI851977:IVI851982 JFE851977:JFE851982 JPA851977:JPA851982 JYW851977:JYW851982 KIS851977:KIS851982 KSO851977:KSO851982 LCK851977:LCK851982 LMG851977:LMG851982 LWC851977:LWC851982 MFY851977:MFY851982 MPU851977:MPU851982 MZQ851977:MZQ851982 NJM851977:NJM851982 NTI851977:NTI851982 ODE851977:ODE851982 ONA851977:ONA851982 OWW851977:OWW851982 PGS851977:PGS851982 PQO851977:PQO851982 QAK851977:QAK851982 QKG851977:QKG851982 QUC851977:QUC851982 RDY851977:RDY851982 RNU851977:RNU851982 RXQ851977:RXQ851982 SHM851977:SHM851982 SRI851977:SRI851982 TBE851977:TBE851982 TLA851977:TLA851982 TUW851977:TUW851982 UES851977:UES851982 UOO851977:UOO851982 UYK851977:UYK851982 VIG851977:VIG851982 VSC851977:VSC851982 WBY851977:WBY851982 WLU851977:WLU851982 WVQ851977:WVQ851982 I917513:I917518 JE917513:JE917518 TA917513:TA917518 ACW917513:ACW917518 AMS917513:AMS917518 AWO917513:AWO917518 BGK917513:BGK917518 BQG917513:BQG917518 CAC917513:CAC917518 CJY917513:CJY917518 CTU917513:CTU917518 DDQ917513:DDQ917518 DNM917513:DNM917518 DXI917513:DXI917518 EHE917513:EHE917518 ERA917513:ERA917518 FAW917513:FAW917518 FKS917513:FKS917518 FUO917513:FUO917518 GEK917513:GEK917518 GOG917513:GOG917518 GYC917513:GYC917518 HHY917513:HHY917518 HRU917513:HRU917518 IBQ917513:IBQ917518 ILM917513:ILM917518 IVI917513:IVI917518 JFE917513:JFE917518 JPA917513:JPA917518 JYW917513:JYW917518 KIS917513:KIS917518 KSO917513:KSO917518 LCK917513:LCK917518 LMG917513:LMG917518 LWC917513:LWC917518 MFY917513:MFY917518 MPU917513:MPU917518 MZQ917513:MZQ917518 NJM917513:NJM917518 NTI917513:NTI917518 ODE917513:ODE917518 ONA917513:ONA917518 OWW917513:OWW917518 PGS917513:PGS917518 PQO917513:PQO917518 QAK917513:QAK917518 QKG917513:QKG917518 QUC917513:QUC917518 RDY917513:RDY917518 RNU917513:RNU917518 RXQ917513:RXQ917518 SHM917513:SHM917518 SRI917513:SRI917518 TBE917513:TBE917518 TLA917513:TLA917518 TUW917513:TUW917518 UES917513:UES917518 UOO917513:UOO917518 UYK917513:UYK917518 VIG917513:VIG917518 VSC917513:VSC917518 WBY917513:WBY917518 WLU917513:WLU917518 WVQ917513:WVQ917518 I983049:I983054 JE983049:JE983054 TA983049:TA983054 ACW983049:ACW983054 AMS983049:AMS983054 AWO983049:AWO983054 BGK983049:BGK983054 BQG983049:BQG983054 CAC983049:CAC983054 CJY983049:CJY983054 CTU983049:CTU983054 DDQ983049:DDQ983054 DNM983049:DNM983054 DXI983049:DXI983054 EHE983049:EHE983054 ERA983049:ERA983054 FAW983049:FAW983054 FKS983049:FKS983054 FUO983049:FUO983054 GEK983049:GEK983054 GOG983049:GOG983054 GYC983049:GYC983054 HHY983049:HHY983054 HRU983049:HRU983054 IBQ983049:IBQ983054 ILM983049:ILM983054 IVI983049:IVI983054 JFE983049:JFE983054 JPA983049:JPA983054 JYW983049:JYW983054 KIS983049:KIS983054 KSO983049:KSO983054 LCK983049:LCK983054 LMG983049:LMG983054 LWC983049:LWC983054 MFY983049:MFY983054 MPU983049:MPU983054 MZQ983049:MZQ983054 NJM983049:NJM983054 NTI983049:NTI983054 ODE983049:ODE983054 ONA983049:ONA983054 OWW983049:OWW983054 PGS983049:PGS983054 PQO983049:PQO983054 QAK983049:QAK983054 QKG983049:QKG983054 QUC983049:QUC983054 RDY983049:RDY983054 RNU983049:RNU983054 RXQ983049:RXQ983054 SHM983049:SHM983054 SRI983049:SRI983054 TBE983049:TBE983054 TLA983049:TLA983054 TUW983049:TUW983054 UES983049:UES983054 UOO983049:UOO983054 UYK983049:UYK983054 VIG983049:VIG983054 VSC983049:VSC983054 WBY983049:WBY983054 WLU983049:WLU983054 WVQ983049:WVQ983054">
      <formula1>ControlTypes</formula1>
    </dataValidation>
    <dataValidation type="list" showInputMessage="1" showErrorMessage="1" sqref="WVL983049:WVL983054 IZ9:IZ14 SV9:SV14 ACR9:ACR14 AMN9:AMN14 AWJ9:AWJ14 BGF9:BGF14 BQB9:BQB14 BZX9:BZX14 CJT9:CJT14 CTP9:CTP14 DDL9:DDL14 DNH9:DNH14 DXD9:DXD14 EGZ9:EGZ14 EQV9:EQV14 FAR9:FAR14 FKN9:FKN14 FUJ9:FUJ14 GEF9:GEF14 GOB9:GOB14 GXX9:GXX14 HHT9:HHT14 HRP9:HRP14 IBL9:IBL14 ILH9:ILH14 IVD9:IVD14 JEZ9:JEZ14 JOV9:JOV14 JYR9:JYR14 KIN9:KIN14 KSJ9:KSJ14 LCF9:LCF14 LMB9:LMB14 LVX9:LVX14 MFT9:MFT14 MPP9:MPP14 MZL9:MZL14 NJH9:NJH14 NTD9:NTD14 OCZ9:OCZ14 OMV9:OMV14 OWR9:OWR14 PGN9:PGN14 PQJ9:PQJ14 QAF9:QAF14 QKB9:QKB14 QTX9:QTX14 RDT9:RDT14 RNP9:RNP14 RXL9:RXL14 SHH9:SHH14 SRD9:SRD14 TAZ9:TAZ14 TKV9:TKV14 TUR9:TUR14 UEN9:UEN14 UOJ9:UOJ14 UYF9:UYF14 VIB9:VIB14 VRX9:VRX14 WBT9:WBT14 WLP9:WLP14 WVL9:WVL14 IZ65545:IZ65550 SV65545:SV65550 ACR65545:ACR65550 AMN65545:AMN65550 AWJ65545:AWJ65550 BGF65545:BGF65550 BQB65545:BQB65550 BZX65545:BZX65550 CJT65545:CJT65550 CTP65545:CTP65550 DDL65545:DDL65550 DNH65545:DNH65550 DXD65545:DXD65550 EGZ65545:EGZ65550 EQV65545:EQV65550 FAR65545:FAR65550 FKN65545:FKN65550 FUJ65545:FUJ65550 GEF65545:GEF65550 GOB65545:GOB65550 GXX65545:GXX65550 HHT65545:HHT65550 HRP65545:HRP65550 IBL65545:IBL65550 ILH65545:ILH65550 IVD65545:IVD65550 JEZ65545:JEZ65550 JOV65545:JOV65550 JYR65545:JYR65550 KIN65545:KIN65550 KSJ65545:KSJ65550 LCF65545:LCF65550 LMB65545:LMB65550 LVX65545:LVX65550 MFT65545:MFT65550 MPP65545:MPP65550 MZL65545:MZL65550 NJH65545:NJH65550 NTD65545:NTD65550 OCZ65545:OCZ65550 OMV65545:OMV65550 OWR65545:OWR65550 PGN65545:PGN65550 PQJ65545:PQJ65550 QAF65545:QAF65550 QKB65545:QKB65550 QTX65545:QTX65550 RDT65545:RDT65550 RNP65545:RNP65550 RXL65545:RXL65550 SHH65545:SHH65550 SRD65545:SRD65550 TAZ65545:TAZ65550 TKV65545:TKV65550 TUR65545:TUR65550 UEN65545:UEN65550 UOJ65545:UOJ65550 UYF65545:UYF65550 VIB65545:VIB65550 VRX65545:VRX65550 WBT65545:WBT65550 WLP65545:WLP65550 WVL65545:WVL65550 IZ131081:IZ131086 SV131081:SV131086 ACR131081:ACR131086 AMN131081:AMN131086 AWJ131081:AWJ131086 BGF131081:BGF131086 BQB131081:BQB131086 BZX131081:BZX131086 CJT131081:CJT131086 CTP131081:CTP131086 DDL131081:DDL131086 DNH131081:DNH131086 DXD131081:DXD131086 EGZ131081:EGZ131086 EQV131081:EQV131086 FAR131081:FAR131086 FKN131081:FKN131086 FUJ131081:FUJ131086 GEF131081:GEF131086 GOB131081:GOB131086 GXX131081:GXX131086 HHT131081:HHT131086 HRP131081:HRP131086 IBL131081:IBL131086 ILH131081:ILH131086 IVD131081:IVD131086 JEZ131081:JEZ131086 JOV131081:JOV131086 JYR131081:JYR131086 KIN131081:KIN131086 KSJ131081:KSJ131086 LCF131081:LCF131086 LMB131081:LMB131086 LVX131081:LVX131086 MFT131081:MFT131086 MPP131081:MPP131086 MZL131081:MZL131086 NJH131081:NJH131086 NTD131081:NTD131086 OCZ131081:OCZ131086 OMV131081:OMV131086 OWR131081:OWR131086 PGN131081:PGN131086 PQJ131081:PQJ131086 QAF131081:QAF131086 QKB131081:QKB131086 QTX131081:QTX131086 RDT131081:RDT131086 RNP131081:RNP131086 RXL131081:RXL131086 SHH131081:SHH131086 SRD131081:SRD131086 TAZ131081:TAZ131086 TKV131081:TKV131086 TUR131081:TUR131086 UEN131081:UEN131086 UOJ131081:UOJ131086 UYF131081:UYF131086 VIB131081:VIB131086 VRX131081:VRX131086 WBT131081:WBT131086 WLP131081:WLP131086 WVL131081:WVL131086 IZ196617:IZ196622 SV196617:SV196622 ACR196617:ACR196622 AMN196617:AMN196622 AWJ196617:AWJ196622 BGF196617:BGF196622 BQB196617:BQB196622 BZX196617:BZX196622 CJT196617:CJT196622 CTP196617:CTP196622 DDL196617:DDL196622 DNH196617:DNH196622 DXD196617:DXD196622 EGZ196617:EGZ196622 EQV196617:EQV196622 FAR196617:FAR196622 FKN196617:FKN196622 FUJ196617:FUJ196622 GEF196617:GEF196622 GOB196617:GOB196622 GXX196617:GXX196622 HHT196617:HHT196622 HRP196617:HRP196622 IBL196617:IBL196622 ILH196617:ILH196622 IVD196617:IVD196622 JEZ196617:JEZ196622 JOV196617:JOV196622 JYR196617:JYR196622 KIN196617:KIN196622 KSJ196617:KSJ196622 LCF196617:LCF196622 LMB196617:LMB196622 LVX196617:LVX196622 MFT196617:MFT196622 MPP196617:MPP196622 MZL196617:MZL196622 NJH196617:NJH196622 NTD196617:NTD196622 OCZ196617:OCZ196622 OMV196617:OMV196622 OWR196617:OWR196622 PGN196617:PGN196622 PQJ196617:PQJ196622 QAF196617:QAF196622 QKB196617:QKB196622 QTX196617:QTX196622 RDT196617:RDT196622 RNP196617:RNP196622 RXL196617:RXL196622 SHH196617:SHH196622 SRD196617:SRD196622 TAZ196617:TAZ196622 TKV196617:TKV196622 TUR196617:TUR196622 UEN196617:UEN196622 UOJ196617:UOJ196622 UYF196617:UYF196622 VIB196617:VIB196622 VRX196617:VRX196622 WBT196617:WBT196622 WLP196617:WLP196622 WVL196617:WVL196622 IZ262153:IZ262158 SV262153:SV262158 ACR262153:ACR262158 AMN262153:AMN262158 AWJ262153:AWJ262158 BGF262153:BGF262158 BQB262153:BQB262158 BZX262153:BZX262158 CJT262153:CJT262158 CTP262153:CTP262158 DDL262153:DDL262158 DNH262153:DNH262158 DXD262153:DXD262158 EGZ262153:EGZ262158 EQV262153:EQV262158 FAR262153:FAR262158 FKN262153:FKN262158 FUJ262153:FUJ262158 GEF262153:GEF262158 GOB262153:GOB262158 GXX262153:GXX262158 HHT262153:HHT262158 HRP262153:HRP262158 IBL262153:IBL262158 ILH262153:ILH262158 IVD262153:IVD262158 JEZ262153:JEZ262158 JOV262153:JOV262158 JYR262153:JYR262158 KIN262153:KIN262158 KSJ262153:KSJ262158 LCF262153:LCF262158 LMB262153:LMB262158 LVX262153:LVX262158 MFT262153:MFT262158 MPP262153:MPP262158 MZL262153:MZL262158 NJH262153:NJH262158 NTD262153:NTD262158 OCZ262153:OCZ262158 OMV262153:OMV262158 OWR262153:OWR262158 PGN262153:PGN262158 PQJ262153:PQJ262158 QAF262153:QAF262158 QKB262153:QKB262158 QTX262153:QTX262158 RDT262153:RDT262158 RNP262153:RNP262158 RXL262153:RXL262158 SHH262153:SHH262158 SRD262153:SRD262158 TAZ262153:TAZ262158 TKV262153:TKV262158 TUR262153:TUR262158 UEN262153:UEN262158 UOJ262153:UOJ262158 UYF262153:UYF262158 VIB262153:VIB262158 VRX262153:VRX262158 WBT262153:WBT262158 WLP262153:WLP262158 WVL262153:WVL262158 IZ327689:IZ327694 SV327689:SV327694 ACR327689:ACR327694 AMN327689:AMN327694 AWJ327689:AWJ327694 BGF327689:BGF327694 BQB327689:BQB327694 BZX327689:BZX327694 CJT327689:CJT327694 CTP327689:CTP327694 DDL327689:DDL327694 DNH327689:DNH327694 DXD327689:DXD327694 EGZ327689:EGZ327694 EQV327689:EQV327694 FAR327689:FAR327694 FKN327689:FKN327694 FUJ327689:FUJ327694 GEF327689:GEF327694 GOB327689:GOB327694 GXX327689:GXX327694 HHT327689:HHT327694 HRP327689:HRP327694 IBL327689:IBL327694 ILH327689:ILH327694 IVD327689:IVD327694 JEZ327689:JEZ327694 JOV327689:JOV327694 JYR327689:JYR327694 KIN327689:KIN327694 KSJ327689:KSJ327694 LCF327689:LCF327694 LMB327689:LMB327694 LVX327689:LVX327694 MFT327689:MFT327694 MPP327689:MPP327694 MZL327689:MZL327694 NJH327689:NJH327694 NTD327689:NTD327694 OCZ327689:OCZ327694 OMV327689:OMV327694 OWR327689:OWR327694 PGN327689:PGN327694 PQJ327689:PQJ327694 QAF327689:QAF327694 QKB327689:QKB327694 QTX327689:QTX327694 RDT327689:RDT327694 RNP327689:RNP327694 RXL327689:RXL327694 SHH327689:SHH327694 SRD327689:SRD327694 TAZ327689:TAZ327694 TKV327689:TKV327694 TUR327689:TUR327694 UEN327689:UEN327694 UOJ327689:UOJ327694 UYF327689:UYF327694 VIB327689:VIB327694 VRX327689:VRX327694 WBT327689:WBT327694 WLP327689:WLP327694 WVL327689:WVL327694 IZ393225:IZ393230 SV393225:SV393230 ACR393225:ACR393230 AMN393225:AMN393230 AWJ393225:AWJ393230 BGF393225:BGF393230 BQB393225:BQB393230 BZX393225:BZX393230 CJT393225:CJT393230 CTP393225:CTP393230 DDL393225:DDL393230 DNH393225:DNH393230 DXD393225:DXD393230 EGZ393225:EGZ393230 EQV393225:EQV393230 FAR393225:FAR393230 FKN393225:FKN393230 FUJ393225:FUJ393230 GEF393225:GEF393230 GOB393225:GOB393230 GXX393225:GXX393230 HHT393225:HHT393230 HRP393225:HRP393230 IBL393225:IBL393230 ILH393225:ILH393230 IVD393225:IVD393230 JEZ393225:JEZ393230 JOV393225:JOV393230 JYR393225:JYR393230 KIN393225:KIN393230 KSJ393225:KSJ393230 LCF393225:LCF393230 LMB393225:LMB393230 LVX393225:LVX393230 MFT393225:MFT393230 MPP393225:MPP393230 MZL393225:MZL393230 NJH393225:NJH393230 NTD393225:NTD393230 OCZ393225:OCZ393230 OMV393225:OMV393230 OWR393225:OWR393230 PGN393225:PGN393230 PQJ393225:PQJ393230 QAF393225:QAF393230 QKB393225:QKB393230 QTX393225:QTX393230 RDT393225:RDT393230 RNP393225:RNP393230 RXL393225:RXL393230 SHH393225:SHH393230 SRD393225:SRD393230 TAZ393225:TAZ393230 TKV393225:TKV393230 TUR393225:TUR393230 UEN393225:UEN393230 UOJ393225:UOJ393230 UYF393225:UYF393230 VIB393225:VIB393230 VRX393225:VRX393230 WBT393225:WBT393230 WLP393225:WLP393230 WVL393225:WVL393230 IZ458761:IZ458766 SV458761:SV458766 ACR458761:ACR458766 AMN458761:AMN458766 AWJ458761:AWJ458766 BGF458761:BGF458766 BQB458761:BQB458766 BZX458761:BZX458766 CJT458761:CJT458766 CTP458761:CTP458766 DDL458761:DDL458766 DNH458761:DNH458766 DXD458761:DXD458766 EGZ458761:EGZ458766 EQV458761:EQV458766 FAR458761:FAR458766 FKN458761:FKN458766 FUJ458761:FUJ458766 GEF458761:GEF458766 GOB458761:GOB458766 GXX458761:GXX458766 HHT458761:HHT458766 HRP458761:HRP458766 IBL458761:IBL458766 ILH458761:ILH458766 IVD458761:IVD458766 JEZ458761:JEZ458766 JOV458761:JOV458766 JYR458761:JYR458766 KIN458761:KIN458766 KSJ458761:KSJ458766 LCF458761:LCF458766 LMB458761:LMB458766 LVX458761:LVX458766 MFT458761:MFT458766 MPP458761:MPP458766 MZL458761:MZL458766 NJH458761:NJH458766 NTD458761:NTD458766 OCZ458761:OCZ458766 OMV458761:OMV458766 OWR458761:OWR458766 PGN458761:PGN458766 PQJ458761:PQJ458766 QAF458761:QAF458766 QKB458761:QKB458766 QTX458761:QTX458766 RDT458761:RDT458766 RNP458761:RNP458766 RXL458761:RXL458766 SHH458761:SHH458766 SRD458761:SRD458766 TAZ458761:TAZ458766 TKV458761:TKV458766 TUR458761:TUR458766 UEN458761:UEN458766 UOJ458761:UOJ458766 UYF458761:UYF458766 VIB458761:VIB458766 VRX458761:VRX458766 WBT458761:WBT458766 WLP458761:WLP458766 WVL458761:WVL458766 IZ524297:IZ524302 SV524297:SV524302 ACR524297:ACR524302 AMN524297:AMN524302 AWJ524297:AWJ524302 BGF524297:BGF524302 BQB524297:BQB524302 BZX524297:BZX524302 CJT524297:CJT524302 CTP524297:CTP524302 DDL524297:DDL524302 DNH524297:DNH524302 DXD524297:DXD524302 EGZ524297:EGZ524302 EQV524297:EQV524302 FAR524297:FAR524302 FKN524297:FKN524302 FUJ524297:FUJ524302 GEF524297:GEF524302 GOB524297:GOB524302 GXX524297:GXX524302 HHT524297:HHT524302 HRP524297:HRP524302 IBL524297:IBL524302 ILH524297:ILH524302 IVD524297:IVD524302 JEZ524297:JEZ524302 JOV524297:JOV524302 JYR524297:JYR524302 KIN524297:KIN524302 KSJ524297:KSJ524302 LCF524297:LCF524302 LMB524297:LMB524302 LVX524297:LVX524302 MFT524297:MFT524302 MPP524297:MPP524302 MZL524297:MZL524302 NJH524297:NJH524302 NTD524297:NTD524302 OCZ524297:OCZ524302 OMV524297:OMV524302 OWR524297:OWR524302 PGN524297:PGN524302 PQJ524297:PQJ524302 QAF524297:QAF524302 QKB524297:QKB524302 QTX524297:QTX524302 RDT524297:RDT524302 RNP524297:RNP524302 RXL524297:RXL524302 SHH524297:SHH524302 SRD524297:SRD524302 TAZ524297:TAZ524302 TKV524297:TKV524302 TUR524297:TUR524302 UEN524297:UEN524302 UOJ524297:UOJ524302 UYF524297:UYF524302 VIB524297:VIB524302 VRX524297:VRX524302 WBT524297:WBT524302 WLP524297:WLP524302 WVL524297:WVL524302 IZ589833:IZ589838 SV589833:SV589838 ACR589833:ACR589838 AMN589833:AMN589838 AWJ589833:AWJ589838 BGF589833:BGF589838 BQB589833:BQB589838 BZX589833:BZX589838 CJT589833:CJT589838 CTP589833:CTP589838 DDL589833:DDL589838 DNH589833:DNH589838 DXD589833:DXD589838 EGZ589833:EGZ589838 EQV589833:EQV589838 FAR589833:FAR589838 FKN589833:FKN589838 FUJ589833:FUJ589838 GEF589833:GEF589838 GOB589833:GOB589838 GXX589833:GXX589838 HHT589833:HHT589838 HRP589833:HRP589838 IBL589833:IBL589838 ILH589833:ILH589838 IVD589833:IVD589838 JEZ589833:JEZ589838 JOV589833:JOV589838 JYR589833:JYR589838 KIN589833:KIN589838 KSJ589833:KSJ589838 LCF589833:LCF589838 LMB589833:LMB589838 LVX589833:LVX589838 MFT589833:MFT589838 MPP589833:MPP589838 MZL589833:MZL589838 NJH589833:NJH589838 NTD589833:NTD589838 OCZ589833:OCZ589838 OMV589833:OMV589838 OWR589833:OWR589838 PGN589833:PGN589838 PQJ589833:PQJ589838 QAF589833:QAF589838 QKB589833:QKB589838 QTX589833:QTX589838 RDT589833:RDT589838 RNP589833:RNP589838 RXL589833:RXL589838 SHH589833:SHH589838 SRD589833:SRD589838 TAZ589833:TAZ589838 TKV589833:TKV589838 TUR589833:TUR589838 UEN589833:UEN589838 UOJ589833:UOJ589838 UYF589833:UYF589838 VIB589833:VIB589838 VRX589833:VRX589838 WBT589833:WBT589838 WLP589833:WLP589838 WVL589833:WVL589838 IZ655369:IZ655374 SV655369:SV655374 ACR655369:ACR655374 AMN655369:AMN655374 AWJ655369:AWJ655374 BGF655369:BGF655374 BQB655369:BQB655374 BZX655369:BZX655374 CJT655369:CJT655374 CTP655369:CTP655374 DDL655369:DDL655374 DNH655369:DNH655374 DXD655369:DXD655374 EGZ655369:EGZ655374 EQV655369:EQV655374 FAR655369:FAR655374 FKN655369:FKN655374 FUJ655369:FUJ655374 GEF655369:GEF655374 GOB655369:GOB655374 GXX655369:GXX655374 HHT655369:HHT655374 HRP655369:HRP655374 IBL655369:IBL655374 ILH655369:ILH655374 IVD655369:IVD655374 JEZ655369:JEZ655374 JOV655369:JOV655374 JYR655369:JYR655374 KIN655369:KIN655374 KSJ655369:KSJ655374 LCF655369:LCF655374 LMB655369:LMB655374 LVX655369:LVX655374 MFT655369:MFT655374 MPP655369:MPP655374 MZL655369:MZL655374 NJH655369:NJH655374 NTD655369:NTD655374 OCZ655369:OCZ655374 OMV655369:OMV655374 OWR655369:OWR655374 PGN655369:PGN655374 PQJ655369:PQJ655374 QAF655369:QAF655374 QKB655369:QKB655374 QTX655369:QTX655374 RDT655369:RDT655374 RNP655369:RNP655374 RXL655369:RXL655374 SHH655369:SHH655374 SRD655369:SRD655374 TAZ655369:TAZ655374 TKV655369:TKV655374 TUR655369:TUR655374 UEN655369:UEN655374 UOJ655369:UOJ655374 UYF655369:UYF655374 VIB655369:VIB655374 VRX655369:VRX655374 WBT655369:WBT655374 WLP655369:WLP655374 WVL655369:WVL655374 IZ720905:IZ720910 SV720905:SV720910 ACR720905:ACR720910 AMN720905:AMN720910 AWJ720905:AWJ720910 BGF720905:BGF720910 BQB720905:BQB720910 BZX720905:BZX720910 CJT720905:CJT720910 CTP720905:CTP720910 DDL720905:DDL720910 DNH720905:DNH720910 DXD720905:DXD720910 EGZ720905:EGZ720910 EQV720905:EQV720910 FAR720905:FAR720910 FKN720905:FKN720910 FUJ720905:FUJ720910 GEF720905:GEF720910 GOB720905:GOB720910 GXX720905:GXX720910 HHT720905:HHT720910 HRP720905:HRP720910 IBL720905:IBL720910 ILH720905:ILH720910 IVD720905:IVD720910 JEZ720905:JEZ720910 JOV720905:JOV720910 JYR720905:JYR720910 KIN720905:KIN720910 KSJ720905:KSJ720910 LCF720905:LCF720910 LMB720905:LMB720910 LVX720905:LVX720910 MFT720905:MFT720910 MPP720905:MPP720910 MZL720905:MZL720910 NJH720905:NJH720910 NTD720905:NTD720910 OCZ720905:OCZ720910 OMV720905:OMV720910 OWR720905:OWR720910 PGN720905:PGN720910 PQJ720905:PQJ720910 QAF720905:QAF720910 QKB720905:QKB720910 QTX720905:QTX720910 RDT720905:RDT720910 RNP720905:RNP720910 RXL720905:RXL720910 SHH720905:SHH720910 SRD720905:SRD720910 TAZ720905:TAZ720910 TKV720905:TKV720910 TUR720905:TUR720910 UEN720905:UEN720910 UOJ720905:UOJ720910 UYF720905:UYF720910 VIB720905:VIB720910 VRX720905:VRX720910 WBT720905:WBT720910 WLP720905:WLP720910 WVL720905:WVL720910 IZ786441:IZ786446 SV786441:SV786446 ACR786441:ACR786446 AMN786441:AMN786446 AWJ786441:AWJ786446 BGF786441:BGF786446 BQB786441:BQB786446 BZX786441:BZX786446 CJT786441:CJT786446 CTP786441:CTP786446 DDL786441:DDL786446 DNH786441:DNH786446 DXD786441:DXD786446 EGZ786441:EGZ786446 EQV786441:EQV786446 FAR786441:FAR786446 FKN786441:FKN786446 FUJ786441:FUJ786446 GEF786441:GEF786446 GOB786441:GOB786446 GXX786441:GXX786446 HHT786441:HHT786446 HRP786441:HRP786446 IBL786441:IBL786446 ILH786441:ILH786446 IVD786441:IVD786446 JEZ786441:JEZ786446 JOV786441:JOV786446 JYR786441:JYR786446 KIN786441:KIN786446 KSJ786441:KSJ786446 LCF786441:LCF786446 LMB786441:LMB786446 LVX786441:LVX786446 MFT786441:MFT786446 MPP786441:MPP786446 MZL786441:MZL786446 NJH786441:NJH786446 NTD786441:NTD786446 OCZ786441:OCZ786446 OMV786441:OMV786446 OWR786441:OWR786446 PGN786441:PGN786446 PQJ786441:PQJ786446 QAF786441:QAF786446 QKB786441:QKB786446 QTX786441:QTX786446 RDT786441:RDT786446 RNP786441:RNP786446 RXL786441:RXL786446 SHH786441:SHH786446 SRD786441:SRD786446 TAZ786441:TAZ786446 TKV786441:TKV786446 TUR786441:TUR786446 UEN786441:UEN786446 UOJ786441:UOJ786446 UYF786441:UYF786446 VIB786441:VIB786446 VRX786441:VRX786446 WBT786441:WBT786446 WLP786441:WLP786446 WVL786441:WVL786446 IZ851977:IZ851982 SV851977:SV851982 ACR851977:ACR851982 AMN851977:AMN851982 AWJ851977:AWJ851982 BGF851977:BGF851982 BQB851977:BQB851982 BZX851977:BZX851982 CJT851977:CJT851982 CTP851977:CTP851982 DDL851977:DDL851982 DNH851977:DNH851982 DXD851977:DXD851982 EGZ851977:EGZ851982 EQV851977:EQV851982 FAR851977:FAR851982 FKN851977:FKN851982 FUJ851977:FUJ851982 GEF851977:GEF851982 GOB851977:GOB851982 GXX851977:GXX851982 HHT851977:HHT851982 HRP851977:HRP851982 IBL851977:IBL851982 ILH851977:ILH851982 IVD851977:IVD851982 JEZ851977:JEZ851982 JOV851977:JOV851982 JYR851977:JYR851982 KIN851977:KIN851982 KSJ851977:KSJ851982 LCF851977:LCF851982 LMB851977:LMB851982 LVX851977:LVX851982 MFT851977:MFT851982 MPP851977:MPP851982 MZL851977:MZL851982 NJH851977:NJH851982 NTD851977:NTD851982 OCZ851977:OCZ851982 OMV851977:OMV851982 OWR851977:OWR851982 PGN851977:PGN851982 PQJ851977:PQJ851982 QAF851977:QAF851982 QKB851977:QKB851982 QTX851977:QTX851982 RDT851977:RDT851982 RNP851977:RNP851982 RXL851977:RXL851982 SHH851977:SHH851982 SRD851977:SRD851982 TAZ851977:TAZ851982 TKV851977:TKV851982 TUR851977:TUR851982 UEN851977:UEN851982 UOJ851977:UOJ851982 UYF851977:UYF851982 VIB851977:VIB851982 VRX851977:VRX851982 WBT851977:WBT851982 WLP851977:WLP851982 WVL851977:WVL851982 IZ917513:IZ917518 SV917513:SV917518 ACR917513:ACR917518 AMN917513:AMN917518 AWJ917513:AWJ917518 BGF917513:BGF917518 BQB917513:BQB917518 BZX917513:BZX917518 CJT917513:CJT917518 CTP917513:CTP917518 DDL917513:DDL917518 DNH917513:DNH917518 DXD917513:DXD917518 EGZ917513:EGZ917518 EQV917513:EQV917518 FAR917513:FAR917518 FKN917513:FKN917518 FUJ917513:FUJ917518 GEF917513:GEF917518 GOB917513:GOB917518 GXX917513:GXX917518 HHT917513:HHT917518 HRP917513:HRP917518 IBL917513:IBL917518 ILH917513:ILH917518 IVD917513:IVD917518 JEZ917513:JEZ917518 JOV917513:JOV917518 JYR917513:JYR917518 KIN917513:KIN917518 KSJ917513:KSJ917518 LCF917513:LCF917518 LMB917513:LMB917518 LVX917513:LVX917518 MFT917513:MFT917518 MPP917513:MPP917518 MZL917513:MZL917518 NJH917513:NJH917518 NTD917513:NTD917518 OCZ917513:OCZ917518 OMV917513:OMV917518 OWR917513:OWR917518 PGN917513:PGN917518 PQJ917513:PQJ917518 QAF917513:QAF917518 QKB917513:QKB917518 QTX917513:QTX917518 RDT917513:RDT917518 RNP917513:RNP917518 RXL917513:RXL917518 SHH917513:SHH917518 SRD917513:SRD917518 TAZ917513:TAZ917518 TKV917513:TKV917518 TUR917513:TUR917518 UEN917513:UEN917518 UOJ917513:UOJ917518 UYF917513:UYF917518 VIB917513:VIB917518 VRX917513:VRX917518 WBT917513:WBT917518 WLP917513:WLP917518 WVL917513:WVL917518 IZ983049:IZ983054 SV983049:SV983054 ACR983049:ACR983054 AMN983049:AMN983054 AWJ983049:AWJ983054 BGF983049:BGF983054 BQB983049:BQB983054 BZX983049:BZX983054 CJT983049:CJT983054 CTP983049:CTP983054 DDL983049:DDL983054 DNH983049:DNH983054 DXD983049:DXD983054 EGZ983049:EGZ983054 EQV983049:EQV983054 FAR983049:FAR983054 FKN983049:FKN983054 FUJ983049:FUJ983054 GEF983049:GEF983054 GOB983049:GOB983054 GXX983049:GXX983054 HHT983049:HHT983054 HRP983049:HRP983054 IBL983049:IBL983054 ILH983049:ILH983054 IVD983049:IVD983054 JEZ983049:JEZ983054 JOV983049:JOV983054 JYR983049:JYR983054 KIN983049:KIN983054 KSJ983049:KSJ983054 LCF983049:LCF983054 LMB983049:LMB983054 LVX983049:LVX983054 MFT983049:MFT983054 MPP983049:MPP983054 MZL983049:MZL983054 NJH983049:NJH983054 NTD983049:NTD983054 OCZ983049:OCZ983054 OMV983049:OMV983054 OWR983049:OWR983054 PGN983049:PGN983054 PQJ983049:PQJ983054 QAF983049:QAF983054 QKB983049:QKB983054 QTX983049:QTX983054 RDT983049:RDT983054 RNP983049:RNP983054 RXL983049:RXL983054 SHH983049:SHH983054 SRD983049:SRD983054 TAZ983049:TAZ983054 TKV983049:TKV983054 TUR983049:TUR983054 UEN983049:UEN983054 UOJ983049:UOJ983054 UYF983049:UYF983054 VIB983049:VIB983054 VRX983049:VRX983054 WBT983049:WBT983054 WLP983049:WLP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E65545:E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E131081:E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E196617:E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E262153:E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E327689:E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E393225:E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E458761:E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E524297:E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E589833:E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E655369:E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E720905:E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E786441:E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E851977:E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E917513:E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E983049:E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AC_Type</formula1>
    </dataValidation>
  </dataValidations>
  <printOptions horizontalCentered="1"/>
  <pageMargins left="0.57999999999999996" right="0.51" top="0.75" bottom="0.74" header="0.5" footer="0.5"/>
  <pageSetup scale="39" fitToHeight="0" pageOrder="overThenDown" orientation="landscape" r:id="rId1"/>
  <headerFooter alignWithMargins="0">
    <oddFooter>&amp;L&amp;9&amp;F&amp;CPage &amp;P&amp;R&amp;9&amp;D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J2000"/>
  <sheetViews>
    <sheetView showGridLines="0" view="pageBreakPreview" zoomScale="70" zoomScaleNormal="70" zoomScaleSheetLayoutView="70" workbookViewId="0">
      <selection activeCell="E10" sqref="E10"/>
    </sheetView>
  </sheetViews>
  <sheetFormatPr defaultRowHeight="15" x14ac:dyDescent="0.25"/>
  <cols>
    <col min="1" max="1" width="12.140625" style="81" customWidth="1"/>
    <col min="2" max="2" width="13.7109375" style="81" customWidth="1"/>
    <col min="3" max="3" width="8.5703125" style="81" customWidth="1"/>
    <col min="4" max="4" width="24.140625" style="81" customWidth="1"/>
    <col min="5" max="5" width="23" style="81" customWidth="1"/>
    <col min="6" max="6" width="53.42578125" style="81" customWidth="1"/>
    <col min="7" max="8" width="17.28515625" style="81" customWidth="1"/>
    <col min="9" max="9" width="28.42578125" style="81" customWidth="1"/>
    <col min="10" max="10" width="20" style="81" customWidth="1"/>
    <col min="11" max="248" width="9.140625" style="81"/>
    <col min="249" max="250" width="13.7109375" style="81" customWidth="1"/>
    <col min="251" max="251" width="8.5703125" style="81" customWidth="1"/>
    <col min="252" max="252" width="10.5703125" style="81" bestFit="1" customWidth="1"/>
    <col min="253" max="253" width="7" style="81" bestFit="1" customWidth="1"/>
    <col min="254" max="254" width="20.5703125" style="81" customWidth="1"/>
    <col min="255" max="255" width="21.140625" style="81" bestFit="1" customWidth="1"/>
    <col min="256" max="256" width="24.140625" style="81" bestFit="1" customWidth="1"/>
    <col min="257" max="257" width="23" style="81" bestFit="1" customWidth="1"/>
    <col min="258" max="259" width="15" style="81" bestFit="1" customWidth="1"/>
    <col min="260" max="260" width="14.28515625" style="81" bestFit="1" customWidth="1"/>
    <col min="261" max="261" width="23.7109375" style="81" bestFit="1" customWidth="1"/>
    <col min="262" max="262" width="18.140625" style="81" customWidth="1"/>
    <col min="263" max="263" width="15.5703125" style="81" bestFit="1" customWidth="1"/>
    <col min="264" max="264" width="15" style="81" bestFit="1" customWidth="1"/>
    <col min="265" max="265" width="26.140625" style="81" customWidth="1"/>
    <col min="266" max="266" width="19.28515625" style="81" customWidth="1"/>
    <col min="267" max="504" width="9.140625" style="81"/>
    <col min="505" max="506" width="13.7109375" style="81" customWidth="1"/>
    <col min="507" max="507" width="8.5703125" style="81" customWidth="1"/>
    <col min="508" max="508" width="10.5703125" style="81" bestFit="1" customWidth="1"/>
    <col min="509" max="509" width="7" style="81" bestFit="1" customWidth="1"/>
    <col min="510" max="510" width="20.5703125" style="81" customWidth="1"/>
    <col min="511" max="511" width="21.140625" style="81" bestFit="1" customWidth="1"/>
    <col min="512" max="512" width="24.140625" style="81" bestFit="1" customWidth="1"/>
    <col min="513" max="513" width="23" style="81" bestFit="1" customWidth="1"/>
    <col min="514" max="515" width="15" style="81" bestFit="1" customWidth="1"/>
    <col min="516" max="516" width="14.28515625" style="81" bestFit="1" customWidth="1"/>
    <col min="517" max="517" width="23.7109375" style="81" bestFit="1" customWidth="1"/>
    <col min="518" max="518" width="18.140625" style="81" customWidth="1"/>
    <col min="519" max="519" width="15.5703125" style="81" bestFit="1" customWidth="1"/>
    <col min="520" max="520" width="15" style="81" bestFit="1" customWidth="1"/>
    <col min="521" max="521" width="26.140625" style="81" customWidth="1"/>
    <col min="522" max="522" width="19.28515625" style="81" customWidth="1"/>
    <col min="523" max="760" width="9.140625" style="81"/>
    <col min="761" max="762" width="13.7109375" style="81" customWidth="1"/>
    <col min="763" max="763" width="8.5703125" style="81" customWidth="1"/>
    <col min="764" max="764" width="10.5703125" style="81" bestFit="1" customWidth="1"/>
    <col min="765" max="765" width="7" style="81" bestFit="1" customWidth="1"/>
    <col min="766" max="766" width="20.5703125" style="81" customWidth="1"/>
    <col min="767" max="767" width="21.140625" style="81" bestFit="1" customWidth="1"/>
    <col min="768" max="768" width="24.140625" style="81" bestFit="1" customWidth="1"/>
    <col min="769" max="769" width="23" style="81" bestFit="1" customWidth="1"/>
    <col min="770" max="771" width="15" style="81" bestFit="1" customWidth="1"/>
    <col min="772" max="772" width="14.28515625" style="81" bestFit="1" customWidth="1"/>
    <col min="773" max="773" width="23.7109375" style="81" bestFit="1" customWidth="1"/>
    <col min="774" max="774" width="18.140625" style="81" customWidth="1"/>
    <col min="775" max="775" width="15.5703125" style="81" bestFit="1" customWidth="1"/>
    <col min="776" max="776" width="15" style="81" bestFit="1" customWidth="1"/>
    <col min="777" max="777" width="26.140625" style="81" customWidth="1"/>
    <col min="778" max="778" width="19.28515625" style="81" customWidth="1"/>
    <col min="779" max="1016" width="9.140625" style="81"/>
    <col min="1017" max="1018" width="13.7109375" style="81" customWidth="1"/>
    <col min="1019" max="1019" width="8.5703125" style="81" customWidth="1"/>
    <col min="1020" max="1020" width="10.5703125" style="81" bestFit="1" customWidth="1"/>
    <col min="1021" max="1021" width="7" style="81" bestFit="1" customWidth="1"/>
    <col min="1022" max="1022" width="20.5703125" style="81" customWidth="1"/>
    <col min="1023" max="1023" width="21.140625" style="81" bestFit="1" customWidth="1"/>
    <col min="1024" max="1024" width="24.140625" style="81" bestFit="1" customWidth="1"/>
    <col min="1025" max="1025" width="23" style="81" bestFit="1" customWidth="1"/>
    <col min="1026" max="1027" width="15" style="81" bestFit="1" customWidth="1"/>
    <col min="1028" max="1028" width="14.28515625" style="81" bestFit="1" customWidth="1"/>
    <col min="1029" max="1029" width="23.7109375" style="81" bestFit="1" customWidth="1"/>
    <col min="1030" max="1030" width="18.140625" style="81" customWidth="1"/>
    <col min="1031" max="1031" width="15.5703125" style="81" bestFit="1" customWidth="1"/>
    <col min="1032" max="1032" width="15" style="81" bestFit="1" customWidth="1"/>
    <col min="1033" max="1033" width="26.140625" style="81" customWidth="1"/>
    <col min="1034" max="1034" width="19.28515625" style="81" customWidth="1"/>
    <col min="1035" max="1272" width="9.140625" style="81"/>
    <col min="1273" max="1274" width="13.7109375" style="81" customWidth="1"/>
    <col min="1275" max="1275" width="8.5703125" style="81" customWidth="1"/>
    <col min="1276" max="1276" width="10.5703125" style="81" bestFit="1" customWidth="1"/>
    <col min="1277" max="1277" width="7" style="81" bestFit="1" customWidth="1"/>
    <col min="1278" max="1278" width="20.5703125" style="81" customWidth="1"/>
    <col min="1279" max="1279" width="21.140625" style="81" bestFit="1" customWidth="1"/>
    <col min="1280" max="1280" width="24.140625" style="81" bestFit="1" customWidth="1"/>
    <col min="1281" max="1281" width="23" style="81" bestFit="1" customWidth="1"/>
    <col min="1282" max="1283" width="15" style="81" bestFit="1" customWidth="1"/>
    <col min="1284" max="1284" width="14.28515625" style="81" bestFit="1" customWidth="1"/>
    <col min="1285" max="1285" width="23.7109375" style="81" bestFit="1" customWidth="1"/>
    <col min="1286" max="1286" width="18.140625" style="81" customWidth="1"/>
    <col min="1287" max="1287" width="15.5703125" style="81" bestFit="1" customWidth="1"/>
    <col min="1288" max="1288" width="15" style="81" bestFit="1" customWidth="1"/>
    <col min="1289" max="1289" width="26.140625" style="81" customWidth="1"/>
    <col min="1290" max="1290" width="19.28515625" style="81" customWidth="1"/>
    <col min="1291" max="1528" width="9.140625" style="81"/>
    <col min="1529" max="1530" width="13.7109375" style="81" customWidth="1"/>
    <col min="1531" max="1531" width="8.5703125" style="81" customWidth="1"/>
    <col min="1532" max="1532" width="10.5703125" style="81" bestFit="1" customWidth="1"/>
    <col min="1533" max="1533" width="7" style="81" bestFit="1" customWidth="1"/>
    <col min="1534" max="1534" width="20.5703125" style="81" customWidth="1"/>
    <col min="1535" max="1535" width="21.140625" style="81" bestFit="1" customWidth="1"/>
    <col min="1536" max="1536" width="24.140625" style="81" bestFit="1" customWidth="1"/>
    <col min="1537" max="1537" width="23" style="81" bestFit="1" customWidth="1"/>
    <col min="1538" max="1539" width="15" style="81" bestFit="1" customWidth="1"/>
    <col min="1540" max="1540" width="14.28515625" style="81" bestFit="1" customWidth="1"/>
    <col min="1541" max="1541" width="23.7109375" style="81" bestFit="1" customWidth="1"/>
    <col min="1542" max="1542" width="18.140625" style="81" customWidth="1"/>
    <col min="1543" max="1543" width="15.5703125" style="81" bestFit="1" customWidth="1"/>
    <col min="1544" max="1544" width="15" style="81" bestFit="1" customWidth="1"/>
    <col min="1545" max="1545" width="26.140625" style="81" customWidth="1"/>
    <col min="1546" max="1546" width="19.28515625" style="81" customWidth="1"/>
    <col min="1547" max="1784" width="9.140625" style="81"/>
    <col min="1785" max="1786" width="13.7109375" style="81" customWidth="1"/>
    <col min="1787" max="1787" width="8.5703125" style="81" customWidth="1"/>
    <col min="1788" max="1788" width="10.5703125" style="81" bestFit="1" customWidth="1"/>
    <col min="1789" max="1789" width="7" style="81" bestFit="1" customWidth="1"/>
    <col min="1790" max="1790" width="20.5703125" style="81" customWidth="1"/>
    <col min="1791" max="1791" width="21.140625" style="81" bestFit="1" customWidth="1"/>
    <col min="1792" max="1792" width="24.140625" style="81" bestFit="1" customWidth="1"/>
    <col min="1793" max="1793" width="23" style="81" bestFit="1" customWidth="1"/>
    <col min="1794" max="1795" width="15" style="81" bestFit="1" customWidth="1"/>
    <col min="1796" max="1796" width="14.28515625" style="81" bestFit="1" customWidth="1"/>
    <col min="1797" max="1797" width="23.7109375" style="81" bestFit="1" customWidth="1"/>
    <col min="1798" max="1798" width="18.140625" style="81" customWidth="1"/>
    <col min="1799" max="1799" width="15.5703125" style="81" bestFit="1" customWidth="1"/>
    <col min="1800" max="1800" width="15" style="81" bestFit="1" customWidth="1"/>
    <col min="1801" max="1801" width="26.140625" style="81" customWidth="1"/>
    <col min="1802" max="1802" width="19.28515625" style="81" customWidth="1"/>
    <col min="1803" max="2040" width="9.140625" style="81"/>
    <col min="2041" max="2042" width="13.7109375" style="81" customWidth="1"/>
    <col min="2043" max="2043" width="8.5703125" style="81" customWidth="1"/>
    <col min="2044" max="2044" width="10.5703125" style="81" bestFit="1" customWidth="1"/>
    <col min="2045" max="2045" width="7" style="81" bestFit="1" customWidth="1"/>
    <col min="2046" max="2046" width="20.5703125" style="81" customWidth="1"/>
    <col min="2047" max="2047" width="21.140625" style="81" bestFit="1" customWidth="1"/>
    <col min="2048" max="2048" width="24.140625" style="81" bestFit="1" customWidth="1"/>
    <col min="2049" max="2049" width="23" style="81" bestFit="1" customWidth="1"/>
    <col min="2050" max="2051" width="15" style="81" bestFit="1" customWidth="1"/>
    <col min="2052" max="2052" width="14.28515625" style="81" bestFit="1" customWidth="1"/>
    <col min="2053" max="2053" width="23.7109375" style="81" bestFit="1" customWidth="1"/>
    <col min="2054" max="2054" width="18.140625" style="81" customWidth="1"/>
    <col min="2055" max="2055" width="15.5703125" style="81" bestFit="1" customWidth="1"/>
    <col min="2056" max="2056" width="15" style="81" bestFit="1" customWidth="1"/>
    <col min="2057" max="2057" width="26.140625" style="81" customWidth="1"/>
    <col min="2058" max="2058" width="19.28515625" style="81" customWidth="1"/>
    <col min="2059" max="2296" width="9.140625" style="81"/>
    <col min="2297" max="2298" width="13.7109375" style="81" customWidth="1"/>
    <col min="2299" max="2299" width="8.5703125" style="81" customWidth="1"/>
    <col min="2300" max="2300" width="10.5703125" style="81" bestFit="1" customWidth="1"/>
    <col min="2301" max="2301" width="7" style="81" bestFit="1" customWidth="1"/>
    <col min="2302" max="2302" width="20.5703125" style="81" customWidth="1"/>
    <col min="2303" max="2303" width="21.140625" style="81" bestFit="1" customWidth="1"/>
    <col min="2304" max="2304" width="24.140625" style="81" bestFit="1" customWidth="1"/>
    <col min="2305" max="2305" width="23" style="81" bestFit="1" customWidth="1"/>
    <col min="2306" max="2307" width="15" style="81" bestFit="1" customWidth="1"/>
    <col min="2308" max="2308" width="14.28515625" style="81" bestFit="1" customWidth="1"/>
    <col min="2309" max="2309" width="23.7109375" style="81" bestFit="1" customWidth="1"/>
    <col min="2310" max="2310" width="18.140625" style="81" customWidth="1"/>
    <col min="2311" max="2311" width="15.5703125" style="81" bestFit="1" customWidth="1"/>
    <col min="2312" max="2312" width="15" style="81" bestFit="1" customWidth="1"/>
    <col min="2313" max="2313" width="26.140625" style="81" customWidth="1"/>
    <col min="2314" max="2314" width="19.28515625" style="81" customWidth="1"/>
    <col min="2315" max="2552" width="9.140625" style="81"/>
    <col min="2553" max="2554" width="13.7109375" style="81" customWidth="1"/>
    <col min="2555" max="2555" width="8.5703125" style="81" customWidth="1"/>
    <col min="2556" max="2556" width="10.5703125" style="81" bestFit="1" customWidth="1"/>
    <col min="2557" max="2557" width="7" style="81" bestFit="1" customWidth="1"/>
    <col min="2558" max="2558" width="20.5703125" style="81" customWidth="1"/>
    <col min="2559" max="2559" width="21.140625" style="81" bestFit="1" customWidth="1"/>
    <col min="2560" max="2560" width="24.140625" style="81" bestFit="1" customWidth="1"/>
    <col min="2561" max="2561" width="23" style="81" bestFit="1" customWidth="1"/>
    <col min="2562" max="2563" width="15" style="81" bestFit="1" customWidth="1"/>
    <col min="2564" max="2564" width="14.28515625" style="81" bestFit="1" customWidth="1"/>
    <col min="2565" max="2565" width="23.7109375" style="81" bestFit="1" customWidth="1"/>
    <col min="2566" max="2566" width="18.140625" style="81" customWidth="1"/>
    <col min="2567" max="2567" width="15.5703125" style="81" bestFit="1" customWidth="1"/>
    <col min="2568" max="2568" width="15" style="81" bestFit="1" customWidth="1"/>
    <col min="2569" max="2569" width="26.140625" style="81" customWidth="1"/>
    <col min="2570" max="2570" width="19.28515625" style="81" customWidth="1"/>
    <col min="2571" max="2808" width="9.140625" style="81"/>
    <col min="2809" max="2810" width="13.7109375" style="81" customWidth="1"/>
    <col min="2811" max="2811" width="8.5703125" style="81" customWidth="1"/>
    <col min="2812" max="2812" width="10.5703125" style="81" bestFit="1" customWidth="1"/>
    <col min="2813" max="2813" width="7" style="81" bestFit="1" customWidth="1"/>
    <col min="2814" max="2814" width="20.5703125" style="81" customWidth="1"/>
    <col min="2815" max="2815" width="21.140625" style="81" bestFit="1" customWidth="1"/>
    <col min="2816" max="2816" width="24.140625" style="81" bestFit="1" customWidth="1"/>
    <col min="2817" max="2817" width="23" style="81" bestFit="1" customWidth="1"/>
    <col min="2818" max="2819" width="15" style="81" bestFit="1" customWidth="1"/>
    <col min="2820" max="2820" width="14.28515625" style="81" bestFit="1" customWidth="1"/>
    <col min="2821" max="2821" width="23.7109375" style="81" bestFit="1" customWidth="1"/>
    <col min="2822" max="2822" width="18.140625" style="81" customWidth="1"/>
    <col min="2823" max="2823" width="15.5703125" style="81" bestFit="1" customWidth="1"/>
    <col min="2824" max="2824" width="15" style="81" bestFit="1" customWidth="1"/>
    <col min="2825" max="2825" width="26.140625" style="81" customWidth="1"/>
    <col min="2826" max="2826" width="19.28515625" style="81" customWidth="1"/>
    <col min="2827" max="3064" width="9.140625" style="81"/>
    <col min="3065" max="3066" width="13.7109375" style="81" customWidth="1"/>
    <col min="3067" max="3067" width="8.5703125" style="81" customWidth="1"/>
    <col min="3068" max="3068" width="10.5703125" style="81" bestFit="1" customWidth="1"/>
    <col min="3069" max="3069" width="7" style="81" bestFit="1" customWidth="1"/>
    <col min="3070" max="3070" width="20.5703125" style="81" customWidth="1"/>
    <col min="3071" max="3071" width="21.140625" style="81" bestFit="1" customWidth="1"/>
    <col min="3072" max="3072" width="24.140625" style="81" bestFit="1" customWidth="1"/>
    <col min="3073" max="3073" width="23" style="81" bestFit="1" customWidth="1"/>
    <col min="3074" max="3075" width="15" style="81" bestFit="1" customWidth="1"/>
    <col min="3076" max="3076" width="14.28515625" style="81" bestFit="1" customWidth="1"/>
    <col min="3077" max="3077" width="23.7109375" style="81" bestFit="1" customWidth="1"/>
    <col min="3078" max="3078" width="18.140625" style="81" customWidth="1"/>
    <col min="3079" max="3079" width="15.5703125" style="81" bestFit="1" customWidth="1"/>
    <col min="3080" max="3080" width="15" style="81" bestFit="1" customWidth="1"/>
    <col min="3081" max="3081" width="26.140625" style="81" customWidth="1"/>
    <col min="3082" max="3082" width="19.28515625" style="81" customWidth="1"/>
    <col min="3083" max="3320" width="9.140625" style="81"/>
    <col min="3321" max="3322" width="13.7109375" style="81" customWidth="1"/>
    <col min="3323" max="3323" width="8.5703125" style="81" customWidth="1"/>
    <col min="3324" max="3324" width="10.5703125" style="81" bestFit="1" customWidth="1"/>
    <col min="3325" max="3325" width="7" style="81" bestFit="1" customWidth="1"/>
    <col min="3326" max="3326" width="20.5703125" style="81" customWidth="1"/>
    <col min="3327" max="3327" width="21.140625" style="81" bestFit="1" customWidth="1"/>
    <col min="3328" max="3328" width="24.140625" style="81" bestFit="1" customWidth="1"/>
    <col min="3329" max="3329" width="23" style="81" bestFit="1" customWidth="1"/>
    <col min="3330" max="3331" width="15" style="81" bestFit="1" customWidth="1"/>
    <col min="3332" max="3332" width="14.28515625" style="81" bestFit="1" customWidth="1"/>
    <col min="3333" max="3333" width="23.7109375" style="81" bestFit="1" customWidth="1"/>
    <col min="3334" max="3334" width="18.140625" style="81" customWidth="1"/>
    <col min="3335" max="3335" width="15.5703125" style="81" bestFit="1" customWidth="1"/>
    <col min="3336" max="3336" width="15" style="81" bestFit="1" customWidth="1"/>
    <col min="3337" max="3337" width="26.140625" style="81" customWidth="1"/>
    <col min="3338" max="3338" width="19.28515625" style="81" customWidth="1"/>
    <col min="3339" max="3576" width="9.140625" style="81"/>
    <col min="3577" max="3578" width="13.7109375" style="81" customWidth="1"/>
    <col min="3579" max="3579" width="8.5703125" style="81" customWidth="1"/>
    <col min="3580" max="3580" width="10.5703125" style="81" bestFit="1" customWidth="1"/>
    <col min="3581" max="3581" width="7" style="81" bestFit="1" customWidth="1"/>
    <col min="3582" max="3582" width="20.5703125" style="81" customWidth="1"/>
    <col min="3583" max="3583" width="21.140625" style="81" bestFit="1" customWidth="1"/>
    <col min="3584" max="3584" width="24.140625" style="81" bestFit="1" customWidth="1"/>
    <col min="3585" max="3585" width="23" style="81" bestFit="1" customWidth="1"/>
    <col min="3586" max="3587" width="15" style="81" bestFit="1" customWidth="1"/>
    <col min="3588" max="3588" width="14.28515625" style="81" bestFit="1" customWidth="1"/>
    <col min="3589" max="3589" width="23.7109375" style="81" bestFit="1" customWidth="1"/>
    <col min="3590" max="3590" width="18.140625" style="81" customWidth="1"/>
    <col min="3591" max="3591" width="15.5703125" style="81" bestFit="1" customWidth="1"/>
    <col min="3592" max="3592" width="15" style="81" bestFit="1" customWidth="1"/>
    <col min="3593" max="3593" width="26.140625" style="81" customWidth="1"/>
    <col min="3594" max="3594" width="19.28515625" style="81" customWidth="1"/>
    <col min="3595" max="3832" width="9.140625" style="81"/>
    <col min="3833" max="3834" width="13.7109375" style="81" customWidth="1"/>
    <col min="3835" max="3835" width="8.5703125" style="81" customWidth="1"/>
    <col min="3836" max="3836" width="10.5703125" style="81" bestFit="1" customWidth="1"/>
    <col min="3837" max="3837" width="7" style="81" bestFit="1" customWidth="1"/>
    <col min="3838" max="3838" width="20.5703125" style="81" customWidth="1"/>
    <col min="3839" max="3839" width="21.140625" style="81" bestFit="1" customWidth="1"/>
    <col min="3840" max="3840" width="24.140625" style="81" bestFit="1" customWidth="1"/>
    <col min="3841" max="3841" width="23" style="81" bestFit="1" customWidth="1"/>
    <col min="3842" max="3843" width="15" style="81" bestFit="1" customWidth="1"/>
    <col min="3844" max="3844" width="14.28515625" style="81" bestFit="1" customWidth="1"/>
    <col min="3845" max="3845" width="23.7109375" style="81" bestFit="1" customWidth="1"/>
    <col min="3846" max="3846" width="18.140625" style="81" customWidth="1"/>
    <col min="3847" max="3847" width="15.5703125" style="81" bestFit="1" customWidth="1"/>
    <col min="3848" max="3848" width="15" style="81" bestFit="1" customWidth="1"/>
    <col min="3849" max="3849" width="26.140625" style="81" customWidth="1"/>
    <col min="3850" max="3850" width="19.28515625" style="81" customWidth="1"/>
    <col min="3851" max="4088" width="9.140625" style="81"/>
    <col min="4089" max="4090" width="13.7109375" style="81" customWidth="1"/>
    <col min="4091" max="4091" width="8.5703125" style="81" customWidth="1"/>
    <col min="4092" max="4092" width="10.5703125" style="81" bestFit="1" customWidth="1"/>
    <col min="4093" max="4093" width="7" style="81" bestFit="1" customWidth="1"/>
    <col min="4094" max="4094" width="20.5703125" style="81" customWidth="1"/>
    <col min="4095" max="4095" width="21.140625" style="81" bestFit="1" customWidth="1"/>
    <col min="4096" max="4096" width="24.140625" style="81" bestFit="1" customWidth="1"/>
    <col min="4097" max="4097" width="23" style="81" bestFit="1" customWidth="1"/>
    <col min="4098" max="4099" width="15" style="81" bestFit="1" customWidth="1"/>
    <col min="4100" max="4100" width="14.28515625" style="81" bestFit="1" customWidth="1"/>
    <col min="4101" max="4101" width="23.7109375" style="81" bestFit="1" customWidth="1"/>
    <col min="4102" max="4102" width="18.140625" style="81" customWidth="1"/>
    <col min="4103" max="4103" width="15.5703125" style="81" bestFit="1" customWidth="1"/>
    <col min="4104" max="4104" width="15" style="81" bestFit="1" customWidth="1"/>
    <col min="4105" max="4105" width="26.140625" style="81" customWidth="1"/>
    <col min="4106" max="4106" width="19.28515625" style="81" customWidth="1"/>
    <col min="4107" max="4344" width="9.140625" style="81"/>
    <col min="4345" max="4346" width="13.7109375" style="81" customWidth="1"/>
    <col min="4347" max="4347" width="8.5703125" style="81" customWidth="1"/>
    <col min="4348" max="4348" width="10.5703125" style="81" bestFit="1" customWidth="1"/>
    <col min="4349" max="4349" width="7" style="81" bestFit="1" customWidth="1"/>
    <col min="4350" max="4350" width="20.5703125" style="81" customWidth="1"/>
    <col min="4351" max="4351" width="21.140625" style="81" bestFit="1" customWidth="1"/>
    <col min="4352" max="4352" width="24.140625" style="81" bestFit="1" customWidth="1"/>
    <col min="4353" max="4353" width="23" style="81" bestFit="1" customWidth="1"/>
    <col min="4354" max="4355" width="15" style="81" bestFit="1" customWidth="1"/>
    <col min="4356" max="4356" width="14.28515625" style="81" bestFit="1" customWidth="1"/>
    <col min="4357" max="4357" width="23.7109375" style="81" bestFit="1" customWidth="1"/>
    <col min="4358" max="4358" width="18.140625" style="81" customWidth="1"/>
    <col min="4359" max="4359" width="15.5703125" style="81" bestFit="1" customWidth="1"/>
    <col min="4360" max="4360" width="15" style="81" bestFit="1" customWidth="1"/>
    <col min="4361" max="4361" width="26.140625" style="81" customWidth="1"/>
    <col min="4362" max="4362" width="19.28515625" style="81" customWidth="1"/>
    <col min="4363" max="4600" width="9.140625" style="81"/>
    <col min="4601" max="4602" width="13.7109375" style="81" customWidth="1"/>
    <col min="4603" max="4603" width="8.5703125" style="81" customWidth="1"/>
    <col min="4604" max="4604" width="10.5703125" style="81" bestFit="1" customWidth="1"/>
    <col min="4605" max="4605" width="7" style="81" bestFit="1" customWidth="1"/>
    <col min="4606" max="4606" width="20.5703125" style="81" customWidth="1"/>
    <col min="4607" max="4607" width="21.140625" style="81" bestFit="1" customWidth="1"/>
    <col min="4608" max="4608" width="24.140625" style="81" bestFit="1" customWidth="1"/>
    <col min="4609" max="4609" width="23" style="81" bestFit="1" customWidth="1"/>
    <col min="4610" max="4611" width="15" style="81" bestFit="1" customWidth="1"/>
    <col min="4612" max="4612" width="14.28515625" style="81" bestFit="1" customWidth="1"/>
    <col min="4613" max="4613" width="23.7109375" style="81" bestFit="1" customWidth="1"/>
    <col min="4614" max="4614" width="18.140625" style="81" customWidth="1"/>
    <col min="4615" max="4615" width="15.5703125" style="81" bestFit="1" customWidth="1"/>
    <col min="4616" max="4616" width="15" style="81" bestFit="1" customWidth="1"/>
    <col min="4617" max="4617" width="26.140625" style="81" customWidth="1"/>
    <col min="4618" max="4618" width="19.28515625" style="81" customWidth="1"/>
    <col min="4619" max="4856" width="9.140625" style="81"/>
    <col min="4857" max="4858" width="13.7109375" style="81" customWidth="1"/>
    <col min="4859" max="4859" width="8.5703125" style="81" customWidth="1"/>
    <col min="4860" max="4860" width="10.5703125" style="81" bestFit="1" customWidth="1"/>
    <col min="4861" max="4861" width="7" style="81" bestFit="1" customWidth="1"/>
    <col min="4862" max="4862" width="20.5703125" style="81" customWidth="1"/>
    <col min="4863" max="4863" width="21.140625" style="81" bestFit="1" customWidth="1"/>
    <col min="4864" max="4864" width="24.140625" style="81" bestFit="1" customWidth="1"/>
    <col min="4865" max="4865" width="23" style="81" bestFit="1" customWidth="1"/>
    <col min="4866" max="4867" width="15" style="81" bestFit="1" customWidth="1"/>
    <col min="4868" max="4868" width="14.28515625" style="81" bestFit="1" customWidth="1"/>
    <col min="4869" max="4869" width="23.7109375" style="81" bestFit="1" customWidth="1"/>
    <col min="4870" max="4870" width="18.140625" style="81" customWidth="1"/>
    <col min="4871" max="4871" width="15.5703125" style="81" bestFit="1" customWidth="1"/>
    <col min="4872" max="4872" width="15" style="81" bestFit="1" customWidth="1"/>
    <col min="4873" max="4873" width="26.140625" style="81" customWidth="1"/>
    <col min="4874" max="4874" width="19.28515625" style="81" customWidth="1"/>
    <col min="4875" max="5112" width="9.140625" style="81"/>
    <col min="5113" max="5114" width="13.7109375" style="81" customWidth="1"/>
    <col min="5115" max="5115" width="8.5703125" style="81" customWidth="1"/>
    <col min="5116" max="5116" width="10.5703125" style="81" bestFit="1" customWidth="1"/>
    <col min="5117" max="5117" width="7" style="81" bestFit="1" customWidth="1"/>
    <col min="5118" max="5118" width="20.5703125" style="81" customWidth="1"/>
    <col min="5119" max="5119" width="21.140625" style="81" bestFit="1" customWidth="1"/>
    <col min="5120" max="5120" width="24.140625" style="81" bestFit="1" customWidth="1"/>
    <col min="5121" max="5121" width="23" style="81" bestFit="1" customWidth="1"/>
    <col min="5122" max="5123" width="15" style="81" bestFit="1" customWidth="1"/>
    <col min="5124" max="5124" width="14.28515625" style="81" bestFit="1" customWidth="1"/>
    <col min="5125" max="5125" width="23.7109375" style="81" bestFit="1" customWidth="1"/>
    <col min="5126" max="5126" width="18.140625" style="81" customWidth="1"/>
    <col min="5127" max="5127" width="15.5703125" style="81" bestFit="1" customWidth="1"/>
    <col min="5128" max="5128" width="15" style="81" bestFit="1" customWidth="1"/>
    <col min="5129" max="5129" width="26.140625" style="81" customWidth="1"/>
    <col min="5130" max="5130" width="19.28515625" style="81" customWidth="1"/>
    <col min="5131" max="5368" width="9.140625" style="81"/>
    <col min="5369" max="5370" width="13.7109375" style="81" customWidth="1"/>
    <col min="5371" max="5371" width="8.5703125" style="81" customWidth="1"/>
    <col min="5372" max="5372" width="10.5703125" style="81" bestFit="1" customWidth="1"/>
    <col min="5373" max="5373" width="7" style="81" bestFit="1" customWidth="1"/>
    <col min="5374" max="5374" width="20.5703125" style="81" customWidth="1"/>
    <col min="5375" max="5375" width="21.140625" style="81" bestFit="1" customWidth="1"/>
    <col min="5376" max="5376" width="24.140625" style="81" bestFit="1" customWidth="1"/>
    <col min="5377" max="5377" width="23" style="81" bestFit="1" customWidth="1"/>
    <col min="5378" max="5379" width="15" style="81" bestFit="1" customWidth="1"/>
    <col min="5380" max="5380" width="14.28515625" style="81" bestFit="1" customWidth="1"/>
    <col min="5381" max="5381" width="23.7109375" style="81" bestFit="1" customWidth="1"/>
    <col min="5382" max="5382" width="18.140625" style="81" customWidth="1"/>
    <col min="5383" max="5383" width="15.5703125" style="81" bestFit="1" customWidth="1"/>
    <col min="5384" max="5384" width="15" style="81" bestFit="1" customWidth="1"/>
    <col min="5385" max="5385" width="26.140625" style="81" customWidth="1"/>
    <col min="5386" max="5386" width="19.28515625" style="81" customWidth="1"/>
    <col min="5387" max="5624" width="9.140625" style="81"/>
    <col min="5625" max="5626" width="13.7109375" style="81" customWidth="1"/>
    <col min="5627" max="5627" width="8.5703125" style="81" customWidth="1"/>
    <col min="5628" max="5628" width="10.5703125" style="81" bestFit="1" customWidth="1"/>
    <col min="5629" max="5629" width="7" style="81" bestFit="1" customWidth="1"/>
    <col min="5630" max="5630" width="20.5703125" style="81" customWidth="1"/>
    <col min="5631" max="5631" width="21.140625" style="81" bestFit="1" customWidth="1"/>
    <col min="5632" max="5632" width="24.140625" style="81" bestFit="1" customWidth="1"/>
    <col min="5633" max="5633" width="23" style="81" bestFit="1" customWidth="1"/>
    <col min="5634" max="5635" width="15" style="81" bestFit="1" customWidth="1"/>
    <col min="5636" max="5636" width="14.28515625" style="81" bestFit="1" customWidth="1"/>
    <col min="5637" max="5637" width="23.7109375" style="81" bestFit="1" customWidth="1"/>
    <col min="5638" max="5638" width="18.140625" style="81" customWidth="1"/>
    <col min="5639" max="5639" width="15.5703125" style="81" bestFit="1" customWidth="1"/>
    <col min="5640" max="5640" width="15" style="81" bestFit="1" customWidth="1"/>
    <col min="5641" max="5641" width="26.140625" style="81" customWidth="1"/>
    <col min="5642" max="5642" width="19.28515625" style="81" customWidth="1"/>
    <col min="5643" max="5880" width="9.140625" style="81"/>
    <col min="5881" max="5882" width="13.7109375" style="81" customWidth="1"/>
    <col min="5883" max="5883" width="8.5703125" style="81" customWidth="1"/>
    <col min="5884" max="5884" width="10.5703125" style="81" bestFit="1" customWidth="1"/>
    <col min="5885" max="5885" width="7" style="81" bestFit="1" customWidth="1"/>
    <col min="5886" max="5886" width="20.5703125" style="81" customWidth="1"/>
    <col min="5887" max="5887" width="21.140625" style="81" bestFit="1" customWidth="1"/>
    <col min="5888" max="5888" width="24.140625" style="81" bestFit="1" customWidth="1"/>
    <col min="5889" max="5889" width="23" style="81" bestFit="1" customWidth="1"/>
    <col min="5890" max="5891" width="15" style="81" bestFit="1" customWidth="1"/>
    <col min="5892" max="5892" width="14.28515625" style="81" bestFit="1" customWidth="1"/>
    <col min="5893" max="5893" width="23.7109375" style="81" bestFit="1" customWidth="1"/>
    <col min="5894" max="5894" width="18.140625" style="81" customWidth="1"/>
    <col min="5895" max="5895" width="15.5703125" style="81" bestFit="1" customWidth="1"/>
    <col min="5896" max="5896" width="15" style="81" bestFit="1" customWidth="1"/>
    <col min="5897" max="5897" width="26.140625" style="81" customWidth="1"/>
    <col min="5898" max="5898" width="19.28515625" style="81" customWidth="1"/>
    <col min="5899" max="6136" width="9.140625" style="81"/>
    <col min="6137" max="6138" width="13.7109375" style="81" customWidth="1"/>
    <col min="6139" max="6139" width="8.5703125" style="81" customWidth="1"/>
    <col min="6140" max="6140" width="10.5703125" style="81" bestFit="1" customWidth="1"/>
    <col min="6141" max="6141" width="7" style="81" bestFit="1" customWidth="1"/>
    <col min="6142" max="6142" width="20.5703125" style="81" customWidth="1"/>
    <col min="6143" max="6143" width="21.140625" style="81" bestFit="1" customWidth="1"/>
    <col min="6144" max="6144" width="24.140625" style="81" bestFit="1" customWidth="1"/>
    <col min="6145" max="6145" width="23" style="81" bestFit="1" customWidth="1"/>
    <col min="6146" max="6147" width="15" style="81" bestFit="1" customWidth="1"/>
    <col min="6148" max="6148" width="14.28515625" style="81" bestFit="1" customWidth="1"/>
    <col min="6149" max="6149" width="23.7109375" style="81" bestFit="1" customWidth="1"/>
    <col min="6150" max="6150" width="18.140625" style="81" customWidth="1"/>
    <col min="6151" max="6151" width="15.5703125" style="81" bestFit="1" customWidth="1"/>
    <col min="6152" max="6152" width="15" style="81" bestFit="1" customWidth="1"/>
    <col min="6153" max="6153" width="26.140625" style="81" customWidth="1"/>
    <col min="6154" max="6154" width="19.28515625" style="81" customWidth="1"/>
    <col min="6155" max="6392" width="9.140625" style="81"/>
    <col min="6393" max="6394" width="13.7109375" style="81" customWidth="1"/>
    <col min="6395" max="6395" width="8.5703125" style="81" customWidth="1"/>
    <col min="6396" max="6396" width="10.5703125" style="81" bestFit="1" customWidth="1"/>
    <col min="6397" max="6397" width="7" style="81" bestFit="1" customWidth="1"/>
    <col min="6398" max="6398" width="20.5703125" style="81" customWidth="1"/>
    <col min="6399" max="6399" width="21.140625" style="81" bestFit="1" customWidth="1"/>
    <col min="6400" max="6400" width="24.140625" style="81" bestFit="1" customWidth="1"/>
    <col min="6401" max="6401" width="23" style="81" bestFit="1" customWidth="1"/>
    <col min="6402" max="6403" width="15" style="81" bestFit="1" customWidth="1"/>
    <col min="6404" max="6404" width="14.28515625" style="81" bestFit="1" customWidth="1"/>
    <col min="6405" max="6405" width="23.7109375" style="81" bestFit="1" customWidth="1"/>
    <col min="6406" max="6406" width="18.140625" style="81" customWidth="1"/>
    <col min="6407" max="6407" width="15.5703125" style="81" bestFit="1" customWidth="1"/>
    <col min="6408" max="6408" width="15" style="81" bestFit="1" customWidth="1"/>
    <col min="6409" max="6409" width="26.140625" style="81" customWidth="1"/>
    <col min="6410" max="6410" width="19.28515625" style="81" customWidth="1"/>
    <col min="6411" max="6648" width="9.140625" style="81"/>
    <col min="6649" max="6650" width="13.7109375" style="81" customWidth="1"/>
    <col min="6651" max="6651" width="8.5703125" style="81" customWidth="1"/>
    <col min="6652" max="6652" width="10.5703125" style="81" bestFit="1" customWidth="1"/>
    <col min="6653" max="6653" width="7" style="81" bestFit="1" customWidth="1"/>
    <col min="6654" max="6654" width="20.5703125" style="81" customWidth="1"/>
    <col min="6655" max="6655" width="21.140625" style="81" bestFit="1" customWidth="1"/>
    <col min="6656" max="6656" width="24.140625" style="81" bestFit="1" customWidth="1"/>
    <col min="6657" max="6657" width="23" style="81" bestFit="1" customWidth="1"/>
    <col min="6658" max="6659" width="15" style="81" bestFit="1" customWidth="1"/>
    <col min="6660" max="6660" width="14.28515625" style="81" bestFit="1" customWidth="1"/>
    <col min="6661" max="6661" width="23.7109375" style="81" bestFit="1" customWidth="1"/>
    <col min="6662" max="6662" width="18.140625" style="81" customWidth="1"/>
    <col min="6663" max="6663" width="15.5703125" style="81" bestFit="1" customWidth="1"/>
    <col min="6664" max="6664" width="15" style="81" bestFit="1" customWidth="1"/>
    <col min="6665" max="6665" width="26.140625" style="81" customWidth="1"/>
    <col min="6666" max="6666" width="19.28515625" style="81" customWidth="1"/>
    <col min="6667" max="6904" width="9.140625" style="81"/>
    <col min="6905" max="6906" width="13.7109375" style="81" customWidth="1"/>
    <col min="6907" max="6907" width="8.5703125" style="81" customWidth="1"/>
    <col min="6908" max="6908" width="10.5703125" style="81" bestFit="1" customWidth="1"/>
    <col min="6909" max="6909" width="7" style="81" bestFit="1" customWidth="1"/>
    <col min="6910" max="6910" width="20.5703125" style="81" customWidth="1"/>
    <col min="6911" max="6911" width="21.140625" style="81" bestFit="1" customWidth="1"/>
    <col min="6912" max="6912" width="24.140625" style="81" bestFit="1" customWidth="1"/>
    <col min="6913" max="6913" width="23" style="81" bestFit="1" customWidth="1"/>
    <col min="6914" max="6915" width="15" style="81" bestFit="1" customWidth="1"/>
    <col min="6916" max="6916" width="14.28515625" style="81" bestFit="1" customWidth="1"/>
    <col min="6917" max="6917" width="23.7109375" style="81" bestFit="1" customWidth="1"/>
    <col min="6918" max="6918" width="18.140625" style="81" customWidth="1"/>
    <col min="6919" max="6919" width="15.5703125" style="81" bestFit="1" customWidth="1"/>
    <col min="6920" max="6920" width="15" style="81" bestFit="1" customWidth="1"/>
    <col min="6921" max="6921" width="26.140625" style="81" customWidth="1"/>
    <col min="6922" max="6922" width="19.28515625" style="81" customWidth="1"/>
    <col min="6923" max="7160" width="9.140625" style="81"/>
    <col min="7161" max="7162" width="13.7109375" style="81" customWidth="1"/>
    <col min="7163" max="7163" width="8.5703125" style="81" customWidth="1"/>
    <col min="7164" max="7164" width="10.5703125" style="81" bestFit="1" customWidth="1"/>
    <col min="7165" max="7165" width="7" style="81" bestFit="1" customWidth="1"/>
    <col min="7166" max="7166" width="20.5703125" style="81" customWidth="1"/>
    <col min="7167" max="7167" width="21.140625" style="81" bestFit="1" customWidth="1"/>
    <col min="7168" max="7168" width="24.140625" style="81" bestFit="1" customWidth="1"/>
    <col min="7169" max="7169" width="23" style="81" bestFit="1" customWidth="1"/>
    <col min="7170" max="7171" width="15" style="81" bestFit="1" customWidth="1"/>
    <col min="7172" max="7172" width="14.28515625" style="81" bestFit="1" customWidth="1"/>
    <col min="7173" max="7173" width="23.7109375" style="81" bestFit="1" customWidth="1"/>
    <col min="7174" max="7174" width="18.140625" style="81" customWidth="1"/>
    <col min="7175" max="7175" width="15.5703125" style="81" bestFit="1" customWidth="1"/>
    <col min="7176" max="7176" width="15" style="81" bestFit="1" customWidth="1"/>
    <col min="7177" max="7177" width="26.140625" style="81" customWidth="1"/>
    <col min="7178" max="7178" width="19.28515625" style="81" customWidth="1"/>
    <col min="7179" max="7416" width="9.140625" style="81"/>
    <col min="7417" max="7418" width="13.7109375" style="81" customWidth="1"/>
    <col min="7419" max="7419" width="8.5703125" style="81" customWidth="1"/>
    <col min="7420" max="7420" width="10.5703125" style="81" bestFit="1" customWidth="1"/>
    <col min="7421" max="7421" width="7" style="81" bestFit="1" customWidth="1"/>
    <col min="7422" max="7422" width="20.5703125" style="81" customWidth="1"/>
    <col min="7423" max="7423" width="21.140625" style="81" bestFit="1" customWidth="1"/>
    <col min="7424" max="7424" width="24.140625" style="81" bestFit="1" customWidth="1"/>
    <col min="7425" max="7425" width="23" style="81" bestFit="1" customWidth="1"/>
    <col min="7426" max="7427" width="15" style="81" bestFit="1" customWidth="1"/>
    <col min="7428" max="7428" width="14.28515625" style="81" bestFit="1" customWidth="1"/>
    <col min="7429" max="7429" width="23.7109375" style="81" bestFit="1" customWidth="1"/>
    <col min="7430" max="7430" width="18.140625" style="81" customWidth="1"/>
    <col min="7431" max="7431" width="15.5703125" style="81" bestFit="1" customWidth="1"/>
    <col min="7432" max="7432" width="15" style="81" bestFit="1" customWidth="1"/>
    <col min="7433" max="7433" width="26.140625" style="81" customWidth="1"/>
    <col min="7434" max="7434" width="19.28515625" style="81" customWidth="1"/>
    <col min="7435" max="7672" width="9.140625" style="81"/>
    <col min="7673" max="7674" width="13.7109375" style="81" customWidth="1"/>
    <col min="7675" max="7675" width="8.5703125" style="81" customWidth="1"/>
    <col min="7676" max="7676" width="10.5703125" style="81" bestFit="1" customWidth="1"/>
    <col min="7677" max="7677" width="7" style="81" bestFit="1" customWidth="1"/>
    <col min="7678" max="7678" width="20.5703125" style="81" customWidth="1"/>
    <col min="7679" max="7679" width="21.140625" style="81" bestFit="1" customWidth="1"/>
    <col min="7680" max="7680" width="24.140625" style="81" bestFit="1" customWidth="1"/>
    <col min="7681" max="7681" width="23" style="81" bestFit="1" customWidth="1"/>
    <col min="7682" max="7683" width="15" style="81" bestFit="1" customWidth="1"/>
    <col min="7684" max="7684" width="14.28515625" style="81" bestFit="1" customWidth="1"/>
    <col min="7685" max="7685" width="23.7109375" style="81" bestFit="1" customWidth="1"/>
    <col min="7686" max="7686" width="18.140625" style="81" customWidth="1"/>
    <col min="7687" max="7687" width="15.5703125" style="81" bestFit="1" customWidth="1"/>
    <col min="7688" max="7688" width="15" style="81" bestFit="1" customWidth="1"/>
    <col min="7689" max="7689" width="26.140625" style="81" customWidth="1"/>
    <col min="7690" max="7690" width="19.28515625" style="81" customWidth="1"/>
    <col min="7691" max="7928" width="9.140625" style="81"/>
    <col min="7929" max="7930" width="13.7109375" style="81" customWidth="1"/>
    <col min="7931" max="7931" width="8.5703125" style="81" customWidth="1"/>
    <col min="7932" max="7932" width="10.5703125" style="81" bestFit="1" customWidth="1"/>
    <col min="7933" max="7933" width="7" style="81" bestFit="1" customWidth="1"/>
    <col min="7934" max="7934" width="20.5703125" style="81" customWidth="1"/>
    <col min="7935" max="7935" width="21.140625" style="81" bestFit="1" customWidth="1"/>
    <col min="7936" max="7936" width="24.140625" style="81" bestFit="1" customWidth="1"/>
    <col min="7937" max="7937" width="23" style="81" bestFit="1" customWidth="1"/>
    <col min="7938" max="7939" width="15" style="81" bestFit="1" customWidth="1"/>
    <col min="7940" max="7940" width="14.28515625" style="81" bestFit="1" customWidth="1"/>
    <col min="7941" max="7941" width="23.7109375" style="81" bestFit="1" customWidth="1"/>
    <col min="7942" max="7942" width="18.140625" style="81" customWidth="1"/>
    <col min="7943" max="7943" width="15.5703125" style="81" bestFit="1" customWidth="1"/>
    <col min="7944" max="7944" width="15" style="81" bestFit="1" customWidth="1"/>
    <col min="7945" max="7945" width="26.140625" style="81" customWidth="1"/>
    <col min="7946" max="7946" width="19.28515625" style="81" customWidth="1"/>
    <col min="7947" max="8184" width="9.140625" style="81"/>
    <col min="8185" max="8186" width="13.7109375" style="81" customWidth="1"/>
    <col min="8187" max="8187" width="8.5703125" style="81" customWidth="1"/>
    <col min="8188" max="8188" width="10.5703125" style="81" bestFit="1" customWidth="1"/>
    <col min="8189" max="8189" width="7" style="81" bestFit="1" customWidth="1"/>
    <col min="8190" max="8190" width="20.5703125" style="81" customWidth="1"/>
    <col min="8191" max="8191" width="21.140625" style="81" bestFit="1" customWidth="1"/>
    <col min="8192" max="8192" width="24.140625" style="81" bestFit="1" customWidth="1"/>
    <col min="8193" max="8193" width="23" style="81" bestFit="1" customWidth="1"/>
    <col min="8194" max="8195" width="15" style="81" bestFit="1" customWidth="1"/>
    <col min="8196" max="8196" width="14.28515625" style="81" bestFit="1" customWidth="1"/>
    <col min="8197" max="8197" width="23.7109375" style="81" bestFit="1" customWidth="1"/>
    <col min="8198" max="8198" width="18.140625" style="81" customWidth="1"/>
    <col min="8199" max="8199" width="15.5703125" style="81" bestFit="1" customWidth="1"/>
    <col min="8200" max="8200" width="15" style="81" bestFit="1" customWidth="1"/>
    <col min="8201" max="8201" width="26.140625" style="81" customWidth="1"/>
    <col min="8202" max="8202" width="19.28515625" style="81" customWidth="1"/>
    <col min="8203" max="8440" width="9.140625" style="81"/>
    <col min="8441" max="8442" width="13.7109375" style="81" customWidth="1"/>
    <col min="8443" max="8443" width="8.5703125" style="81" customWidth="1"/>
    <col min="8444" max="8444" width="10.5703125" style="81" bestFit="1" customWidth="1"/>
    <col min="8445" max="8445" width="7" style="81" bestFit="1" customWidth="1"/>
    <col min="8446" max="8446" width="20.5703125" style="81" customWidth="1"/>
    <col min="8447" max="8447" width="21.140625" style="81" bestFit="1" customWidth="1"/>
    <col min="8448" max="8448" width="24.140625" style="81" bestFit="1" customWidth="1"/>
    <col min="8449" max="8449" width="23" style="81" bestFit="1" customWidth="1"/>
    <col min="8450" max="8451" width="15" style="81" bestFit="1" customWidth="1"/>
    <col min="8452" max="8452" width="14.28515625" style="81" bestFit="1" customWidth="1"/>
    <col min="8453" max="8453" width="23.7109375" style="81" bestFit="1" customWidth="1"/>
    <col min="8454" max="8454" width="18.140625" style="81" customWidth="1"/>
    <col min="8455" max="8455" width="15.5703125" style="81" bestFit="1" customWidth="1"/>
    <col min="8456" max="8456" width="15" style="81" bestFit="1" customWidth="1"/>
    <col min="8457" max="8457" width="26.140625" style="81" customWidth="1"/>
    <col min="8458" max="8458" width="19.28515625" style="81" customWidth="1"/>
    <col min="8459" max="8696" width="9.140625" style="81"/>
    <col min="8697" max="8698" width="13.7109375" style="81" customWidth="1"/>
    <col min="8699" max="8699" width="8.5703125" style="81" customWidth="1"/>
    <col min="8700" max="8700" width="10.5703125" style="81" bestFit="1" customWidth="1"/>
    <col min="8701" max="8701" width="7" style="81" bestFit="1" customWidth="1"/>
    <col min="8702" max="8702" width="20.5703125" style="81" customWidth="1"/>
    <col min="8703" max="8703" width="21.140625" style="81" bestFit="1" customWidth="1"/>
    <col min="8704" max="8704" width="24.140625" style="81" bestFit="1" customWidth="1"/>
    <col min="8705" max="8705" width="23" style="81" bestFit="1" customWidth="1"/>
    <col min="8706" max="8707" width="15" style="81" bestFit="1" customWidth="1"/>
    <col min="8708" max="8708" width="14.28515625" style="81" bestFit="1" customWidth="1"/>
    <col min="8709" max="8709" width="23.7109375" style="81" bestFit="1" customWidth="1"/>
    <col min="8710" max="8710" width="18.140625" style="81" customWidth="1"/>
    <col min="8711" max="8711" width="15.5703125" style="81" bestFit="1" customWidth="1"/>
    <col min="8712" max="8712" width="15" style="81" bestFit="1" customWidth="1"/>
    <col min="8713" max="8713" width="26.140625" style="81" customWidth="1"/>
    <col min="8714" max="8714" width="19.28515625" style="81" customWidth="1"/>
    <col min="8715" max="8952" width="9.140625" style="81"/>
    <col min="8953" max="8954" width="13.7109375" style="81" customWidth="1"/>
    <col min="8955" max="8955" width="8.5703125" style="81" customWidth="1"/>
    <col min="8956" max="8956" width="10.5703125" style="81" bestFit="1" customWidth="1"/>
    <col min="8957" max="8957" width="7" style="81" bestFit="1" customWidth="1"/>
    <col min="8958" max="8958" width="20.5703125" style="81" customWidth="1"/>
    <col min="8959" max="8959" width="21.140625" style="81" bestFit="1" customWidth="1"/>
    <col min="8960" max="8960" width="24.140625" style="81" bestFit="1" customWidth="1"/>
    <col min="8961" max="8961" width="23" style="81" bestFit="1" customWidth="1"/>
    <col min="8962" max="8963" width="15" style="81" bestFit="1" customWidth="1"/>
    <col min="8964" max="8964" width="14.28515625" style="81" bestFit="1" customWidth="1"/>
    <col min="8965" max="8965" width="23.7109375" style="81" bestFit="1" customWidth="1"/>
    <col min="8966" max="8966" width="18.140625" style="81" customWidth="1"/>
    <col min="8967" max="8967" width="15.5703125" style="81" bestFit="1" customWidth="1"/>
    <col min="8968" max="8968" width="15" style="81" bestFit="1" customWidth="1"/>
    <col min="8969" max="8969" width="26.140625" style="81" customWidth="1"/>
    <col min="8970" max="8970" width="19.28515625" style="81" customWidth="1"/>
    <col min="8971" max="9208" width="9.140625" style="81"/>
    <col min="9209" max="9210" width="13.7109375" style="81" customWidth="1"/>
    <col min="9211" max="9211" width="8.5703125" style="81" customWidth="1"/>
    <col min="9212" max="9212" width="10.5703125" style="81" bestFit="1" customWidth="1"/>
    <col min="9213" max="9213" width="7" style="81" bestFit="1" customWidth="1"/>
    <col min="9214" max="9214" width="20.5703125" style="81" customWidth="1"/>
    <col min="9215" max="9215" width="21.140625" style="81" bestFit="1" customWidth="1"/>
    <col min="9216" max="9216" width="24.140625" style="81" bestFit="1" customWidth="1"/>
    <col min="9217" max="9217" width="23" style="81" bestFit="1" customWidth="1"/>
    <col min="9218" max="9219" width="15" style="81" bestFit="1" customWidth="1"/>
    <col min="9220" max="9220" width="14.28515625" style="81" bestFit="1" customWidth="1"/>
    <col min="9221" max="9221" width="23.7109375" style="81" bestFit="1" customWidth="1"/>
    <col min="9222" max="9222" width="18.140625" style="81" customWidth="1"/>
    <col min="9223" max="9223" width="15.5703125" style="81" bestFit="1" customWidth="1"/>
    <col min="9224" max="9224" width="15" style="81" bestFit="1" customWidth="1"/>
    <col min="9225" max="9225" width="26.140625" style="81" customWidth="1"/>
    <col min="9226" max="9226" width="19.28515625" style="81" customWidth="1"/>
    <col min="9227" max="9464" width="9.140625" style="81"/>
    <col min="9465" max="9466" width="13.7109375" style="81" customWidth="1"/>
    <col min="9467" max="9467" width="8.5703125" style="81" customWidth="1"/>
    <col min="9468" max="9468" width="10.5703125" style="81" bestFit="1" customWidth="1"/>
    <col min="9469" max="9469" width="7" style="81" bestFit="1" customWidth="1"/>
    <col min="9470" max="9470" width="20.5703125" style="81" customWidth="1"/>
    <col min="9471" max="9471" width="21.140625" style="81" bestFit="1" customWidth="1"/>
    <col min="9472" max="9472" width="24.140625" style="81" bestFit="1" customWidth="1"/>
    <col min="9473" max="9473" width="23" style="81" bestFit="1" customWidth="1"/>
    <col min="9474" max="9475" width="15" style="81" bestFit="1" customWidth="1"/>
    <col min="9476" max="9476" width="14.28515625" style="81" bestFit="1" customWidth="1"/>
    <col min="9477" max="9477" width="23.7109375" style="81" bestFit="1" customWidth="1"/>
    <col min="9478" max="9478" width="18.140625" style="81" customWidth="1"/>
    <col min="9479" max="9479" width="15.5703125" style="81" bestFit="1" customWidth="1"/>
    <col min="9480" max="9480" width="15" style="81" bestFit="1" customWidth="1"/>
    <col min="9481" max="9481" width="26.140625" style="81" customWidth="1"/>
    <col min="9482" max="9482" width="19.28515625" style="81" customWidth="1"/>
    <col min="9483" max="9720" width="9.140625" style="81"/>
    <col min="9721" max="9722" width="13.7109375" style="81" customWidth="1"/>
    <col min="9723" max="9723" width="8.5703125" style="81" customWidth="1"/>
    <col min="9724" max="9724" width="10.5703125" style="81" bestFit="1" customWidth="1"/>
    <col min="9725" max="9725" width="7" style="81" bestFit="1" customWidth="1"/>
    <col min="9726" max="9726" width="20.5703125" style="81" customWidth="1"/>
    <col min="9727" max="9727" width="21.140625" style="81" bestFit="1" customWidth="1"/>
    <col min="9728" max="9728" width="24.140625" style="81" bestFit="1" customWidth="1"/>
    <col min="9729" max="9729" width="23" style="81" bestFit="1" customWidth="1"/>
    <col min="9730" max="9731" width="15" style="81" bestFit="1" customWidth="1"/>
    <col min="9732" max="9732" width="14.28515625" style="81" bestFit="1" customWidth="1"/>
    <col min="9733" max="9733" width="23.7109375" style="81" bestFit="1" customWidth="1"/>
    <col min="9734" max="9734" width="18.140625" style="81" customWidth="1"/>
    <col min="9735" max="9735" width="15.5703125" style="81" bestFit="1" customWidth="1"/>
    <col min="9736" max="9736" width="15" style="81" bestFit="1" customWidth="1"/>
    <col min="9737" max="9737" width="26.140625" style="81" customWidth="1"/>
    <col min="9738" max="9738" width="19.28515625" style="81" customWidth="1"/>
    <col min="9739" max="9976" width="9.140625" style="81"/>
    <col min="9977" max="9978" width="13.7109375" style="81" customWidth="1"/>
    <col min="9979" max="9979" width="8.5703125" style="81" customWidth="1"/>
    <col min="9980" max="9980" width="10.5703125" style="81" bestFit="1" customWidth="1"/>
    <col min="9981" max="9981" width="7" style="81" bestFit="1" customWidth="1"/>
    <col min="9982" max="9982" width="20.5703125" style="81" customWidth="1"/>
    <col min="9983" max="9983" width="21.140625" style="81" bestFit="1" customWidth="1"/>
    <col min="9984" max="9984" width="24.140625" style="81" bestFit="1" customWidth="1"/>
    <col min="9985" max="9985" width="23" style="81" bestFit="1" customWidth="1"/>
    <col min="9986" max="9987" width="15" style="81" bestFit="1" customWidth="1"/>
    <col min="9988" max="9988" width="14.28515625" style="81" bestFit="1" customWidth="1"/>
    <col min="9989" max="9989" width="23.7109375" style="81" bestFit="1" customWidth="1"/>
    <col min="9990" max="9990" width="18.140625" style="81" customWidth="1"/>
    <col min="9991" max="9991" width="15.5703125" style="81" bestFit="1" customWidth="1"/>
    <col min="9992" max="9992" width="15" style="81" bestFit="1" customWidth="1"/>
    <col min="9993" max="9993" width="26.140625" style="81" customWidth="1"/>
    <col min="9994" max="9994" width="19.28515625" style="81" customWidth="1"/>
    <col min="9995" max="10232" width="9.140625" style="81"/>
    <col min="10233" max="10234" width="13.7109375" style="81" customWidth="1"/>
    <col min="10235" max="10235" width="8.5703125" style="81" customWidth="1"/>
    <col min="10236" max="10236" width="10.5703125" style="81" bestFit="1" customWidth="1"/>
    <col min="10237" max="10237" width="7" style="81" bestFit="1" customWidth="1"/>
    <col min="10238" max="10238" width="20.5703125" style="81" customWidth="1"/>
    <col min="10239" max="10239" width="21.140625" style="81" bestFit="1" customWidth="1"/>
    <col min="10240" max="10240" width="24.140625" style="81" bestFit="1" customWidth="1"/>
    <col min="10241" max="10241" width="23" style="81" bestFit="1" customWidth="1"/>
    <col min="10242" max="10243" width="15" style="81" bestFit="1" customWidth="1"/>
    <col min="10244" max="10244" width="14.28515625" style="81" bestFit="1" customWidth="1"/>
    <col min="10245" max="10245" width="23.7109375" style="81" bestFit="1" customWidth="1"/>
    <col min="10246" max="10246" width="18.140625" style="81" customWidth="1"/>
    <col min="10247" max="10247" width="15.5703125" style="81" bestFit="1" customWidth="1"/>
    <col min="10248" max="10248" width="15" style="81" bestFit="1" customWidth="1"/>
    <col min="10249" max="10249" width="26.140625" style="81" customWidth="1"/>
    <col min="10250" max="10250" width="19.28515625" style="81" customWidth="1"/>
    <col min="10251" max="10488" width="9.140625" style="81"/>
    <col min="10489" max="10490" width="13.7109375" style="81" customWidth="1"/>
    <col min="10491" max="10491" width="8.5703125" style="81" customWidth="1"/>
    <col min="10492" max="10492" width="10.5703125" style="81" bestFit="1" customWidth="1"/>
    <col min="10493" max="10493" width="7" style="81" bestFit="1" customWidth="1"/>
    <col min="10494" max="10494" width="20.5703125" style="81" customWidth="1"/>
    <col min="10495" max="10495" width="21.140625" style="81" bestFit="1" customWidth="1"/>
    <col min="10496" max="10496" width="24.140625" style="81" bestFit="1" customWidth="1"/>
    <col min="10497" max="10497" width="23" style="81" bestFit="1" customWidth="1"/>
    <col min="10498" max="10499" width="15" style="81" bestFit="1" customWidth="1"/>
    <col min="10500" max="10500" width="14.28515625" style="81" bestFit="1" customWidth="1"/>
    <col min="10501" max="10501" width="23.7109375" style="81" bestFit="1" customWidth="1"/>
    <col min="10502" max="10502" width="18.140625" style="81" customWidth="1"/>
    <col min="10503" max="10503" width="15.5703125" style="81" bestFit="1" customWidth="1"/>
    <col min="10504" max="10504" width="15" style="81" bestFit="1" customWidth="1"/>
    <col min="10505" max="10505" width="26.140625" style="81" customWidth="1"/>
    <col min="10506" max="10506" width="19.28515625" style="81" customWidth="1"/>
    <col min="10507" max="10744" width="9.140625" style="81"/>
    <col min="10745" max="10746" width="13.7109375" style="81" customWidth="1"/>
    <col min="10747" max="10747" width="8.5703125" style="81" customWidth="1"/>
    <col min="10748" max="10748" width="10.5703125" style="81" bestFit="1" customWidth="1"/>
    <col min="10749" max="10749" width="7" style="81" bestFit="1" customWidth="1"/>
    <col min="10750" max="10750" width="20.5703125" style="81" customWidth="1"/>
    <col min="10751" max="10751" width="21.140625" style="81" bestFit="1" customWidth="1"/>
    <col min="10752" max="10752" width="24.140625" style="81" bestFit="1" customWidth="1"/>
    <col min="10753" max="10753" width="23" style="81" bestFit="1" customWidth="1"/>
    <col min="10754" max="10755" width="15" style="81" bestFit="1" customWidth="1"/>
    <col min="10756" max="10756" width="14.28515625" style="81" bestFit="1" customWidth="1"/>
    <col min="10757" max="10757" width="23.7109375" style="81" bestFit="1" customWidth="1"/>
    <col min="10758" max="10758" width="18.140625" style="81" customWidth="1"/>
    <col min="10759" max="10759" width="15.5703125" style="81" bestFit="1" customWidth="1"/>
    <col min="10760" max="10760" width="15" style="81" bestFit="1" customWidth="1"/>
    <col min="10761" max="10761" width="26.140625" style="81" customWidth="1"/>
    <col min="10762" max="10762" width="19.28515625" style="81" customWidth="1"/>
    <col min="10763" max="11000" width="9.140625" style="81"/>
    <col min="11001" max="11002" width="13.7109375" style="81" customWidth="1"/>
    <col min="11003" max="11003" width="8.5703125" style="81" customWidth="1"/>
    <col min="11004" max="11004" width="10.5703125" style="81" bestFit="1" customWidth="1"/>
    <col min="11005" max="11005" width="7" style="81" bestFit="1" customWidth="1"/>
    <col min="11006" max="11006" width="20.5703125" style="81" customWidth="1"/>
    <col min="11007" max="11007" width="21.140625" style="81" bestFit="1" customWidth="1"/>
    <col min="11008" max="11008" width="24.140625" style="81" bestFit="1" customWidth="1"/>
    <col min="11009" max="11009" width="23" style="81" bestFit="1" customWidth="1"/>
    <col min="11010" max="11011" width="15" style="81" bestFit="1" customWidth="1"/>
    <col min="11012" max="11012" width="14.28515625" style="81" bestFit="1" customWidth="1"/>
    <col min="11013" max="11013" width="23.7109375" style="81" bestFit="1" customWidth="1"/>
    <col min="11014" max="11014" width="18.140625" style="81" customWidth="1"/>
    <col min="11015" max="11015" width="15.5703125" style="81" bestFit="1" customWidth="1"/>
    <col min="11016" max="11016" width="15" style="81" bestFit="1" customWidth="1"/>
    <col min="11017" max="11017" width="26.140625" style="81" customWidth="1"/>
    <col min="11018" max="11018" width="19.28515625" style="81" customWidth="1"/>
    <col min="11019" max="11256" width="9.140625" style="81"/>
    <col min="11257" max="11258" width="13.7109375" style="81" customWidth="1"/>
    <col min="11259" max="11259" width="8.5703125" style="81" customWidth="1"/>
    <col min="11260" max="11260" width="10.5703125" style="81" bestFit="1" customWidth="1"/>
    <col min="11261" max="11261" width="7" style="81" bestFit="1" customWidth="1"/>
    <col min="11262" max="11262" width="20.5703125" style="81" customWidth="1"/>
    <col min="11263" max="11263" width="21.140625" style="81" bestFit="1" customWidth="1"/>
    <col min="11264" max="11264" width="24.140625" style="81" bestFit="1" customWidth="1"/>
    <col min="11265" max="11265" width="23" style="81" bestFit="1" customWidth="1"/>
    <col min="11266" max="11267" width="15" style="81" bestFit="1" customWidth="1"/>
    <col min="11268" max="11268" width="14.28515625" style="81" bestFit="1" customWidth="1"/>
    <col min="11269" max="11269" width="23.7109375" style="81" bestFit="1" customWidth="1"/>
    <col min="11270" max="11270" width="18.140625" style="81" customWidth="1"/>
    <col min="11271" max="11271" width="15.5703125" style="81" bestFit="1" customWidth="1"/>
    <col min="11272" max="11272" width="15" style="81" bestFit="1" customWidth="1"/>
    <col min="11273" max="11273" width="26.140625" style="81" customWidth="1"/>
    <col min="11274" max="11274" width="19.28515625" style="81" customWidth="1"/>
    <col min="11275" max="11512" width="9.140625" style="81"/>
    <col min="11513" max="11514" width="13.7109375" style="81" customWidth="1"/>
    <col min="11515" max="11515" width="8.5703125" style="81" customWidth="1"/>
    <col min="11516" max="11516" width="10.5703125" style="81" bestFit="1" customWidth="1"/>
    <col min="11517" max="11517" width="7" style="81" bestFit="1" customWidth="1"/>
    <col min="11518" max="11518" width="20.5703125" style="81" customWidth="1"/>
    <col min="11519" max="11519" width="21.140625" style="81" bestFit="1" customWidth="1"/>
    <col min="11520" max="11520" width="24.140625" style="81" bestFit="1" customWidth="1"/>
    <col min="11521" max="11521" width="23" style="81" bestFit="1" customWidth="1"/>
    <col min="11522" max="11523" width="15" style="81" bestFit="1" customWidth="1"/>
    <col min="11524" max="11524" width="14.28515625" style="81" bestFit="1" customWidth="1"/>
    <col min="11525" max="11525" width="23.7109375" style="81" bestFit="1" customWidth="1"/>
    <col min="11526" max="11526" width="18.140625" style="81" customWidth="1"/>
    <col min="11527" max="11527" width="15.5703125" style="81" bestFit="1" customWidth="1"/>
    <col min="11528" max="11528" width="15" style="81" bestFit="1" customWidth="1"/>
    <col min="11529" max="11529" width="26.140625" style="81" customWidth="1"/>
    <col min="11530" max="11530" width="19.28515625" style="81" customWidth="1"/>
    <col min="11531" max="11768" width="9.140625" style="81"/>
    <col min="11769" max="11770" width="13.7109375" style="81" customWidth="1"/>
    <col min="11771" max="11771" width="8.5703125" style="81" customWidth="1"/>
    <col min="11772" max="11772" width="10.5703125" style="81" bestFit="1" customWidth="1"/>
    <col min="11773" max="11773" width="7" style="81" bestFit="1" customWidth="1"/>
    <col min="11774" max="11774" width="20.5703125" style="81" customWidth="1"/>
    <col min="11775" max="11775" width="21.140625" style="81" bestFit="1" customWidth="1"/>
    <col min="11776" max="11776" width="24.140625" style="81" bestFit="1" customWidth="1"/>
    <col min="11777" max="11777" width="23" style="81" bestFit="1" customWidth="1"/>
    <col min="11778" max="11779" width="15" style="81" bestFit="1" customWidth="1"/>
    <col min="11780" max="11780" width="14.28515625" style="81" bestFit="1" customWidth="1"/>
    <col min="11781" max="11781" width="23.7109375" style="81" bestFit="1" customWidth="1"/>
    <col min="11782" max="11782" width="18.140625" style="81" customWidth="1"/>
    <col min="11783" max="11783" width="15.5703125" style="81" bestFit="1" customWidth="1"/>
    <col min="11784" max="11784" width="15" style="81" bestFit="1" customWidth="1"/>
    <col min="11785" max="11785" width="26.140625" style="81" customWidth="1"/>
    <col min="11786" max="11786" width="19.28515625" style="81" customWidth="1"/>
    <col min="11787" max="12024" width="9.140625" style="81"/>
    <col min="12025" max="12026" width="13.7109375" style="81" customWidth="1"/>
    <col min="12027" max="12027" width="8.5703125" style="81" customWidth="1"/>
    <col min="12028" max="12028" width="10.5703125" style="81" bestFit="1" customWidth="1"/>
    <col min="12029" max="12029" width="7" style="81" bestFit="1" customWidth="1"/>
    <col min="12030" max="12030" width="20.5703125" style="81" customWidth="1"/>
    <col min="12031" max="12031" width="21.140625" style="81" bestFit="1" customWidth="1"/>
    <col min="12032" max="12032" width="24.140625" style="81" bestFit="1" customWidth="1"/>
    <col min="12033" max="12033" width="23" style="81" bestFit="1" customWidth="1"/>
    <col min="12034" max="12035" width="15" style="81" bestFit="1" customWidth="1"/>
    <col min="12036" max="12036" width="14.28515625" style="81" bestFit="1" customWidth="1"/>
    <col min="12037" max="12037" width="23.7109375" style="81" bestFit="1" customWidth="1"/>
    <col min="12038" max="12038" width="18.140625" style="81" customWidth="1"/>
    <col min="12039" max="12039" width="15.5703125" style="81" bestFit="1" customWidth="1"/>
    <col min="12040" max="12040" width="15" style="81" bestFit="1" customWidth="1"/>
    <col min="12041" max="12041" width="26.140625" style="81" customWidth="1"/>
    <col min="12042" max="12042" width="19.28515625" style="81" customWidth="1"/>
    <col min="12043" max="12280" width="9.140625" style="81"/>
    <col min="12281" max="12282" width="13.7109375" style="81" customWidth="1"/>
    <col min="12283" max="12283" width="8.5703125" style="81" customWidth="1"/>
    <col min="12284" max="12284" width="10.5703125" style="81" bestFit="1" customWidth="1"/>
    <col min="12285" max="12285" width="7" style="81" bestFit="1" customWidth="1"/>
    <col min="12286" max="12286" width="20.5703125" style="81" customWidth="1"/>
    <col min="12287" max="12287" width="21.140625" style="81" bestFit="1" customWidth="1"/>
    <col min="12288" max="12288" width="24.140625" style="81" bestFit="1" customWidth="1"/>
    <col min="12289" max="12289" width="23" style="81" bestFit="1" customWidth="1"/>
    <col min="12290" max="12291" width="15" style="81" bestFit="1" customWidth="1"/>
    <col min="12292" max="12292" width="14.28515625" style="81" bestFit="1" customWidth="1"/>
    <col min="12293" max="12293" width="23.7109375" style="81" bestFit="1" customWidth="1"/>
    <col min="12294" max="12294" width="18.140625" style="81" customWidth="1"/>
    <col min="12295" max="12295" width="15.5703125" style="81" bestFit="1" customWidth="1"/>
    <col min="12296" max="12296" width="15" style="81" bestFit="1" customWidth="1"/>
    <col min="12297" max="12297" width="26.140625" style="81" customWidth="1"/>
    <col min="12298" max="12298" width="19.28515625" style="81" customWidth="1"/>
    <col min="12299" max="12536" width="9.140625" style="81"/>
    <col min="12537" max="12538" width="13.7109375" style="81" customWidth="1"/>
    <col min="12539" max="12539" width="8.5703125" style="81" customWidth="1"/>
    <col min="12540" max="12540" width="10.5703125" style="81" bestFit="1" customWidth="1"/>
    <col min="12541" max="12541" width="7" style="81" bestFit="1" customWidth="1"/>
    <col min="12542" max="12542" width="20.5703125" style="81" customWidth="1"/>
    <col min="12543" max="12543" width="21.140625" style="81" bestFit="1" customWidth="1"/>
    <col min="12544" max="12544" width="24.140625" style="81" bestFit="1" customWidth="1"/>
    <col min="12545" max="12545" width="23" style="81" bestFit="1" customWidth="1"/>
    <col min="12546" max="12547" width="15" style="81" bestFit="1" customWidth="1"/>
    <col min="12548" max="12548" width="14.28515625" style="81" bestFit="1" customWidth="1"/>
    <col min="12549" max="12549" width="23.7109375" style="81" bestFit="1" customWidth="1"/>
    <col min="12550" max="12550" width="18.140625" style="81" customWidth="1"/>
    <col min="12551" max="12551" width="15.5703125" style="81" bestFit="1" customWidth="1"/>
    <col min="12552" max="12552" width="15" style="81" bestFit="1" customWidth="1"/>
    <col min="12553" max="12553" width="26.140625" style="81" customWidth="1"/>
    <col min="12554" max="12554" width="19.28515625" style="81" customWidth="1"/>
    <col min="12555" max="12792" width="9.140625" style="81"/>
    <col min="12793" max="12794" width="13.7109375" style="81" customWidth="1"/>
    <col min="12795" max="12795" width="8.5703125" style="81" customWidth="1"/>
    <col min="12796" max="12796" width="10.5703125" style="81" bestFit="1" customWidth="1"/>
    <col min="12797" max="12797" width="7" style="81" bestFit="1" customWidth="1"/>
    <col min="12798" max="12798" width="20.5703125" style="81" customWidth="1"/>
    <col min="12799" max="12799" width="21.140625" style="81" bestFit="1" customWidth="1"/>
    <col min="12800" max="12800" width="24.140625" style="81" bestFit="1" customWidth="1"/>
    <col min="12801" max="12801" width="23" style="81" bestFit="1" customWidth="1"/>
    <col min="12802" max="12803" width="15" style="81" bestFit="1" customWidth="1"/>
    <col min="12804" max="12804" width="14.28515625" style="81" bestFit="1" customWidth="1"/>
    <col min="12805" max="12805" width="23.7109375" style="81" bestFit="1" customWidth="1"/>
    <col min="12806" max="12806" width="18.140625" style="81" customWidth="1"/>
    <col min="12807" max="12807" width="15.5703125" style="81" bestFit="1" customWidth="1"/>
    <col min="12808" max="12808" width="15" style="81" bestFit="1" customWidth="1"/>
    <col min="12809" max="12809" width="26.140625" style="81" customWidth="1"/>
    <col min="12810" max="12810" width="19.28515625" style="81" customWidth="1"/>
    <col min="12811" max="13048" width="9.140625" style="81"/>
    <col min="13049" max="13050" width="13.7109375" style="81" customWidth="1"/>
    <col min="13051" max="13051" width="8.5703125" style="81" customWidth="1"/>
    <col min="13052" max="13052" width="10.5703125" style="81" bestFit="1" customWidth="1"/>
    <col min="13053" max="13053" width="7" style="81" bestFit="1" customWidth="1"/>
    <col min="13054" max="13054" width="20.5703125" style="81" customWidth="1"/>
    <col min="13055" max="13055" width="21.140625" style="81" bestFit="1" customWidth="1"/>
    <col min="13056" max="13056" width="24.140625" style="81" bestFit="1" customWidth="1"/>
    <col min="13057" max="13057" width="23" style="81" bestFit="1" customWidth="1"/>
    <col min="13058" max="13059" width="15" style="81" bestFit="1" customWidth="1"/>
    <col min="13060" max="13060" width="14.28515625" style="81" bestFit="1" customWidth="1"/>
    <col min="13061" max="13061" width="23.7109375" style="81" bestFit="1" customWidth="1"/>
    <col min="13062" max="13062" width="18.140625" style="81" customWidth="1"/>
    <col min="13063" max="13063" width="15.5703125" style="81" bestFit="1" customWidth="1"/>
    <col min="13064" max="13064" width="15" style="81" bestFit="1" customWidth="1"/>
    <col min="13065" max="13065" width="26.140625" style="81" customWidth="1"/>
    <col min="13066" max="13066" width="19.28515625" style="81" customWidth="1"/>
    <col min="13067" max="13304" width="9.140625" style="81"/>
    <col min="13305" max="13306" width="13.7109375" style="81" customWidth="1"/>
    <col min="13307" max="13307" width="8.5703125" style="81" customWidth="1"/>
    <col min="13308" max="13308" width="10.5703125" style="81" bestFit="1" customWidth="1"/>
    <col min="13309" max="13309" width="7" style="81" bestFit="1" customWidth="1"/>
    <col min="13310" max="13310" width="20.5703125" style="81" customWidth="1"/>
    <col min="13311" max="13311" width="21.140625" style="81" bestFit="1" customWidth="1"/>
    <col min="13312" max="13312" width="24.140625" style="81" bestFit="1" customWidth="1"/>
    <col min="13313" max="13313" width="23" style="81" bestFit="1" customWidth="1"/>
    <col min="13314" max="13315" width="15" style="81" bestFit="1" customWidth="1"/>
    <col min="13316" max="13316" width="14.28515625" style="81" bestFit="1" customWidth="1"/>
    <col min="13317" max="13317" width="23.7109375" style="81" bestFit="1" customWidth="1"/>
    <col min="13318" max="13318" width="18.140625" style="81" customWidth="1"/>
    <col min="13319" max="13319" width="15.5703125" style="81" bestFit="1" customWidth="1"/>
    <col min="13320" max="13320" width="15" style="81" bestFit="1" customWidth="1"/>
    <col min="13321" max="13321" width="26.140625" style="81" customWidth="1"/>
    <col min="13322" max="13322" width="19.28515625" style="81" customWidth="1"/>
    <col min="13323" max="13560" width="9.140625" style="81"/>
    <col min="13561" max="13562" width="13.7109375" style="81" customWidth="1"/>
    <col min="13563" max="13563" width="8.5703125" style="81" customWidth="1"/>
    <col min="13564" max="13564" width="10.5703125" style="81" bestFit="1" customWidth="1"/>
    <col min="13565" max="13565" width="7" style="81" bestFit="1" customWidth="1"/>
    <col min="13566" max="13566" width="20.5703125" style="81" customWidth="1"/>
    <col min="13567" max="13567" width="21.140625" style="81" bestFit="1" customWidth="1"/>
    <col min="13568" max="13568" width="24.140625" style="81" bestFit="1" customWidth="1"/>
    <col min="13569" max="13569" width="23" style="81" bestFit="1" customWidth="1"/>
    <col min="13570" max="13571" width="15" style="81" bestFit="1" customWidth="1"/>
    <col min="13572" max="13572" width="14.28515625" style="81" bestFit="1" customWidth="1"/>
    <col min="13573" max="13573" width="23.7109375" style="81" bestFit="1" customWidth="1"/>
    <col min="13574" max="13574" width="18.140625" style="81" customWidth="1"/>
    <col min="13575" max="13575" width="15.5703125" style="81" bestFit="1" customWidth="1"/>
    <col min="13576" max="13576" width="15" style="81" bestFit="1" customWidth="1"/>
    <col min="13577" max="13577" width="26.140625" style="81" customWidth="1"/>
    <col min="13578" max="13578" width="19.28515625" style="81" customWidth="1"/>
    <col min="13579" max="13816" width="9.140625" style="81"/>
    <col min="13817" max="13818" width="13.7109375" style="81" customWidth="1"/>
    <col min="13819" max="13819" width="8.5703125" style="81" customWidth="1"/>
    <col min="13820" max="13820" width="10.5703125" style="81" bestFit="1" customWidth="1"/>
    <col min="13821" max="13821" width="7" style="81" bestFit="1" customWidth="1"/>
    <col min="13822" max="13822" width="20.5703125" style="81" customWidth="1"/>
    <col min="13823" max="13823" width="21.140625" style="81" bestFit="1" customWidth="1"/>
    <col min="13824" max="13824" width="24.140625" style="81" bestFit="1" customWidth="1"/>
    <col min="13825" max="13825" width="23" style="81" bestFit="1" customWidth="1"/>
    <col min="13826" max="13827" width="15" style="81" bestFit="1" customWidth="1"/>
    <col min="13828" max="13828" width="14.28515625" style="81" bestFit="1" customWidth="1"/>
    <col min="13829" max="13829" width="23.7109375" style="81" bestFit="1" customWidth="1"/>
    <col min="13830" max="13830" width="18.140625" style="81" customWidth="1"/>
    <col min="13831" max="13831" width="15.5703125" style="81" bestFit="1" customWidth="1"/>
    <col min="13832" max="13832" width="15" style="81" bestFit="1" customWidth="1"/>
    <col min="13833" max="13833" width="26.140625" style="81" customWidth="1"/>
    <col min="13834" max="13834" width="19.28515625" style="81" customWidth="1"/>
    <col min="13835" max="14072" width="9.140625" style="81"/>
    <col min="14073" max="14074" width="13.7109375" style="81" customWidth="1"/>
    <col min="14075" max="14075" width="8.5703125" style="81" customWidth="1"/>
    <col min="14076" max="14076" width="10.5703125" style="81" bestFit="1" customWidth="1"/>
    <col min="14077" max="14077" width="7" style="81" bestFit="1" customWidth="1"/>
    <col min="14078" max="14078" width="20.5703125" style="81" customWidth="1"/>
    <col min="14079" max="14079" width="21.140625" style="81" bestFit="1" customWidth="1"/>
    <col min="14080" max="14080" width="24.140625" style="81" bestFit="1" customWidth="1"/>
    <col min="14081" max="14081" width="23" style="81" bestFit="1" customWidth="1"/>
    <col min="14082" max="14083" width="15" style="81" bestFit="1" customWidth="1"/>
    <col min="14084" max="14084" width="14.28515625" style="81" bestFit="1" customWidth="1"/>
    <col min="14085" max="14085" width="23.7109375" style="81" bestFit="1" customWidth="1"/>
    <col min="14086" max="14086" width="18.140625" style="81" customWidth="1"/>
    <col min="14087" max="14087" width="15.5703125" style="81" bestFit="1" customWidth="1"/>
    <col min="14088" max="14088" width="15" style="81" bestFit="1" customWidth="1"/>
    <col min="14089" max="14089" width="26.140625" style="81" customWidth="1"/>
    <col min="14090" max="14090" width="19.28515625" style="81" customWidth="1"/>
    <col min="14091" max="14328" width="9.140625" style="81"/>
    <col min="14329" max="14330" width="13.7109375" style="81" customWidth="1"/>
    <col min="14331" max="14331" width="8.5703125" style="81" customWidth="1"/>
    <col min="14332" max="14332" width="10.5703125" style="81" bestFit="1" customWidth="1"/>
    <col min="14333" max="14333" width="7" style="81" bestFit="1" customWidth="1"/>
    <col min="14334" max="14334" width="20.5703125" style="81" customWidth="1"/>
    <col min="14335" max="14335" width="21.140625" style="81" bestFit="1" customWidth="1"/>
    <col min="14336" max="14336" width="24.140625" style="81" bestFit="1" customWidth="1"/>
    <col min="14337" max="14337" width="23" style="81" bestFit="1" customWidth="1"/>
    <col min="14338" max="14339" width="15" style="81" bestFit="1" customWidth="1"/>
    <col min="14340" max="14340" width="14.28515625" style="81" bestFit="1" customWidth="1"/>
    <col min="14341" max="14341" width="23.7109375" style="81" bestFit="1" customWidth="1"/>
    <col min="14342" max="14342" width="18.140625" style="81" customWidth="1"/>
    <col min="14343" max="14343" width="15.5703125" style="81" bestFit="1" customWidth="1"/>
    <col min="14344" max="14344" width="15" style="81" bestFit="1" customWidth="1"/>
    <col min="14345" max="14345" width="26.140625" style="81" customWidth="1"/>
    <col min="14346" max="14346" width="19.28515625" style="81" customWidth="1"/>
    <col min="14347" max="14584" width="9.140625" style="81"/>
    <col min="14585" max="14586" width="13.7109375" style="81" customWidth="1"/>
    <col min="14587" max="14587" width="8.5703125" style="81" customWidth="1"/>
    <col min="14588" max="14588" width="10.5703125" style="81" bestFit="1" customWidth="1"/>
    <col min="14589" max="14589" width="7" style="81" bestFit="1" customWidth="1"/>
    <col min="14590" max="14590" width="20.5703125" style="81" customWidth="1"/>
    <col min="14591" max="14591" width="21.140625" style="81" bestFit="1" customWidth="1"/>
    <col min="14592" max="14592" width="24.140625" style="81" bestFit="1" customWidth="1"/>
    <col min="14593" max="14593" width="23" style="81" bestFit="1" customWidth="1"/>
    <col min="14594" max="14595" width="15" style="81" bestFit="1" customWidth="1"/>
    <col min="14596" max="14596" width="14.28515625" style="81" bestFit="1" customWidth="1"/>
    <col min="14597" max="14597" width="23.7109375" style="81" bestFit="1" customWidth="1"/>
    <col min="14598" max="14598" width="18.140625" style="81" customWidth="1"/>
    <col min="14599" max="14599" width="15.5703125" style="81" bestFit="1" customWidth="1"/>
    <col min="14600" max="14600" width="15" style="81" bestFit="1" customWidth="1"/>
    <col min="14601" max="14601" width="26.140625" style="81" customWidth="1"/>
    <col min="14602" max="14602" width="19.28515625" style="81" customWidth="1"/>
    <col min="14603" max="14840" width="9.140625" style="81"/>
    <col min="14841" max="14842" width="13.7109375" style="81" customWidth="1"/>
    <col min="14843" max="14843" width="8.5703125" style="81" customWidth="1"/>
    <col min="14844" max="14844" width="10.5703125" style="81" bestFit="1" customWidth="1"/>
    <col min="14845" max="14845" width="7" style="81" bestFit="1" customWidth="1"/>
    <col min="14846" max="14846" width="20.5703125" style="81" customWidth="1"/>
    <col min="14847" max="14847" width="21.140625" style="81" bestFit="1" customWidth="1"/>
    <col min="14848" max="14848" width="24.140625" style="81" bestFit="1" customWidth="1"/>
    <col min="14849" max="14849" width="23" style="81" bestFit="1" customWidth="1"/>
    <col min="14850" max="14851" width="15" style="81" bestFit="1" customWidth="1"/>
    <col min="14852" max="14852" width="14.28515625" style="81" bestFit="1" customWidth="1"/>
    <col min="14853" max="14853" width="23.7109375" style="81" bestFit="1" customWidth="1"/>
    <col min="14854" max="14854" width="18.140625" style="81" customWidth="1"/>
    <col min="14855" max="14855" width="15.5703125" style="81" bestFit="1" customWidth="1"/>
    <col min="14856" max="14856" width="15" style="81" bestFit="1" customWidth="1"/>
    <col min="14857" max="14857" width="26.140625" style="81" customWidth="1"/>
    <col min="14858" max="14858" width="19.28515625" style="81" customWidth="1"/>
    <col min="14859" max="15096" width="9.140625" style="81"/>
    <col min="15097" max="15098" width="13.7109375" style="81" customWidth="1"/>
    <col min="15099" max="15099" width="8.5703125" style="81" customWidth="1"/>
    <col min="15100" max="15100" width="10.5703125" style="81" bestFit="1" customWidth="1"/>
    <col min="15101" max="15101" width="7" style="81" bestFit="1" customWidth="1"/>
    <col min="15102" max="15102" width="20.5703125" style="81" customWidth="1"/>
    <col min="15103" max="15103" width="21.140625" style="81" bestFit="1" customWidth="1"/>
    <col min="15104" max="15104" width="24.140625" style="81" bestFit="1" customWidth="1"/>
    <col min="15105" max="15105" width="23" style="81" bestFit="1" customWidth="1"/>
    <col min="15106" max="15107" width="15" style="81" bestFit="1" customWidth="1"/>
    <col min="15108" max="15108" width="14.28515625" style="81" bestFit="1" customWidth="1"/>
    <col min="15109" max="15109" width="23.7109375" style="81" bestFit="1" customWidth="1"/>
    <col min="15110" max="15110" width="18.140625" style="81" customWidth="1"/>
    <col min="15111" max="15111" width="15.5703125" style="81" bestFit="1" customWidth="1"/>
    <col min="15112" max="15112" width="15" style="81" bestFit="1" customWidth="1"/>
    <col min="15113" max="15113" width="26.140625" style="81" customWidth="1"/>
    <col min="15114" max="15114" width="19.28515625" style="81" customWidth="1"/>
    <col min="15115" max="15352" width="9.140625" style="81"/>
    <col min="15353" max="15354" width="13.7109375" style="81" customWidth="1"/>
    <col min="15355" max="15355" width="8.5703125" style="81" customWidth="1"/>
    <col min="15356" max="15356" width="10.5703125" style="81" bestFit="1" customWidth="1"/>
    <col min="15357" max="15357" width="7" style="81" bestFit="1" customWidth="1"/>
    <col min="15358" max="15358" width="20.5703125" style="81" customWidth="1"/>
    <col min="15359" max="15359" width="21.140625" style="81" bestFit="1" customWidth="1"/>
    <col min="15360" max="15360" width="24.140625" style="81" bestFit="1" customWidth="1"/>
    <col min="15361" max="15361" width="23" style="81" bestFit="1" customWidth="1"/>
    <col min="15362" max="15363" width="15" style="81" bestFit="1" customWidth="1"/>
    <col min="15364" max="15364" width="14.28515625" style="81" bestFit="1" customWidth="1"/>
    <col min="15365" max="15365" width="23.7109375" style="81" bestFit="1" customWidth="1"/>
    <col min="15366" max="15366" width="18.140625" style="81" customWidth="1"/>
    <col min="15367" max="15367" width="15.5703125" style="81" bestFit="1" customWidth="1"/>
    <col min="15368" max="15368" width="15" style="81" bestFit="1" customWidth="1"/>
    <col min="15369" max="15369" width="26.140625" style="81" customWidth="1"/>
    <col min="15370" max="15370" width="19.28515625" style="81" customWidth="1"/>
    <col min="15371" max="15608" width="9.140625" style="81"/>
    <col min="15609" max="15610" width="13.7109375" style="81" customWidth="1"/>
    <col min="15611" max="15611" width="8.5703125" style="81" customWidth="1"/>
    <col min="15612" max="15612" width="10.5703125" style="81" bestFit="1" customWidth="1"/>
    <col min="15613" max="15613" width="7" style="81" bestFit="1" customWidth="1"/>
    <col min="15614" max="15614" width="20.5703125" style="81" customWidth="1"/>
    <col min="15615" max="15615" width="21.140625" style="81" bestFit="1" customWidth="1"/>
    <col min="15616" max="15616" width="24.140625" style="81" bestFit="1" customWidth="1"/>
    <col min="15617" max="15617" width="23" style="81" bestFit="1" customWidth="1"/>
    <col min="15618" max="15619" width="15" style="81" bestFit="1" customWidth="1"/>
    <col min="15620" max="15620" width="14.28515625" style="81" bestFit="1" customWidth="1"/>
    <col min="15621" max="15621" width="23.7109375" style="81" bestFit="1" customWidth="1"/>
    <col min="15622" max="15622" width="18.140625" style="81" customWidth="1"/>
    <col min="15623" max="15623" width="15.5703125" style="81" bestFit="1" customWidth="1"/>
    <col min="15624" max="15624" width="15" style="81" bestFit="1" customWidth="1"/>
    <col min="15625" max="15625" width="26.140625" style="81" customWidth="1"/>
    <col min="15626" max="15626" width="19.28515625" style="81" customWidth="1"/>
    <col min="15627" max="15864" width="9.140625" style="81"/>
    <col min="15865" max="15866" width="13.7109375" style="81" customWidth="1"/>
    <col min="15867" max="15867" width="8.5703125" style="81" customWidth="1"/>
    <col min="15868" max="15868" width="10.5703125" style="81" bestFit="1" customWidth="1"/>
    <col min="15869" max="15869" width="7" style="81" bestFit="1" customWidth="1"/>
    <col min="15870" max="15870" width="20.5703125" style="81" customWidth="1"/>
    <col min="15871" max="15871" width="21.140625" style="81" bestFit="1" customWidth="1"/>
    <col min="15872" max="15872" width="24.140625" style="81" bestFit="1" customWidth="1"/>
    <col min="15873" max="15873" width="23" style="81" bestFit="1" customWidth="1"/>
    <col min="15874" max="15875" width="15" style="81" bestFit="1" customWidth="1"/>
    <col min="15876" max="15876" width="14.28515625" style="81" bestFit="1" customWidth="1"/>
    <col min="15877" max="15877" width="23.7109375" style="81" bestFit="1" customWidth="1"/>
    <col min="15878" max="15878" width="18.140625" style="81" customWidth="1"/>
    <col min="15879" max="15879" width="15.5703125" style="81" bestFit="1" customWidth="1"/>
    <col min="15880" max="15880" width="15" style="81" bestFit="1" customWidth="1"/>
    <col min="15881" max="15881" width="26.140625" style="81" customWidth="1"/>
    <col min="15882" max="15882" width="19.28515625" style="81" customWidth="1"/>
    <col min="15883" max="16120" width="9.140625" style="81"/>
    <col min="16121" max="16122" width="13.7109375" style="81" customWidth="1"/>
    <col min="16123" max="16123" width="8.5703125" style="81" customWidth="1"/>
    <col min="16124" max="16124" width="10.5703125" style="81" bestFit="1" customWidth="1"/>
    <col min="16125" max="16125" width="7" style="81" bestFit="1" customWidth="1"/>
    <col min="16126" max="16126" width="20.5703125" style="81" customWidth="1"/>
    <col min="16127" max="16127" width="21.140625" style="81" bestFit="1" customWidth="1"/>
    <col min="16128" max="16128" width="24.140625" style="81" bestFit="1" customWidth="1"/>
    <col min="16129" max="16129" width="23" style="81" bestFit="1" customWidth="1"/>
    <col min="16130" max="16131" width="15" style="81" bestFit="1" customWidth="1"/>
    <col min="16132" max="16132" width="14.28515625" style="81" bestFit="1" customWidth="1"/>
    <col min="16133" max="16133" width="23.7109375" style="81" bestFit="1" customWidth="1"/>
    <col min="16134" max="16134" width="18.140625" style="81" customWidth="1"/>
    <col min="16135" max="16135" width="15.5703125" style="81" bestFit="1" customWidth="1"/>
    <col min="16136" max="16136" width="15" style="81" bestFit="1" customWidth="1"/>
    <col min="16137" max="16137" width="26.140625" style="81" customWidth="1"/>
    <col min="16138" max="16138" width="19.28515625" style="81" customWidth="1"/>
    <col min="16139" max="16384" width="9.140625" style="81"/>
  </cols>
  <sheetData>
    <row r="1" spans="1:10" s="42" customFormat="1" ht="18.75" customHeight="1" x14ac:dyDescent="0.2">
      <c r="A1" s="40" t="s">
        <v>8287</v>
      </c>
      <c r="B1" s="41"/>
      <c r="C1" s="41"/>
      <c r="D1" s="41"/>
      <c r="E1" s="41"/>
      <c r="F1" s="41"/>
      <c r="G1" s="41"/>
      <c r="H1" s="41"/>
      <c r="I1" s="41"/>
      <c r="J1" s="41"/>
    </row>
    <row r="2" spans="1:10" s="43" customFormat="1" ht="9" customHeight="1" thickBot="1" x14ac:dyDescent="0.25">
      <c r="C2" s="44"/>
      <c r="D2" s="44"/>
      <c r="E2" s="44"/>
      <c r="F2" s="44"/>
      <c r="G2" s="44"/>
      <c r="H2" s="44"/>
      <c r="I2" s="44"/>
    </row>
    <row r="3" spans="1:10" s="42" customFormat="1" ht="20.25" customHeight="1" thickBot="1" x14ac:dyDescent="0.25">
      <c r="A3" s="45"/>
      <c r="B3" s="45"/>
      <c r="C3" s="46" t="s">
        <v>8102</v>
      </c>
      <c r="D3" s="47"/>
      <c r="E3" s="48"/>
      <c r="F3" s="46" t="s">
        <v>8103</v>
      </c>
      <c r="G3" s="47"/>
      <c r="H3" s="49"/>
      <c r="I3" s="50"/>
      <c r="J3" s="51"/>
    </row>
    <row r="4" spans="1:10" s="42" customFormat="1" ht="20.25" customHeight="1" thickBot="1" x14ac:dyDescent="0.25">
      <c r="A4" s="45"/>
      <c r="B4" s="45"/>
      <c r="C4" s="46" t="s">
        <v>8104</v>
      </c>
      <c r="D4" s="47"/>
      <c r="E4" s="48"/>
      <c r="F4" s="46" t="s">
        <v>8105</v>
      </c>
      <c r="G4" s="47"/>
      <c r="H4" s="49"/>
      <c r="I4" s="50"/>
      <c r="J4" s="51"/>
    </row>
    <row r="5" spans="1:10" s="42" customFormat="1" ht="20.25" customHeight="1" thickBot="1" x14ac:dyDescent="0.25">
      <c r="A5" s="52"/>
      <c r="B5" s="52"/>
      <c r="C5" s="46" t="s">
        <v>8106</v>
      </c>
      <c r="D5" s="53"/>
      <c r="E5" s="48"/>
      <c r="F5" s="46" t="s">
        <v>8107</v>
      </c>
      <c r="G5" s="54"/>
      <c r="H5" s="55"/>
      <c r="I5" s="56"/>
      <c r="J5" s="57"/>
    </row>
    <row r="6" spans="1:10" s="60" customFormat="1" ht="6.75" customHeight="1" thickBot="1" x14ac:dyDescent="0.3">
      <c r="A6" s="58"/>
      <c r="B6" s="58"/>
      <c r="C6" s="58"/>
      <c r="D6" s="58"/>
      <c r="E6" s="58"/>
      <c r="F6" s="59"/>
      <c r="G6" s="58"/>
      <c r="H6" s="58"/>
    </row>
    <row r="7" spans="1:10" s="42" customFormat="1" ht="25.5" customHeight="1" x14ac:dyDescent="0.2">
      <c r="A7" s="61"/>
      <c r="B7" s="62"/>
      <c r="C7" s="63"/>
      <c r="D7" s="64" t="s">
        <v>8108</v>
      </c>
      <c r="E7" s="65"/>
      <c r="F7" s="64" t="s">
        <v>8109</v>
      </c>
      <c r="G7" s="66"/>
      <c r="H7" s="66"/>
      <c r="I7" s="66"/>
      <c r="J7" s="67"/>
    </row>
    <row r="8" spans="1:10" s="72" customFormat="1" ht="49.5" customHeight="1" x14ac:dyDescent="0.25">
      <c r="A8" s="68" t="s">
        <v>8110</v>
      </c>
      <c r="B8" s="69" t="s">
        <v>8111</v>
      </c>
      <c r="C8" s="70" t="s">
        <v>3438</v>
      </c>
      <c r="D8" s="70" t="s">
        <v>8112</v>
      </c>
      <c r="E8" s="70" t="s">
        <v>8113</v>
      </c>
      <c r="F8" s="70" t="s">
        <v>8114</v>
      </c>
      <c r="G8" s="70" t="s">
        <v>8115</v>
      </c>
      <c r="H8" s="70" t="s">
        <v>8116</v>
      </c>
      <c r="I8" s="70" t="s">
        <v>8117</v>
      </c>
      <c r="J8" s="71" t="s">
        <v>8118</v>
      </c>
    </row>
    <row r="9" spans="1:10" s="77" customFormat="1" ht="17.45" customHeight="1" x14ac:dyDescent="0.25">
      <c r="A9" s="73"/>
      <c r="B9" s="73"/>
      <c r="C9" s="74"/>
      <c r="D9" s="75"/>
      <c r="E9" s="75"/>
      <c r="F9" s="76"/>
      <c r="G9" s="75"/>
      <c r="H9" s="76"/>
      <c r="I9" s="75"/>
      <c r="J9" s="73"/>
    </row>
    <row r="10" spans="1:10" s="77" customFormat="1" ht="17.45" customHeight="1" x14ac:dyDescent="0.25">
      <c r="A10" s="73"/>
      <c r="B10" s="73"/>
      <c r="C10" s="74"/>
      <c r="D10" s="75"/>
      <c r="E10" s="75"/>
      <c r="F10" s="76"/>
      <c r="G10" s="75"/>
      <c r="H10" s="76"/>
      <c r="I10" s="75"/>
      <c r="J10" s="73"/>
    </row>
    <row r="11" spans="1:10" s="77" customFormat="1" ht="17.45" customHeight="1" x14ac:dyDescent="0.25">
      <c r="A11" s="73"/>
      <c r="B11" s="73"/>
      <c r="C11" s="74"/>
      <c r="D11" s="75"/>
      <c r="E11" s="75"/>
      <c r="F11" s="76"/>
      <c r="G11" s="75"/>
      <c r="H11" s="76"/>
      <c r="I11" s="75"/>
      <c r="J11" s="73"/>
    </row>
    <row r="12" spans="1:10" s="77" customFormat="1" ht="17.45" customHeight="1" x14ac:dyDescent="0.25">
      <c r="A12" s="73"/>
      <c r="B12" s="73"/>
      <c r="C12" s="74"/>
      <c r="D12" s="75"/>
      <c r="E12" s="75"/>
      <c r="F12" s="76"/>
      <c r="G12" s="75"/>
      <c r="H12" s="76"/>
      <c r="I12" s="75"/>
      <c r="J12" s="73"/>
    </row>
    <row r="13" spans="1:10" s="77" customFormat="1" ht="17.45" customHeight="1" x14ac:dyDescent="0.25">
      <c r="A13" s="73"/>
      <c r="B13" s="73"/>
      <c r="C13" s="74"/>
      <c r="D13" s="75"/>
      <c r="E13" s="75"/>
      <c r="F13" s="76"/>
      <c r="G13" s="75"/>
      <c r="H13" s="76"/>
      <c r="I13" s="75"/>
      <c r="J13" s="73"/>
    </row>
    <row r="14" spans="1:10" s="77" customFormat="1" ht="17.45" customHeight="1" x14ac:dyDescent="0.25">
      <c r="A14" s="73"/>
      <c r="B14" s="73"/>
      <c r="C14" s="74"/>
      <c r="D14" s="78"/>
      <c r="E14" s="78"/>
      <c r="F14" s="79"/>
      <c r="G14" s="78"/>
      <c r="H14" s="79"/>
      <c r="I14" s="78"/>
      <c r="J14" s="73"/>
    </row>
    <row r="15" spans="1:10" ht="17.4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</row>
    <row r="16" spans="1:10" ht="17.45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</row>
    <row r="17" spans="1:10" ht="17.45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</row>
    <row r="18" spans="1:10" ht="17.45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</row>
    <row r="19" spans="1:10" ht="17.45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</row>
    <row r="20" spans="1:10" ht="17.45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</row>
    <row r="21" spans="1:10" ht="17.45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</row>
    <row r="22" spans="1:10" ht="17.45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</row>
    <row r="23" spans="1:10" ht="17.45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</row>
    <row r="24" spans="1:10" ht="17.45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</row>
    <row r="25" spans="1:10" ht="17.45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</row>
    <row r="26" spans="1:10" ht="17.45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</row>
    <row r="27" spans="1:10" ht="17.45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</row>
    <row r="28" spans="1:10" ht="17.45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</row>
    <row r="29" spans="1:10" ht="17.45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</row>
    <row r="30" spans="1:10" ht="17.45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</row>
    <row r="31" spans="1:10" ht="17.45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</row>
    <row r="32" spans="1:10" ht="17.45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10" ht="17.45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</row>
    <row r="34" spans="1:10" ht="17.45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</row>
    <row r="35" spans="1:10" ht="17.45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</row>
    <row r="36" spans="1:10" ht="17.45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</row>
    <row r="37" spans="1:10" ht="17.4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</row>
    <row r="38" spans="1:10" ht="17.4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</row>
    <row r="39" spans="1:10" ht="17.4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</row>
    <row r="40" spans="1:10" ht="17.4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</row>
    <row r="41" spans="1:10" ht="17.4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</row>
    <row r="42" spans="1:10" ht="17.4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</row>
    <row r="43" spans="1:10" ht="17.4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</row>
    <row r="44" spans="1:10" ht="17.4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</row>
    <row r="45" spans="1:10" ht="17.4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</row>
    <row r="46" spans="1:10" ht="17.4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</row>
    <row r="47" spans="1:10" ht="17.4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</row>
    <row r="48" spans="1:10" ht="17.4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</row>
    <row r="49" spans="1:10" ht="17.4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</row>
    <row r="50" spans="1:10" ht="17.4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</row>
    <row r="51" spans="1:10" ht="17.4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</row>
    <row r="52" spans="1:10" ht="17.4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</row>
    <row r="53" spans="1:10" ht="17.45" customHeigh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</row>
    <row r="54" spans="1:10" ht="17.45" customHeight="1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</row>
    <row r="55" spans="1:10" ht="17.45" customHeight="1" x14ac:dyDescent="0.25">
      <c r="A55" s="80"/>
      <c r="B55" s="80"/>
      <c r="C55" s="80"/>
      <c r="D55" s="80"/>
      <c r="E55" s="80"/>
      <c r="F55" s="80"/>
      <c r="G55" s="80"/>
      <c r="H55" s="80"/>
      <c r="I55" s="80"/>
      <c r="J55" s="80"/>
    </row>
    <row r="56" spans="1:10" ht="17.45" customHeight="1" x14ac:dyDescent="0.25">
      <c r="A56" s="80"/>
      <c r="B56" s="80"/>
      <c r="C56" s="80"/>
      <c r="D56" s="80"/>
      <c r="E56" s="80"/>
      <c r="F56" s="80"/>
      <c r="G56" s="80"/>
      <c r="H56" s="80"/>
      <c r="I56" s="80"/>
      <c r="J56" s="80"/>
    </row>
    <row r="57" spans="1:10" ht="17.45" customHeight="1" x14ac:dyDescent="0.25">
      <c r="A57" s="80"/>
      <c r="B57" s="80"/>
      <c r="C57" s="80"/>
      <c r="D57" s="80"/>
      <c r="E57" s="80"/>
      <c r="F57" s="80"/>
      <c r="G57" s="80"/>
      <c r="H57" s="80"/>
      <c r="I57" s="80"/>
      <c r="J57" s="80"/>
    </row>
    <row r="58" spans="1:10" ht="17.45" customHeight="1" x14ac:dyDescent="0.25">
      <c r="A58" s="80"/>
      <c r="B58" s="80"/>
      <c r="C58" s="80"/>
      <c r="D58" s="80"/>
      <c r="E58" s="80"/>
      <c r="F58" s="80"/>
      <c r="G58" s="80"/>
      <c r="H58" s="80"/>
      <c r="I58" s="80"/>
      <c r="J58" s="80"/>
    </row>
    <row r="59" spans="1:10" ht="17.45" customHeight="1" x14ac:dyDescent="0.25">
      <c r="A59" s="80"/>
      <c r="B59" s="80"/>
      <c r="C59" s="80"/>
      <c r="D59" s="80"/>
      <c r="E59" s="80"/>
      <c r="F59" s="80"/>
      <c r="G59" s="80"/>
      <c r="H59" s="80"/>
      <c r="I59" s="80"/>
      <c r="J59" s="80"/>
    </row>
    <row r="60" spans="1:10" ht="17.45" customHeight="1" x14ac:dyDescent="0.25">
      <c r="A60" s="80"/>
      <c r="B60" s="80"/>
      <c r="C60" s="80"/>
      <c r="D60" s="80"/>
      <c r="E60" s="80"/>
      <c r="F60" s="80"/>
      <c r="G60" s="80"/>
      <c r="H60" s="80"/>
      <c r="I60" s="80"/>
      <c r="J60" s="80"/>
    </row>
    <row r="61" spans="1:10" ht="17.45" customHeight="1" x14ac:dyDescent="0.25">
      <c r="A61" s="80"/>
      <c r="B61" s="80"/>
      <c r="C61" s="80"/>
      <c r="D61" s="80"/>
      <c r="E61" s="80"/>
      <c r="F61" s="80"/>
      <c r="G61" s="80"/>
      <c r="H61" s="80"/>
      <c r="I61" s="80"/>
      <c r="J61" s="80"/>
    </row>
    <row r="62" spans="1:10" ht="17.45" customHeight="1" x14ac:dyDescent="0.25">
      <c r="A62" s="80"/>
      <c r="B62" s="80"/>
      <c r="C62" s="80"/>
      <c r="D62" s="80"/>
      <c r="E62" s="80"/>
      <c r="F62" s="80"/>
      <c r="G62" s="80"/>
      <c r="H62" s="80"/>
      <c r="I62" s="80"/>
      <c r="J62" s="80"/>
    </row>
    <row r="63" spans="1:10" ht="17.45" customHeight="1" x14ac:dyDescent="0.25">
      <c r="A63" s="80"/>
      <c r="B63" s="80"/>
      <c r="C63" s="80"/>
      <c r="D63" s="80"/>
      <c r="E63" s="80"/>
      <c r="F63" s="80"/>
      <c r="G63" s="80"/>
      <c r="H63" s="80"/>
      <c r="I63" s="80"/>
      <c r="J63" s="80"/>
    </row>
    <row r="64" spans="1:10" ht="17.45" customHeight="1" x14ac:dyDescent="0.25">
      <c r="A64" s="80"/>
      <c r="B64" s="80"/>
      <c r="C64" s="80"/>
      <c r="D64" s="80"/>
      <c r="E64" s="80"/>
      <c r="F64" s="80"/>
      <c r="G64" s="80"/>
      <c r="H64" s="80"/>
      <c r="I64" s="80"/>
      <c r="J64" s="80"/>
    </row>
    <row r="65" spans="1:10" ht="17.45" customHeight="1" x14ac:dyDescent="0.25">
      <c r="A65" s="80"/>
      <c r="B65" s="80"/>
      <c r="C65" s="80"/>
      <c r="D65" s="80"/>
      <c r="E65" s="80"/>
      <c r="F65" s="80"/>
      <c r="G65" s="80"/>
      <c r="H65" s="80"/>
      <c r="I65" s="80"/>
      <c r="J65" s="80"/>
    </row>
    <row r="66" spans="1:10" ht="17.45" customHeight="1" x14ac:dyDescent="0.25">
      <c r="A66" s="80"/>
      <c r="B66" s="80"/>
      <c r="C66" s="80"/>
      <c r="D66" s="80"/>
      <c r="E66" s="80"/>
      <c r="F66" s="80"/>
      <c r="G66" s="80"/>
      <c r="H66" s="80"/>
      <c r="I66" s="80"/>
      <c r="J66" s="80"/>
    </row>
    <row r="67" spans="1:10" ht="17.45" customHeight="1" x14ac:dyDescent="0.25">
      <c r="A67" s="80"/>
      <c r="B67" s="80"/>
      <c r="C67" s="80"/>
      <c r="D67" s="80"/>
      <c r="E67" s="80"/>
      <c r="F67" s="80"/>
      <c r="G67" s="80"/>
      <c r="H67" s="80"/>
      <c r="I67" s="80"/>
      <c r="J67" s="80"/>
    </row>
    <row r="68" spans="1:10" ht="17.45" customHeight="1" x14ac:dyDescent="0.25">
      <c r="A68" s="80"/>
      <c r="B68" s="80"/>
      <c r="C68" s="80"/>
      <c r="D68" s="80"/>
      <c r="E68" s="80"/>
      <c r="F68" s="80"/>
      <c r="G68" s="80"/>
      <c r="H68" s="80"/>
      <c r="I68" s="80"/>
      <c r="J68" s="80"/>
    </row>
    <row r="69" spans="1:10" ht="17.45" customHeight="1" x14ac:dyDescent="0.25">
      <c r="A69" s="80"/>
      <c r="B69" s="80"/>
      <c r="C69" s="80"/>
      <c r="D69" s="80"/>
      <c r="E69" s="80"/>
      <c r="F69" s="80"/>
      <c r="G69" s="80"/>
      <c r="H69" s="80"/>
      <c r="I69" s="80"/>
      <c r="J69" s="80"/>
    </row>
    <row r="70" spans="1:10" ht="17.45" customHeight="1" x14ac:dyDescent="0.25">
      <c r="A70" s="80"/>
      <c r="B70" s="80"/>
      <c r="C70" s="80"/>
      <c r="D70" s="80"/>
      <c r="E70" s="80"/>
      <c r="F70" s="80"/>
      <c r="G70" s="80"/>
      <c r="H70" s="80"/>
      <c r="I70" s="80"/>
      <c r="J70" s="80"/>
    </row>
    <row r="71" spans="1:10" ht="17.45" customHeight="1" x14ac:dyDescent="0.25">
      <c r="A71" s="80"/>
      <c r="B71" s="80"/>
      <c r="C71" s="80"/>
      <c r="D71" s="80"/>
      <c r="E71" s="80"/>
      <c r="F71" s="80"/>
      <c r="G71" s="80"/>
      <c r="H71" s="80"/>
      <c r="I71" s="80"/>
      <c r="J71" s="80"/>
    </row>
    <row r="72" spans="1:10" ht="17.45" customHeight="1" x14ac:dyDescent="0.25">
      <c r="A72" s="80"/>
      <c r="B72" s="80"/>
      <c r="C72" s="80"/>
      <c r="D72" s="80"/>
      <c r="E72" s="80"/>
      <c r="F72" s="80"/>
      <c r="G72" s="80"/>
      <c r="H72" s="80"/>
      <c r="I72" s="80"/>
      <c r="J72" s="80"/>
    </row>
    <row r="73" spans="1:10" ht="17.45" customHeight="1" x14ac:dyDescent="0.25">
      <c r="A73" s="80"/>
      <c r="B73" s="80"/>
      <c r="C73" s="80"/>
      <c r="D73" s="80"/>
      <c r="E73" s="80"/>
      <c r="F73" s="80"/>
      <c r="G73" s="80"/>
      <c r="H73" s="80"/>
      <c r="I73" s="80"/>
      <c r="J73" s="80"/>
    </row>
    <row r="74" spans="1:10" ht="17.45" customHeight="1" x14ac:dyDescent="0.25">
      <c r="A74" s="80"/>
      <c r="B74" s="80"/>
      <c r="C74" s="80"/>
      <c r="D74" s="80"/>
      <c r="E74" s="80"/>
      <c r="F74" s="80"/>
      <c r="G74" s="80"/>
      <c r="H74" s="80"/>
      <c r="I74" s="80"/>
      <c r="J74" s="80"/>
    </row>
    <row r="75" spans="1:10" ht="17.45" customHeight="1" x14ac:dyDescent="0.25">
      <c r="A75" s="80"/>
      <c r="B75" s="80"/>
      <c r="C75" s="80"/>
      <c r="D75" s="80"/>
      <c r="E75" s="80"/>
      <c r="F75" s="80"/>
      <c r="G75" s="80"/>
      <c r="H75" s="80"/>
      <c r="I75" s="80"/>
      <c r="J75" s="80"/>
    </row>
    <row r="76" spans="1:10" ht="17.45" customHeight="1" x14ac:dyDescent="0.25">
      <c r="A76" s="80"/>
      <c r="B76" s="80"/>
      <c r="C76" s="80"/>
      <c r="D76" s="80"/>
      <c r="E76" s="80"/>
      <c r="F76" s="80"/>
      <c r="G76" s="80"/>
      <c r="H76" s="80"/>
      <c r="I76" s="80"/>
      <c r="J76" s="80"/>
    </row>
    <row r="77" spans="1:10" ht="17.45" customHeight="1" x14ac:dyDescent="0.25">
      <c r="A77" s="80"/>
      <c r="B77" s="80"/>
      <c r="C77" s="80"/>
      <c r="D77" s="80"/>
      <c r="E77" s="80"/>
      <c r="F77" s="80"/>
      <c r="G77" s="80"/>
      <c r="H77" s="80"/>
      <c r="I77" s="80"/>
      <c r="J77" s="80"/>
    </row>
    <row r="78" spans="1:10" ht="17.45" customHeight="1" x14ac:dyDescent="0.25">
      <c r="A78" s="80"/>
      <c r="B78" s="80"/>
      <c r="C78" s="80"/>
      <c r="D78" s="80"/>
      <c r="E78" s="80"/>
      <c r="F78" s="80"/>
      <c r="G78" s="80"/>
      <c r="H78" s="80"/>
      <c r="I78" s="80"/>
      <c r="J78" s="80"/>
    </row>
    <row r="79" spans="1:10" ht="17.45" customHeight="1" x14ac:dyDescent="0.25">
      <c r="A79" s="80"/>
      <c r="B79" s="80"/>
      <c r="C79" s="80"/>
      <c r="D79" s="80"/>
      <c r="E79" s="80"/>
      <c r="F79" s="80"/>
      <c r="G79" s="80"/>
      <c r="H79" s="80"/>
      <c r="I79" s="80"/>
      <c r="J79" s="80"/>
    </row>
    <row r="80" spans="1:10" ht="17.45" customHeight="1" x14ac:dyDescent="0.25">
      <c r="A80" s="80"/>
      <c r="B80" s="80"/>
      <c r="C80" s="80"/>
      <c r="D80" s="80"/>
      <c r="E80" s="80"/>
      <c r="F80" s="80"/>
      <c r="G80" s="80"/>
      <c r="H80" s="80"/>
      <c r="I80" s="80"/>
      <c r="J80" s="80"/>
    </row>
    <row r="81" spans="1:10" ht="17.45" customHeight="1" x14ac:dyDescent="0.25">
      <c r="A81" s="80"/>
      <c r="B81" s="80"/>
      <c r="C81" s="80"/>
      <c r="D81" s="80"/>
      <c r="E81" s="80"/>
      <c r="F81" s="80"/>
      <c r="G81" s="80"/>
      <c r="H81" s="80"/>
      <c r="I81" s="80"/>
      <c r="J81" s="80"/>
    </row>
    <row r="82" spans="1:10" ht="17.45" customHeight="1" x14ac:dyDescent="0.25">
      <c r="A82" s="80"/>
      <c r="B82" s="80"/>
      <c r="C82" s="80"/>
      <c r="D82" s="80"/>
      <c r="E82" s="80"/>
      <c r="F82" s="80"/>
      <c r="G82" s="80"/>
      <c r="H82" s="80"/>
      <c r="I82" s="80"/>
      <c r="J82" s="80"/>
    </row>
    <row r="83" spans="1:10" ht="17.45" customHeight="1" x14ac:dyDescent="0.25">
      <c r="A83" s="80"/>
      <c r="B83" s="80"/>
      <c r="C83" s="80"/>
      <c r="D83" s="80"/>
      <c r="E83" s="80"/>
      <c r="F83" s="80"/>
      <c r="G83" s="80"/>
      <c r="H83" s="80"/>
      <c r="I83" s="80"/>
      <c r="J83" s="80"/>
    </row>
    <row r="84" spans="1:10" ht="17.45" customHeight="1" x14ac:dyDescent="0.25">
      <c r="A84" s="80"/>
      <c r="B84" s="80"/>
      <c r="C84" s="80"/>
      <c r="D84" s="80"/>
      <c r="E84" s="80"/>
      <c r="F84" s="80"/>
      <c r="G84" s="80"/>
      <c r="H84" s="80"/>
      <c r="I84" s="80"/>
      <c r="J84" s="80"/>
    </row>
    <row r="85" spans="1:10" ht="17.45" customHeight="1" x14ac:dyDescent="0.25"/>
    <row r="86" spans="1:10" ht="17.45" customHeight="1" x14ac:dyDescent="0.25"/>
    <row r="87" spans="1:10" ht="17.45" customHeight="1" x14ac:dyDescent="0.25"/>
    <row r="88" spans="1:10" ht="17.45" customHeight="1" x14ac:dyDescent="0.25"/>
    <row r="89" spans="1:10" ht="17.45" customHeight="1" x14ac:dyDescent="0.25"/>
    <row r="90" spans="1:10" ht="17.45" customHeight="1" x14ac:dyDescent="0.25"/>
    <row r="91" spans="1:10" ht="17.45" customHeight="1" x14ac:dyDescent="0.25"/>
    <row r="92" spans="1:10" ht="17.45" customHeight="1" x14ac:dyDescent="0.25"/>
    <row r="93" spans="1:10" ht="17.45" customHeight="1" x14ac:dyDescent="0.25"/>
    <row r="94" spans="1:10" ht="17.45" customHeight="1" x14ac:dyDescent="0.25"/>
    <row r="95" spans="1:10" ht="17.45" customHeight="1" x14ac:dyDescent="0.25"/>
    <row r="96" spans="1:10" ht="17.45" customHeight="1" x14ac:dyDescent="0.25"/>
    <row r="97" ht="17.45" customHeight="1" x14ac:dyDescent="0.25"/>
    <row r="98" ht="17.45" customHeight="1" x14ac:dyDescent="0.25"/>
    <row r="99" ht="17.45" customHeight="1" x14ac:dyDescent="0.25"/>
    <row r="100" ht="17.45" customHeight="1" x14ac:dyDescent="0.25"/>
    <row r="101" ht="17.45" customHeight="1" x14ac:dyDescent="0.25"/>
    <row r="102" ht="17.45" customHeight="1" x14ac:dyDescent="0.25"/>
    <row r="103" ht="17.45" customHeight="1" x14ac:dyDescent="0.25"/>
    <row r="104" ht="17.45" customHeight="1" x14ac:dyDescent="0.25"/>
    <row r="105" ht="17.45" customHeight="1" x14ac:dyDescent="0.25"/>
    <row r="106" ht="17.45" customHeight="1" x14ac:dyDescent="0.25"/>
    <row r="107" ht="17.45" customHeight="1" x14ac:dyDescent="0.25"/>
    <row r="108" ht="17.45" customHeight="1" x14ac:dyDescent="0.25"/>
    <row r="109" ht="17.45" customHeight="1" x14ac:dyDescent="0.25"/>
    <row r="110" ht="17.45" customHeight="1" x14ac:dyDescent="0.25"/>
    <row r="111" ht="17.45" customHeight="1" x14ac:dyDescent="0.25"/>
    <row r="112" ht="17.45" customHeight="1" x14ac:dyDescent="0.25"/>
    <row r="113" ht="17.45" customHeight="1" x14ac:dyDescent="0.25"/>
    <row r="114" ht="17.45" customHeight="1" x14ac:dyDescent="0.25"/>
    <row r="115" ht="17.45" customHeight="1" x14ac:dyDescent="0.25"/>
    <row r="116" ht="17.45" customHeight="1" x14ac:dyDescent="0.25"/>
    <row r="117" ht="17.45" customHeight="1" x14ac:dyDescent="0.25"/>
    <row r="118" ht="17.45" customHeight="1" x14ac:dyDescent="0.25"/>
    <row r="119" ht="17.45" customHeight="1" x14ac:dyDescent="0.25"/>
    <row r="120" ht="17.45" customHeight="1" x14ac:dyDescent="0.25"/>
    <row r="121" ht="17.45" customHeight="1" x14ac:dyDescent="0.25"/>
    <row r="122" ht="17.45" customHeight="1" x14ac:dyDescent="0.25"/>
    <row r="123" ht="17.45" customHeight="1" x14ac:dyDescent="0.25"/>
    <row r="124" ht="17.45" customHeight="1" x14ac:dyDescent="0.25"/>
    <row r="125" ht="17.45" customHeight="1" x14ac:dyDescent="0.25"/>
    <row r="126" ht="17.45" customHeight="1" x14ac:dyDescent="0.25"/>
    <row r="127" ht="17.45" customHeight="1" x14ac:dyDescent="0.25"/>
    <row r="128" ht="17.45" customHeight="1" x14ac:dyDescent="0.25"/>
    <row r="129" ht="17.45" customHeight="1" x14ac:dyDescent="0.25"/>
    <row r="130" ht="17.45" customHeight="1" x14ac:dyDescent="0.25"/>
    <row r="131" ht="17.45" customHeight="1" x14ac:dyDescent="0.25"/>
    <row r="132" ht="17.45" customHeight="1" x14ac:dyDescent="0.25"/>
    <row r="133" ht="17.45" customHeight="1" x14ac:dyDescent="0.25"/>
    <row r="134" ht="17.45" customHeight="1" x14ac:dyDescent="0.25"/>
    <row r="135" ht="17.45" customHeight="1" x14ac:dyDescent="0.25"/>
    <row r="136" ht="17.45" customHeight="1" x14ac:dyDescent="0.25"/>
    <row r="137" ht="17.45" customHeight="1" x14ac:dyDescent="0.25"/>
    <row r="138" ht="17.45" customHeight="1" x14ac:dyDescent="0.25"/>
    <row r="139" ht="17.45" customHeight="1" x14ac:dyDescent="0.25"/>
    <row r="140" ht="17.45" customHeight="1" x14ac:dyDescent="0.25"/>
    <row r="141" ht="17.45" customHeight="1" x14ac:dyDescent="0.25"/>
    <row r="142" ht="17.45" customHeight="1" x14ac:dyDescent="0.25"/>
    <row r="143" ht="17.45" customHeight="1" x14ac:dyDescent="0.25"/>
    <row r="144" ht="17.45" customHeight="1" x14ac:dyDescent="0.25"/>
    <row r="145" ht="17.45" customHeight="1" x14ac:dyDescent="0.25"/>
    <row r="146" ht="17.45" customHeight="1" x14ac:dyDescent="0.25"/>
    <row r="147" ht="17.45" customHeight="1" x14ac:dyDescent="0.25"/>
    <row r="148" ht="17.45" customHeight="1" x14ac:dyDescent="0.25"/>
    <row r="149" ht="17.45" customHeight="1" x14ac:dyDescent="0.25"/>
    <row r="150" ht="17.45" customHeight="1" x14ac:dyDescent="0.25"/>
    <row r="151" ht="17.45" customHeight="1" x14ac:dyDescent="0.25"/>
    <row r="152" ht="17.45" customHeight="1" x14ac:dyDescent="0.25"/>
    <row r="153" ht="17.45" customHeight="1" x14ac:dyDescent="0.25"/>
    <row r="154" ht="17.45" customHeight="1" x14ac:dyDescent="0.25"/>
    <row r="155" ht="17.45" customHeight="1" x14ac:dyDescent="0.25"/>
    <row r="156" ht="17.45" customHeight="1" x14ac:dyDescent="0.25"/>
    <row r="157" ht="17.45" customHeight="1" x14ac:dyDescent="0.25"/>
    <row r="158" ht="17.45" customHeight="1" x14ac:dyDescent="0.25"/>
    <row r="159" ht="17.45" customHeight="1" x14ac:dyDescent="0.25"/>
    <row r="160" ht="17.45" customHeight="1" x14ac:dyDescent="0.25"/>
    <row r="161" ht="17.45" customHeight="1" x14ac:dyDescent="0.25"/>
    <row r="162" ht="17.45" customHeight="1" x14ac:dyDescent="0.25"/>
    <row r="163" ht="17.45" customHeight="1" x14ac:dyDescent="0.25"/>
    <row r="164" ht="17.45" customHeight="1" x14ac:dyDescent="0.25"/>
    <row r="165" ht="17.45" customHeight="1" x14ac:dyDescent="0.25"/>
    <row r="166" ht="17.45" customHeight="1" x14ac:dyDescent="0.25"/>
    <row r="167" ht="17.45" customHeight="1" x14ac:dyDescent="0.25"/>
    <row r="168" ht="17.45" customHeight="1" x14ac:dyDescent="0.25"/>
    <row r="169" ht="17.45" customHeight="1" x14ac:dyDescent="0.25"/>
    <row r="170" ht="17.45" customHeight="1" x14ac:dyDescent="0.25"/>
    <row r="171" ht="17.45" customHeight="1" x14ac:dyDescent="0.25"/>
    <row r="172" ht="17.45" customHeight="1" x14ac:dyDescent="0.25"/>
    <row r="173" ht="17.45" customHeight="1" x14ac:dyDescent="0.25"/>
    <row r="174" ht="17.45" customHeight="1" x14ac:dyDescent="0.25"/>
    <row r="175" ht="17.45" customHeight="1" x14ac:dyDescent="0.25"/>
    <row r="176" ht="17.45" customHeight="1" x14ac:dyDescent="0.25"/>
    <row r="177" ht="17.45" customHeight="1" x14ac:dyDescent="0.25"/>
    <row r="178" ht="17.45" customHeight="1" x14ac:dyDescent="0.25"/>
    <row r="179" ht="17.45" customHeight="1" x14ac:dyDescent="0.25"/>
    <row r="180" ht="17.45" customHeight="1" x14ac:dyDescent="0.25"/>
    <row r="181" ht="17.45" customHeight="1" x14ac:dyDescent="0.25"/>
    <row r="182" ht="17.45" customHeight="1" x14ac:dyDescent="0.25"/>
    <row r="183" ht="17.45" customHeight="1" x14ac:dyDescent="0.25"/>
    <row r="184" ht="17.45" customHeight="1" x14ac:dyDescent="0.25"/>
    <row r="185" ht="17.45" customHeight="1" x14ac:dyDescent="0.25"/>
    <row r="186" ht="17.45" customHeight="1" x14ac:dyDescent="0.25"/>
    <row r="187" ht="17.45" customHeight="1" x14ac:dyDescent="0.25"/>
    <row r="188" ht="17.45" customHeight="1" x14ac:dyDescent="0.25"/>
    <row r="189" ht="17.45" customHeight="1" x14ac:dyDescent="0.25"/>
    <row r="190" ht="17.45" customHeight="1" x14ac:dyDescent="0.25"/>
    <row r="191" ht="17.45" customHeight="1" x14ac:dyDescent="0.25"/>
    <row r="192" ht="17.45" customHeight="1" x14ac:dyDescent="0.25"/>
    <row r="193" ht="17.45" customHeight="1" x14ac:dyDescent="0.25"/>
    <row r="194" ht="17.45" customHeight="1" x14ac:dyDescent="0.25"/>
    <row r="195" ht="17.45" customHeight="1" x14ac:dyDescent="0.25"/>
    <row r="196" ht="17.45" customHeight="1" x14ac:dyDescent="0.25"/>
    <row r="197" ht="17.45" customHeight="1" x14ac:dyDescent="0.25"/>
    <row r="198" ht="17.45" customHeight="1" x14ac:dyDescent="0.25"/>
    <row r="199" ht="17.45" customHeight="1" x14ac:dyDescent="0.25"/>
    <row r="200" ht="17.45" customHeight="1" x14ac:dyDescent="0.25"/>
    <row r="201" ht="17.45" customHeight="1" x14ac:dyDescent="0.25"/>
    <row r="202" ht="17.45" customHeight="1" x14ac:dyDescent="0.25"/>
    <row r="203" ht="17.45" customHeight="1" x14ac:dyDescent="0.25"/>
    <row r="204" ht="17.45" customHeight="1" x14ac:dyDescent="0.25"/>
    <row r="205" ht="17.45" customHeight="1" x14ac:dyDescent="0.25"/>
    <row r="206" ht="17.45" customHeight="1" x14ac:dyDescent="0.25"/>
    <row r="207" ht="17.45" customHeight="1" x14ac:dyDescent="0.25"/>
    <row r="208" ht="17.45" customHeight="1" x14ac:dyDescent="0.25"/>
    <row r="209" ht="17.45" customHeight="1" x14ac:dyDescent="0.25"/>
    <row r="210" ht="17.45" customHeight="1" x14ac:dyDescent="0.25"/>
    <row r="211" ht="17.45" customHeight="1" x14ac:dyDescent="0.25"/>
    <row r="212" ht="17.45" customHeight="1" x14ac:dyDescent="0.25"/>
    <row r="213" ht="17.45" customHeight="1" x14ac:dyDescent="0.25"/>
    <row r="214" ht="17.45" customHeight="1" x14ac:dyDescent="0.25"/>
    <row r="215" ht="17.45" customHeight="1" x14ac:dyDescent="0.25"/>
    <row r="216" ht="17.45" customHeight="1" x14ac:dyDescent="0.25"/>
    <row r="217" ht="17.45" customHeight="1" x14ac:dyDescent="0.25"/>
    <row r="218" ht="17.45" customHeight="1" x14ac:dyDescent="0.25"/>
    <row r="219" ht="17.45" customHeight="1" x14ac:dyDescent="0.25"/>
    <row r="220" ht="17.45" customHeight="1" x14ac:dyDescent="0.25"/>
    <row r="221" ht="17.45" customHeight="1" x14ac:dyDescent="0.25"/>
    <row r="222" ht="17.45" customHeight="1" x14ac:dyDescent="0.25"/>
    <row r="223" ht="17.45" customHeight="1" x14ac:dyDescent="0.25"/>
    <row r="224" ht="17.45" customHeight="1" x14ac:dyDescent="0.25"/>
    <row r="225" ht="17.45" customHeight="1" x14ac:dyDescent="0.25"/>
    <row r="226" ht="17.45" customHeight="1" x14ac:dyDescent="0.25"/>
    <row r="227" ht="17.45" customHeight="1" x14ac:dyDescent="0.25"/>
    <row r="228" ht="17.45" customHeight="1" x14ac:dyDescent="0.25"/>
    <row r="229" ht="17.45" customHeight="1" x14ac:dyDescent="0.25"/>
    <row r="230" ht="17.45" customHeight="1" x14ac:dyDescent="0.25"/>
    <row r="231" ht="17.45" customHeight="1" x14ac:dyDescent="0.25"/>
    <row r="232" ht="17.45" customHeight="1" x14ac:dyDescent="0.25"/>
    <row r="233" ht="17.45" customHeight="1" x14ac:dyDescent="0.25"/>
    <row r="234" ht="17.45" customHeight="1" x14ac:dyDescent="0.25"/>
    <row r="235" ht="17.45" customHeight="1" x14ac:dyDescent="0.25"/>
    <row r="236" ht="17.45" customHeight="1" x14ac:dyDescent="0.25"/>
    <row r="237" ht="17.45" customHeight="1" x14ac:dyDescent="0.25"/>
    <row r="238" ht="17.45" customHeight="1" x14ac:dyDescent="0.25"/>
    <row r="239" ht="17.45" customHeight="1" x14ac:dyDescent="0.25"/>
    <row r="240" ht="17.45" customHeight="1" x14ac:dyDescent="0.25"/>
    <row r="241" ht="17.45" customHeight="1" x14ac:dyDescent="0.25"/>
    <row r="242" ht="17.45" customHeight="1" x14ac:dyDescent="0.25"/>
    <row r="243" ht="17.45" customHeight="1" x14ac:dyDescent="0.25"/>
    <row r="244" ht="17.45" customHeight="1" x14ac:dyDescent="0.25"/>
    <row r="245" ht="17.45" customHeight="1" x14ac:dyDescent="0.25"/>
    <row r="246" ht="17.45" customHeight="1" x14ac:dyDescent="0.25"/>
    <row r="247" ht="17.45" customHeight="1" x14ac:dyDescent="0.25"/>
    <row r="248" ht="17.45" customHeight="1" x14ac:dyDescent="0.25"/>
    <row r="249" ht="17.45" customHeight="1" x14ac:dyDescent="0.25"/>
    <row r="250" ht="17.45" customHeight="1" x14ac:dyDescent="0.25"/>
    <row r="251" ht="17.45" customHeight="1" x14ac:dyDescent="0.25"/>
    <row r="252" ht="17.45" customHeight="1" x14ac:dyDescent="0.25"/>
    <row r="253" ht="17.45" customHeight="1" x14ac:dyDescent="0.25"/>
    <row r="254" ht="17.45" customHeight="1" x14ac:dyDescent="0.25"/>
    <row r="255" ht="17.45" customHeight="1" x14ac:dyDescent="0.25"/>
    <row r="256" ht="17.45" customHeight="1" x14ac:dyDescent="0.25"/>
    <row r="257" ht="17.45" customHeight="1" x14ac:dyDescent="0.25"/>
    <row r="258" ht="17.45" customHeight="1" x14ac:dyDescent="0.25"/>
    <row r="259" ht="17.45" customHeight="1" x14ac:dyDescent="0.25"/>
    <row r="260" ht="17.45" customHeight="1" x14ac:dyDescent="0.25"/>
    <row r="261" ht="17.45" customHeight="1" x14ac:dyDescent="0.25"/>
    <row r="262" ht="17.45" customHeight="1" x14ac:dyDescent="0.25"/>
    <row r="263" ht="17.45" customHeight="1" x14ac:dyDescent="0.25"/>
    <row r="264" ht="17.45" customHeight="1" x14ac:dyDescent="0.25"/>
    <row r="265" ht="17.45" customHeight="1" x14ac:dyDescent="0.25"/>
    <row r="266" ht="17.45" customHeight="1" x14ac:dyDescent="0.25"/>
    <row r="267" ht="17.45" customHeight="1" x14ac:dyDescent="0.25"/>
    <row r="268" ht="17.45" customHeight="1" x14ac:dyDescent="0.25"/>
    <row r="269" ht="17.45" customHeight="1" x14ac:dyDescent="0.25"/>
    <row r="270" ht="17.45" customHeight="1" x14ac:dyDescent="0.25"/>
    <row r="271" ht="17.45" customHeight="1" x14ac:dyDescent="0.25"/>
    <row r="272" ht="17.45" customHeight="1" x14ac:dyDescent="0.25"/>
    <row r="273" ht="17.45" customHeight="1" x14ac:dyDescent="0.25"/>
    <row r="274" ht="17.45" customHeight="1" x14ac:dyDescent="0.25"/>
    <row r="275" ht="17.45" customHeight="1" x14ac:dyDescent="0.25"/>
    <row r="276" ht="17.45" customHeight="1" x14ac:dyDescent="0.25"/>
    <row r="277" ht="17.45" customHeight="1" x14ac:dyDescent="0.25"/>
    <row r="278" ht="17.45" customHeight="1" x14ac:dyDescent="0.25"/>
    <row r="279" ht="17.45" customHeight="1" x14ac:dyDescent="0.25"/>
    <row r="280" ht="17.45" customHeight="1" x14ac:dyDescent="0.25"/>
    <row r="281" ht="17.45" customHeight="1" x14ac:dyDescent="0.25"/>
    <row r="282" ht="17.45" customHeight="1" x14ac:dyDescent="0.25"/>
    <row r="283" ht="17.45" customHeight="1" x14ac:dyDescent="0.25"/>
    <row r="284" ht="17.45" customHeight="1" x14ac:dyDescent="0.25"/>
    <row r="285" ht="17.45" customHeight="1" x14ac:dyDescent="0.25"/>
    <row r="286" ht="17.45" customHeight="1" x14ac:dyDescent="0.25"/>
    <row r="287" ht="17.45" customHeight="1" x14ac:dyDescent="0.25"/>
    <row r="288" ht="17.45" customHeight="1" x14ac:dyDescent="0.25"/>
    <row r="289" ht="17.45" customHeight="1" x14ac:dyDescent="0.25"/>
    <row r="290" ht="17.45" customHeight="1" x14ac:dyDescent="0.25"/>
    <row r="291" ht="17.45" customHeight="1" x14ac:dyDescent="0.25"/>
    <row r="292" ht="17.45" customHeight="1" x14ac:dyDescent="0.25"/>
    <row r="293" ht="17.45" customHeight="1" x14ac:dyDescent="0.25"/>
    <row r="294" ht="17.45" customHeight="1" x14ac:dyDescent="0.25"/>
    <row r="295" ht="17.45" customHeight="1" x14ac:dyDescent="0.25"/>
    <row r="296" ht="17.45" customHeight="1" x14ac:dyDescent="0.25"/>
    <row r="297" ht="17.45" customHeight="1" x14ac:dyDescent="0.25"/>
    <row r="298" ht="17.45" customHeight="1" x14ac:dyDescent="0.25"/>
    <row r="299" ht="17.45" customHeight="1" x14ac:dyDescent="0.25"/>
    <row r="300" ht="17.45" customHeight="1" x14ac:dyDescent="0.25"/>
    <row r="301" ht="17.45" customHeight="1" x14ac:dyDescent="0.25"/>
    <row r="302" ht="17.45" customHeight="1" x14ac:dyDescent="0.25"/>
    <row r="303" ht="17.45" customHeight="1" x14ac:dyDescent="0.25"/>
    <row r="304" ht="17.45" customHeight="1" x14ac:dyDescent="0.25"/>
    <row r="305" ht="17.45" customHeight="1" x14ac:dyDescent="0.25"/>
    <row r="306" ht="17.45" customHeight="1" x14ac:dyDescent="0.25"/>
    <row r="307" ht="17.45" customHeight="1" x14ac:dyDescent="0.25"/>
    <row r="308" ht="17.45" customHeight="1" x14ac:dyDescent="0.25"/>
    <row r="309" ht="17.45" customHeight="1" x14ac:dyDescent="0.25"/>
    <row r="310" ht="17.45" customHeight="1" x14ac:dyDescent="0.25"/>
    <row r="311" ht="17.45" customHeight="1" x14ac:dyDescent="0.25"/>
    <row r="312" ht="17.45" customHeight="1" x14ac:dyDescent="0.25"/>
    <row r="313" ht="17.45" customHeight="1" x14ac:dyDescent="0.25"/>
    <row r="314" ht="17.45" customHeight="1" x14ac:dyDescent="0.25"/>
    <row r="315" ht="17.45" customHeight="1" x14ac:dyDescent="0.25"/>
    <row r="316" ht="17.45" customHeight="1" x14ac:dyDescent="0.25"/>
    <row r="317" ht="17.45" customHeight="1" x14ac:dyDescent="0.25"/>
    <row r="318" ht="17.45" customHeight="1" x14ac:dyDescent="0.25"/>
    <row r="319" ht="17.45" customHeight="1" x14ac:dyDescent="0.25"/>
    <row r="320" ht="17.45" customHeight="1" x14ac:dyDescent="0.25"/>
    <row r="321" ht="17.45" customHeight="1" x14ac:dyDescent="0.25"/>
    <row r="322" ht="17.45" customHeight="1" x14ac:dyDescent="0.25"/>
    <row r="323" ht="17.45" customHeight="1" x14ac:dyDescent="0.25"/>
    <row r="324" ht="17.45" customHeight="1" x14ac:dyDescent="0.25"/>
    <row r="325" ht="17.45" customHeight="1" x14ac:dyDescent="0.25"/>
    <row r="326" ht="17.45" customHeight="1" x14ac:dyDescent="0.25"/>
    <row r="327" ht="17.45" customHeight="1" x14ac:dyDescent="0.25"/>
    <row r="328" ht="17.45" customHeight="1" x14ac:dyDescent="0.25"/>
    <row r="329" ht="17.45" customHeight="1" x14ac:dyDescent="0.25"/>
    <row r="330" ht="17.45" customHeight="1" x14ac:dyDescent="0.25"/>
    <row r="331" ht="17.45" customHeight="1" x14ac:dyDescent="0.25"/>
    <row r="332" ht="17.45" customHeight="1" x14ac:dyDescent="0.25"/>
    <row r="333" ht="17.45" customHeight="1" x14ac:dyDescent="0.25"/>
    <row r="334" ht="17.45" customHeight="1" x14ac:dyDescent="0.25"/>
    <row r="335" ht="17.45" customHeight="1" x14ac:dyDescent="0.25"/>
    <row r="336" ht="17.45" customHeight="1" x14ac:dyDescent="0.25"/>
    <row r="337" ht="17.45" customHeight="1" x14ac:dyDescent="0.25"/>
    <row r="338" ht="17.45" customHeight="1" x14ac:dyDescent="0.25"/>
    <row r="339" ht="17.45" customHeight="1" x14ac:dyDescent="0.25"/>
    <row r="340" ht="17.45" customHeight="1" x14ac:dyDescent="0.25"/>
    <row r="341" ht="17.45" customHeight="1" x14ac:dyDescent="0.25"/>
    <row r="342" ht="17.45" customHeight="1" x14ac:dyDescent="0.25"/>
    <row r="343" ht="17.45" customHeight="1" x14ac:dyDescent="0.25"/>
    <row r="344" ht="17.45" customHeight="1" x14ac:dyDescent="0.25"/>
    <row r="345" ht="17.45" customHeight="1" x14ac:dyDescent="0.25"/>
    <row r="346" ht="17.45" customHeight="1" x14ac:dyDescent="0.25"/>
    <row r="347" ht="17.45" customHeight="1" x14ac:dyDescent="0.25"/>
    <row r="348" ht="17.45" customHeight="1" x14ac:dyDescent="0.25"/>
    <row r="349" ht="17.45" customHeight="1" x14ac:dyDescent="0.25"/>
    <row r="350" ht="17.45" customHeight="1" x14ac:dyDescent="0.25"/>
    <row r="351" ht="17.45" customHeight="1" x14ac:dyDescent="0.25"/>
    <row r="352" ht="17.45" customHeight="1" x14ac:dyDescent="0.25"/>
    <row r="353" ht="17.45" customHeight="1" x14ac:dyDescent="0.25"/>
    <row r="354" ht="17.45" customHeight="1" x14ac:dyDescent="0.25"/>
    <row r="355" ht="17.45" customHeight="1" x14ac:dyDescent="0.25"/>
    <row r="356" ht="17.45" customHeight="1" x14ac:dyDescent="0.25"/>
    <row r="357" ht="17.45" customHeight="1" x14ac:dyDescent="0.25"/>
    <row r="358" ht="17.45" customHeight="1" x14ac:dyDescent="0.25"/>
    <row r="359" ht="17.45" customHeight="1" x14ac:dyDescent="0.25"/>
    <row r="360" ht="17.45" customHeight="1" x14ac:dyDescent="0.25"/>
    <row r="361" ht="17.45" customHeight="1" x14ac:dyDescent="0.25"/>
    <row r="362" ht="17.45" customHeight="1" x14ac:dyDescent="0.25"/>
    <row r="363" ht="17.45" customHeight="1" x14ac:dyDescent="0.25"/>
    <row r="364" ht="17.45" customHeight="1" x14ac:dyDescent="0.25"/>
    <row r="365" ht="17.45" customHeight="1" x14ac:dyDescent="0.25"/>
    <row r="366" ht="17.45" customHeight="1" x14ac:dyDescent="0.25"/>
    <row r="367" ht="17.45" customHeight="1" x14ac:dyDescent="0.25"/>
    <row r="368" ht="17.45" customHeight="1" x14ac:dyDescent="0.25"/>
    <row r="369" ht="17.45" customHeight="1" x14ac:dyDescent="0.25"/>
    <row r="370" ht="17.45" customHeight="1" x14ac:dyDescent="0.25"/>
    <row r="371" ht="17.45" customHeight="1" x14ac:dyDescent="0.25"/>
    <row r="372" ht="17.45" customHeight="1" x14ac:dyDescent="0.25"/>
    <row r="373" ht="17.45" customHeight="1" x14ac:dyDescent="0.25"/>
    <row r="374" ht="17.45" customHeight="1" x14ac:dyDescent="0.25"/>
    <row r="375" ht="17.45" customHeight="1" x14ac:dyDescent="0.25"/>
    <row r="376" ht="17.45" customHeight="1" x14ac:dyDescent="0.25"/>
    <row r="377" ht="17.45" customHeight="1" x14ac:dyDescent="0.25"/>
    <row r="378" ht="17.45" customHeight="1" x14ac:dyDescent="0.25"/>
    <row r="379" ht="17.45" customHeight="1" x14ac:dyDescent="0.25"/>
    <row r="380" ht="17.45" customHeight="1" x14ac:dyDescent="0.25"/>
    <row r="381" ht="17.45" customHeight="1" x14ac:dyDescent="0.25"/>
    <row r="382" ht="17.45" customHeight="1" x14ac:dyDescent="0.25"/>
    <row r="383" ht="17.45" customHeight="1" x14ac:dyDescent="0.25"/>
    <row r="384" ht="17.45" customHeight="1" x14ac:dyDescent="0.25"/>
    <row r="385" ht="17.45" customHeight="1" x14ac:dyDescent="0.25"/>
    <row r="386" ht="17.45" customHeight="1" x14ac:dyDescent="0.25"/>
    <row r="387" ht="17.45" customHeight="1" x14ac:dyDescent="0.25"/>
    <row r="388" ht="17.45" customHeight="1" x14ac:dyDescent="0.25"/>
    <row r="389" ht="17.45" customHeight="1" x14ac:dyDescent="0.25"/>
    <row r="390" ht="17.45" customHeight="1" x14ac:dyDescent="0.25"/>
    <row r="391" ht="17.45" customHeight="1" x14ac:dyDescent="0.25"/>
    <row r="392" ht="17.45" customHeight="1" x14ac:dyDescent="0.25"/>
    <row r="393" ht="17.45" customHeight="1" x14ac:dyDescent="0.25"/>
    <row r="394" ht="17.45" customHeight="1" x14ac:dyDescent="0.25"/>
    <row r="395" ht="17.45" customHeight="1" x14ac:dyDescent="0.25"/>
    <row r="396" ht="17.45" customHeight="1" x14ac:dyDescent="0.25"/>
    <row r="397" ht="17.45" customHeight="1" x14ac:dyDescent="0.25"/>
    <row r="398" ht="17.45" customHeight="1" x14ac:dyDescent="0.25"/>
    <row r="399" ht="17.45" customHeight="1" x14ac:dyDescent="0.25"/>
    <row r="400" ht="17.45" customHeight="1" x14ac:dyDescent="0.25"/>
    <row r="401" ht="17.45" customHeight="1" x14ac:dyDescent="0.25"/>
    <row r="402" ht="17.45" customHeight="1" x14ac:dyDescent="0.25"/>
    <row r="403" ht="17.45" customHeight="1" x14ac:dyDescent="0.25"/>
    <row r="404" ht="17.45" customHeight="1" x14ac:dyDescent="0.25"/>
    <row r="405" ht="17.45" customHeight="1" x14ac:dyDescent="0.25"/>
    <row r="406" ht="17.45" customHeight="1" x14ac:dyDescent="0.25"/>
    <row r="407" ht="17.45" customHeight="1" x14ac:dyDescent="0.25"/>
    <row r="408" ht="17.45" customHeight="1" x14ac:dyDescent="0.25"/>
    <row r="409" ht="17.45" customHeight="1" x14ac:dyDescent="0.25"/>
    <row r="410" ht="17.45" customHeight="1" x14ac:dyDescent="0.25"/>
    <row r="411" ht="17.45" customHeight="1" x14ac:dyDescent="0.25"/>
    <row r="412" ht="17.45" customHeight="1" x14ac:dyDescent="0.25"/>
    <row r="413" ht="17.45" customHeight="1" x14ac:dyDescent="0.25"/>
    <row r="414" ht="17.45" customHeight="1" x14ac:dyDescent="0.25"/>
    <row r="415" ht="17.45" customHeight="1" x14ac:dyDescent="0.25"/>
    <row r="416" ht="17.45" customHeight="1" x14ac:dyDescent="0.25"/>
    <row r="417" ht="17.45" customHeight="1" x14ac:dyDescent="0.25"/>
    <row r="418" ht="17.45" customHeight="1" x14ac:dyDescent="0.25"/>
    <row r="419" ht="17.45" customHeight="1" x14ac:dyDescent="0.25"/>
    <row r="420" ht="17.45" customHeight="1" x14ac:dyDescent="0.25"/>
    <row r="421" ht="17.45" customHeight="1" x14ac:dyDescent="0.25"/>
    <row r="422" ht="17.45" customHeight="1" x14ac:dyDescent="0.25"/>
    <row r="423" ht="17.45" customHeight="1" x14ac:dyDescent="0.25"/>
    <row r="424" ht="17.45" customHeight="1" x14ac:dyDescent="0.25"/>
    <row r="425" ht="17.45" customHeight="1" x14ac:dyDescent="0.25"/>
    <row r="426" ht="17.45" customHeight="1" x14ac:dyDescent="0.25"/>
    <row r="427" ht="17.45" customHeight="1" x14ac:dyDescent="0.25"/>
    <row r="428" ht="17.45" customHeight="1" x14ac:dyDescent="0.25"/>
    <row r="429" ht="17.45" customHeight="1" x14ac:dyDescent="0.25"/>
    <row r="430" ht="17.45" customHeight="1" x14ac:dyDescent="0.25"/>
    <row r="431" ht="17.45" customHeight="1" x14ac:dyDescent="0.25"/>
    <row r="432" ht="17.45" customHeight="1" x14ac:dyDescent="0.25"/>
    <row r="433" ht="17.45" customHeight="1" x14ac:dyDescent="0.25"/>
    <row r="434" ht="17.45" customHeight="1" x14ac:dyDescent="0.25"/>
    <row r="435" ht="17.45" customHeight="1" x14ac:dyDescent="0.25"/>
    <row r="436" ht="17.45" customHeight="1" x14ac:dyDescent="0.25"/>
    <row r="437" ht="17.45" customHeight="1" x14ac:dyDescent="0.25"/>
    <row r="438" ht="17.45" customHeight="1" x14ac:dyDescent="0.25"/>
    <row r="439" ht="17.45" customHeight="1" x14ac:dyDescent="0.25"/>
    <row r="440" ht="17.45" customHeight="1" x14ac:dyDescent="0.25"/>
    <row r="441" ht="17.45" customHeight="1" x14ac:dyDescent="0.25"/>
    <row r="442" ht="17.45" customHeight="1" x14ac:dyDescent="0.25"/>
    <row r="443" ht="17.45" customHeight="1" x14ac:dyDescent="0.25"/>
    <row r="444" ht="17.45" customHeight="1" x14ac:dyDescent="0.25"/>
    <row r="445" ht="17.45" customHeight="1" x14ac:dyDescent="0.25"/>
    <row r="446" ht="17.45" customHeight="1" x14ac:dyDescent="0.25"/>
    <row r="447" ht="17.45" customHeight="1" x14ac:dyDescent="0.25"/>
    <row r="448" ht="17.45" customHeight="1" x14ac:dyDescent="0.25"/>
    <row r="449" ht="17.45" customHeight="1" x14ac:dyDescent="0.25"/>
    <row r="450" ht="17.45" customHeight="1" x14ac:dyDescent="0.25"/>
    <row r="451" ht="17.45" customHeight="1" x14ac:dyDescent="0.25"/>
    <row r="452" ht="17.45" customHeight="1" x14ac:dyDescent="0.25"/>
    <row r="453" ht="17.45" customHeight="1" x14ac:dyDescent="0.25"/>
    <row r="454" ht="17.45" customHeight="1" x14ac:dyDescent="0.25"/>
    <row r="455" ht="17.45" customHeight="1" x14ac:dyDescent="0.25"/>
    <row r="456" ht="17.45" customHeight="1" x14ac:dyDescent="0.25"/>
    <row r="457" ht="17.45" customHeight="1" x14ac:dyDescent="0.25"/>
    <row r="458" ht="17.45" customHeight="1" x14ac:dyDescent="0.25"/>
    <row r="459" ht="17.45" customHeight="1" x14ac:dyDescent="0.25"/>
    <row r="460" ht="17.45" customHeight="1" x14ac:dyDescent="0.25"/>
    <row r="461" ht="17.45" customHeight="1" x14ac:dyDescent="0.25"/>
    <row r="462" ht="17.45" customHeight="1" x14ac:dyDescent="0.25"/>
    <row r="463" ht="17.45" customHeight="1" x14ac:dyDescent="0.25"/>
    <row r="464" ht="17.45" customHeight="1" x14ac:dyDescent="0.25"/>
    <row r="465" ht="17.45" customHeight="1" x14ac:dyDescent="0.25"/>
    <row r="466" ht="17.45" customHeight="1" x14ac:dyDescent="0.25"/>
    <row r="467" ht="17.45" customHeight="1" x14ac:dyDescent="0.25"/>
    <row r="468" ht="17.45" customHeight="1" x14ac:dyDescent="0.25"/>
    <row r="469" ht="17.45" customHeight="1" x14ac:dyDescent="0.25"/>
    <row r="470" ht="17.45" customHeight="1" x14ac:dyDescent="0.25"/>
    <row r="471" ht="17.45" customHeight="1" x14ac:dyDescent="0.25"/>
    <row r="472" ht="17.45" customHeight="1" x14ac:dyDescent="0.25"/>
    <row r="473" ht="17.45" customHeight="1" x14ac:dyDescent="0.25"/>
    <row r="474" ht="17.45" customHeight="1" x14ac:dyDescent="0.25"/>
    <row r="475" ht="17.45" customHeight="1" x14ac:dyDescent="0.25"/>
    <row r="476" ht="17.45" customHeight="1" x14ac:dyDescent="0.25"/>
    <row r="477" ht="17.45" customHeight="1" x14ac:dyDescent="0.25"/>
    <row r="478" ht="17.45" customHeight="1" x14ac:dyDescent="0.25"/>
    <row r="479" ht="17.45" customHeight="1" x14ac:dyDescent="0.25"/>
    <row r="480" ht="17.45" customHeight="1" x14ac:dyDescent="0.25"/>
    <row r="481" ht="17.45" customHeight="1" x14ac:dyDescent="0.25"/>
    <row r="482" ht="17.45" customHeight="1" x14ac:dyDescent="0.25"/>
    <row r="483" ht="17.45" customHeight="1" x14ac:dyDescent="0.25"/>
    <row r="484" ht="17.45" customHeight="1" x14ac:dyDescent="0.25"/>
    <row r="485" ht="17.45" customHeight="1" x14ac:dyDescent="0.25"/>
    <row r="486" ht="17.45" customHeight="1" x14ac:dyDescent="0.25"/>
    <row r="487" ht="17.45" customHeight="1" x14ac:dyDescent="0.25"/>
    <row r="488" ht="17.45" customHeight="1" x14ac:dyDescent="0.25"/>
    <row r="489" ht="17.45" customHeight="1" x14ac:dyDescent="0.25"/>
    <row r="490" ht="17.45" customHeight="1" x14ac:dyDescent="0.25"/>
    <row r="491" ht="17.45" customHeight="1" x14ac:dyDescent="0.25"/>
    <row r="492" ht="17.45" customHeight="1" x14ac:dyDescent="0.25"/>
    <row r="493" ht="17.45" customHeight="1" x14ac:dyDescent="0.25"/>
    <row r="494" ht="17.45" customHeight="1" x14ac:dyDescent="0.25"/>
    <row r="495" ht="17.45" customHeight="1" x14ac:dyDescent="0.25"/>
    <row r="496" ht="17.45" customHeight="1" x14ac:dyDescent="0.25"/>
    <row r="497" ht="17.45" customHeight="1" x14ac:dyDescent="0.25"/>
    <row r="498" ht="17.45" customHeight="1" x14ac:dyDescent="0.25"/>
    <row r="499" ht="17.45" customHeight="1" x14ac:dyDescent="0.25"/>
    <row r="500" ht="17.45" customHeight="1" x14ac:dyDescent="0.25"/>
    <row r="501" ht="17.45" customHeight="1" x14ac:dyDescent="0.25"/>
    <row r="502" ht="17.45" customHeight="1" x14ac:dyDescent="0.25"/>
    <row r="503" ht="17.45" customHeight="1" x14ac:dyDescent="0.25"/>
    <row r="504" ht="17.45" customHeight="1" x14ac:dyDescent="0.25"/>
    <row r="505" ht="17.45" customHeight="1" x14ac:dyDescent="0.25"/>
    <row r="506" ht="17.45" customHeight="1" x14ac:dyDescent="0.25"/>
    <row r="507" ht="17.45" customHeight="1" x14ac:dyDescent="0.25"/>
    <row r="508" ht="17.45" customHeight="1" x14ac:dyDescent="0.25"/>
    <row r="509" ht="17.45" customHeight="1" x14ac:dyDescent="0.25"/>
    <row r="510" ht="17.45" customHeight="1" x14ac:dyDescent="0.25"/>
    <row r="511" ht="17.45" customHeight="1" x14ac:dyDescent="0.25"/>
    <row r="512" ht="17.45" customHeight="1" x14ac:dyDescent="0.25"/>
    <row r="513" ht="17.45" customHeight="1" x14ac:dyDescent="0.25"/>
    <row r="514" ht="17.45" customHeight="1" x14ac:dyDescent="0.25"/>
    <row r="515" ht="17.45" customHeight="1" x14ac:dyDescent="0.25"/>
    <row r="516" ht="17.45" customHeight="1" x14ac:dyDescent="0.25"/>
    <row r="517" ht="17.45" customHeight="1" x14ac:dyDescent="0.25"/>
    <row r="518" ht="17.45" customHeight="1" x14ac:dyDescent="0.25"/>
    <row r="519" ht="17.45" customHeight="1" x14ac:dyDescent="0.25"/>
    <row r="520" ht="17.45" customHeight="1" x14ac:dyDescent="0.25"/>
    <row r="521" ht="17.45" customHeight="1" x14ac:dyDescent="0.25"/>
    <row r="522" ht="17.45" customHeight="1" x14ac:dyDescent="0.25"/>
    <row r="523" ht="17.45" customHeight="1" x14ac:dyDescent="0.25"/>
    <row r="524" ht="17.45" customHeight="1" x14ac:dyDescent="0.25"/>
    <row r="525" ht="17.45" customHeight="1" x14ac:dyDescent="0.25"/>
    <row r="526" ht="17.45" customHeight="1" x14ac:dyDescent="0.25"/>
    <row r="527" ht="17.45" customHeight="1" x14ac:dyDescent="0.25"/>
    <row r="528" ht="17.45" customHeight="1" x14ac:dyDescent="0.25"/>
    <row r="529" ht="17.45" customHeight="1" x14ac:dyDescent="0.25"/>
    <row r="530" ht="17.45" customHeight="1" x14ac:dyDescent="0.25"/>
    <row r="531" ht="17.45" customHeight="1" x14ac:dyDescent="0.25"/>
    <row r="532" ht="17.45" customHeight="1" x14ac:dyDescent="0.25"/>
    <row r="533" ht="17.45" customHeight="1" x14ac:dyDescent="0.25"/>
    <row r="534" ht="17.45" customHeight="1" x14ac:dyDescent="0.25"/>
    <row r="535" ht="17.45" customHeight="1" x14ac:dyDescent="0.25"/>
    <row r="536" ht="17.45" customHeight="1" x14ac:dyDescent="0.25"/>
    <row r="537" ht="17.45" customHeight="1" x14ac:dyDescent="0.25"/>
    <row r="538" ht="17.45" customHeight="1" x14ac:dyDescent="0.25"/>
    <row r="539" ht="17.45" customHeight="1" x14ac:dyDescent="0.25"/>
    <row r="540" ht="17.45" customHeight="1" x14ac:dyDescent="0.25"/>
    <row r="541" ht="17.45" customHeight="1" x14ac:dyDescent="0.25"/>
    <row r="542" ht="17.45" customHeight="1" x14ac:dyDescent="0.25"/>
    <row r="543" ht="17.45" customHeight="1" x14ac:dyDescent="0.25"/>
    <row r="544" ht="17.45" customHeight="1" x14ac:dyDescent="0.25"/>
    <row r="545" ht="17.45" customHeight="1" x14ac:dyDescent="0.25"/>
    <row r="546" ht="17.45" customHeight="1" x14ac:dyDescent="0.25"/>
    <row r="547" ht="17.45" customHeight="1" x14ac:dyDescent="0.25"/>
    <row r="548" ht="17.45" customHeight="1" x14ac:dyDescent="0.25"/>
    <row r="549" ht="17.45" customHeight="1" x14ac:dyDescent="0.25"/>
    <row r="550" ht="17.45" customHeight="1" x14ac:dyDescent="0.25"/>
    <row r="551" ht="17.45" customHeight="1" x14ac:dyDescent="0.25"/>
    <row r="552" ht="17.45" customHeight="1" x14ac:dyDescent="0.25"/>
    <row r="553" ht="17.45" customHeight="1" x14ac:dyDescent="0.25"/>
    <row r="554" ht="17.45" customHeight="1" x14ac:dyDescent="0.25"/>
    <row r="555" ht="17.45" customHeight="1" x14ac:dyDescent="0.25"/>
    <row r="556" ht="17.45" customHeight="1" x14ac:dyDescent="0.25"/>
    <row r="557" ht="17.45" customHeight="1" x14ac:dyDescent="0.25"/>
    <row r="558" ht="17.45" customHeight="1" x14ac:dyDescent="0.25"/>
    <row r="559" ht="17.45" customHeight="1" x14ac:dyDescent="0.25"/>
    <row r="560" ht="17.45" customHeight="1" x14ac:dyDescent="0.25"/>
    <row r="561" ht="17.45" customHeight="1" x14ac:dyDescent="0.25"/>
    <row r="562" ht="17.45" customHeight="1" x14ac:dyDescent="0.25"/>
    <row r="563" ht="17.45" customHeight="1" x14ac:dyDescent="0.25"/>
    <row r="564" ht="17.45" customHeight="1" x14ac:dyDescent="0.25"/>
    <row r="565" ht="17.45" customHeight="1" x14ac:dyDescent="0.25"/>
    <row r="566" ht="17.45" customHeight="1" x14ac:dyDescent="0.25"/>
    <row r="567" ht="17.45" customHeight="1" x14ac:dyDescent="0.25"/>
    <row r="568" ht="17.45" customHeight="1" x14ac:dyDescent="0.25"/>
    <row r="569" ht="17.45" customHeight="1" x14ac:dyDescent="0.25"/>
    <row r="570" ht="17.45" customHeight="1" x14ac:dyDescent="0.25"/>
    <row r="571" ht="17.45" customHeight="1" x14ac:dyDescent="0.25"/>
    <row r="572" ht="17.45" customHeight="1" x14ac:dyDescent="0.25"/>
    <row r="573" ht="17.45" customHeight="1" x14ac:dyDescent="0.25"/>
    <row r="574" ht="17.45" customHeight="1" x14ac:dyDescent="0.25"/>
    <row r="575" ht="17.45" customHeight="1" x14ac:dyDescent="0.25"/>
    <row r="576" ht="17.45" customHeight="1" x14ac:dyDescent="0.25"/>
    <row r="577" ht="17.45" customHeight="1" x14ac:dyDescent="0.25"/>
    <row r="578" ht="17.45" customHeight="1" x14ac:dyDescent="0.25"/>
    <row r="579" ht="17.45" customHeight="1" x14ac:dyDescent="0.25"/>
    <row r="580" ht="17.45" customHeight="1" x14ac:dyDescent="0.25"/>
    <row r="581" ht="17.45" customHeight="1" x14ac:dyDescent="0.25"/>
    <row r="582" ht="17.45" customHeight="1" x14ac:dyDescent="0.25"/>
    <row r="583" ht="17.45" customHeight="1" x14ac:dyDescent="0.25"/>
    <row r="584" ht="17.45" customHeight="1" x14ac:dyDescent="0.25"/>
    <row r="585" ht="17.45" customHeight="1" x14ac:dyDescent="0.25"/>
    <row r="586" ht="17.45" customHeight="1" x14ac:dyDescent="0.25"/>
    <row r="587" ht="17.45" customHeight="1" x14ac:dyDescent="0.25"/>
    <row r="588" ht="17.45" customHeight="1" x14ac:dyDescent="0.25"/>
    <row r="589" ht="17.45" customHeight="1" x14ac:dyDescent="0.25"/>
    <row r="590" ht="17.45" customHeight="1" x14ac:dyDescent="0.25"/>
    <row r="591" ht="17.45" customHeight="1" x14ac:dyDescent="0.25"/>
    <row r="592" ht="17.45" customHeight="1" x14ac:dyDescent="0.25"/>
    <row r="593" ht="17.45" customHeight="1" x14ac:dyDescent="0.25"/>
    <row r="594" ht="17.45" customHeight="1" x14ac:dyDescent="0.25"/>
    <row r="595" ht="17.45" customHeight="1" x14ac:dyDescent="0.25"/>
    <row r="596" ht="17.45" customHeight="1" x14ac:dyDescent="0.25"/>
    <row r="597" ht="17.45" customHeight="1" x14ac:dyDescent="0.25"/>
    <row r="598" ht="17.45" customHeight="1" x14ac:dyDescent="0.25"/>
    <row r="599" ht="17.45" customHeight="1" x14ac:dyDescent="0.25"/>
    <row r="600" ht="17.45" customHeight="1" x14ac:dyDescent="0.25"/>
    <row r="601" ht="17.45" customHeight="1" x14ac:dyDescent="0.25"/>
    <row r="602" ht="17.45" customHeight="1" x14ac:dyDescent="0.25"/>
    <row r="603" ht="17.45" customHeight="1" x14ac:dyDescent="0.25"/>
    <row r="604" ht="17.45" customHeight="1" x14ac:dyDescent="0.25"/>
    <row r="605" ht="17.45" customHeight="1" x14ac:dyDescent="0.25"/>
    <row r="606" ht="17.45" customHeight="1" x14ac:dyDescent="0.25"/>
    <row r="607" ht="17.45" customHeight="1" x14ac:dyDescent="0.25"/>
    <row r="608" ht="17.45" customHeight="1" x14ac:dyDescent="0.25"/>
    <row r="609" ht="17.45" customHeight="1" x14ac:dyDescent="0.25"/>
    <row r="610" ht="17.45" customHeight="1" x14ac:dyDescent="0.25"/>
    <row r="611" ht="17.45" customHeight="1" x14ac:dyDescent="0.25"/>
    <row r="612" ht="17.45" customHeight="1" x14ac:dyDescent="0.25"/>
    <row r="613" ht="17.45" customHeight="1" x14ac:dyDescent="0.25"/>
    <row r="614" ht="17.45" customHeight="1" x14ac:dyDescent="0.25"/>
    <row r="615" ht="17.45" customHeight="1" x14ac:dyDescent="0.25"/>
    <row r="616" ht="17.45" customHeight="1" x14ac:dyDescent="0.25"/>
    <row r="617" ht="17.45" customHeight="1" x14ac:dyDescent="0.25"/>
    <row r="618" ht="17.45" customHeight="1" x14ac:dyDescent="0.25"/>
    <row r="619" ht="17.45" customHeight="1" x14ac:dyDescent="0.25"/>
    <row r="620" ht="17.45" customHeight="1" x14ac:dyDescent="0.25"/>
    <row r="621" ht="17.45" customHeight="1" x14ac:dyDescent="0.25"/>
    <row r="622" ht="17.45" customHeight="1" x14ac:dyDescent="0.25"/>
    <row r="623" ht="17.45" customHeight="1" x14ac:dyDescent="0.25"/>
    <row r="624" ht="17.45" customHeight="1" x14ac:dyDescent="0.25"/>
    <row r="625" ht="17.45" customHeight="1" x14ac:dyDescent="0.25"/>
    <row r="626" ht="17.45" customHeight="1" x14ac:dyDescent="0.25"/>
    <row r="627" ht="17.45" customHeight="1" x14ac:dyDescent="0.25"/>
    <row r="628" ht="17.45" customHeight="1" x14ac:dyDescent="0.25"/>
    <row r="629" ht="17.45" customHeight="1" x14ac:dyDescent="0.25"/>
    <row r="630" ht="17.45" customHeight="1" x14ac:dyDescent="0.25"/>
    <row r="631" ht="17.45" customHeight="1" x14ac:dyDescent="0.25"/>
    <row r="632" ht="17.45" customHeight="1" x14ac:dyDescent="0.25"/>
    <row r="633" ht="17.45" customHeight="1" x14ac:dyDescent="0.25"/>
    <row r="634" ht="17.45" customHeight="1" x14ac:dyDescent="0.25"/>
    <row r="635" ht="17.45" customHeight="1" x14ac:dyDescent="0.25"/>
    <row r="636" ht="17.45" customHeight="1" x14ac:dyDescent="0.25"/>
    <row r="637" ht="17.45" customHeight="1" x14ac:dyDescent="0.25"/>
    <row r="638" ht="17.45" customHeight="1" x14ac:dyDescent="0.25"/>
    <row r="639" ht="17.45" customHeight="1" x14ac:dyDescent="0.25"/>
    <row r="640" ht="17.45" customHeight="1" x14ac:dyDescent="0.25"/>
    <row r="641" ht="17.45" customHeight="1" x14ac:dyDescent="0.25"/>
    <row r="642" ht="17.45" customHeight="1" x14ac:dyDescent="0.25"/>
    <row r="643" ht="17.45" customHeight="1" x14ac:dyDescent="0.25"/>
    <row r="644" ht="17.45" customHeight="1" x14ac:dyDescent="0.25"/>
    <row r="645" ht="17.45" customHeight="1" x14ac:dyDescent="0.25"/>
    <row r="646" ht="17.45" customHeight="1" x14ac:dyDescent="0.25"/>
    <row r="647" ht="17.45" customHeight="1" x14ac:dyDescent="0.25"/>
    <row r="648" ht="17.45" customHeight="1" x14ac:dyDescent="0.25"/>
    <row r="649" ht="17.45" customHeight="1" x14ac:dyDescent="0.25"/>
    <row r="650" ht="17.45" customHeight="1" x14ac:dyDescent="0.25"/>
    <row r="651" ht="17.45" customHeight="1" x14ac:dyDescent="0.25"/>
    <row r="652" ht="17.45" customHeight="1" x14ac:dyDescent="0.25"/>
    <row r="653" ht="17.45" customHeight="1" x14ac:dyDescent="0.25"/>
    <row r="654" ht="17.45" customHeight="1" x14ac:dyDescent="0.25"/>
    <row r="655" ht="17.45" customHeight="1" x14ac:dyDescent="0.25"/>
    <row r="656" ht="17.45" customHeight="1" x14ac:dyDescent="0.25"/>
    <row r="657" ht="17.45" customHeight="1" x14ac:dyDescent="0.25"/>
    <row r="658" ht="17.45" customHeight="1" x14ac:dyDescent="0.25"/>
    <row r="659" ht="17.45" customHeight="1" x14ac:dyDescent="0.25"/>
    <row r="660" ht="17.45" customHeight="1" x14ac:dyDescent="0.25"/>
    <row r="661" ht="17.45" customHeight="1" x14ac:dyDescent="0.25"/>
    <row r="662" ht="17.45" customHeight="1" x14ac:dyDescent="0.25"/>
    <row r="663" ht="17.45" customHeight="1" x14ac:dyDescent="0.25"/>
    <row r="664" ht="17.45" customHeight="1" x14ac:dyDescent="0.25"/>
    <row r="665" ht="17.45" customHeight="1" x14ac:dyDescent="0.25"/>
    <row r="666" ht="17.45" customHeight="1" x14ac:dyDescent="0.25"/>
    <row r="667" ht="17.45" customHeight="1" x14ac:dyDescent="0.25"/>
    <row r="668" ht="17.45" customHeight="1" x14ac:dyDescent="0.25"/>
    <row r="669" ht="17.45" customHeight="1" x14ac:dyDescent="0.25"/>
    <row r="670" ht="17.45" customHeight="1" x14ac:dyDescent="0.25"/>
    <row r="671" ht="17.45" customHeight="1" x14ac:dyDescent="0.25"/>
    <row r="672" ht="17.45" customHeight="1" x14ac:dyDescent="0.25"/>
    <row r="673" ht="17.45" customHeight="1" x14ac:dyDescent="0.25"/>
    <row r="674" ht="17.45" customHeight="1" x14ac:dyDescent="0.25"/>
    <row r="675" ht="17.45" customHeight="1" x14ac:dyDescent="0.25"/>
    <row r="676" ht="17.45" customHeight="1" x14ac:dyDescent="0.25"/>
    <row r="677" ht="17.45" customHeight="1" x14ac:dyDescent="0.25"/>
    <row r="678" ht="17.45" customHeight="1" x14ac:dyDescent="0.25"/>
    <row r="679" ht="17.45" customHeight="1" x14ac:dyDescent="0.25"/>
    <row r="680" ht="17.45" customHeight="1" x14ac:dyDescent="0.25"/>
    <row r="681" ht="17.45" customHeight="1" x14ac:dyDescent="0.25"/>
    <row r="682" ht="17.45" customHeight="1" x14ac:dyDescent="0.25"/>
    <row r="683" ht="17.45" customHeight="1" x14ac:dyDescent="0.25"/>
    <row r="684" ht="17.45" customHeight="1" x14ac:dyDescent="0.25"/>
    <row r="685" ht="17.45" customHeight="1" x14ac:dyDescent="0.25"/>
    <row r="686" ht="17.45" customHeight="1" x14ac:dyDescent="0.25"/>
    <row r="687" ht="17.45" customHeight="1" x14ac:dyDescent="0.25"/>
    <row r="688" ht="17.45" customHeight="1" x14ac:dyDescent="0.25"/>
    <row r="689" ht="17.45" customHeight="1" x14ac:dyDescent="0.25"/>
    <row r="690" ht="17.45" customHeight="1" x14ac:dyDescent="0.25"/>
    <row r="691" ht="17.45" customHeight="1" x14ac:dyDescent="0.25"/>
    <row r="692" ht="17.45" customHeight="1" x14ac:dyDescent="0.25"/>
    <row r="693" ht="17.45" customHeight="1" x14ac:dyDescent="0.25"/>
    <row r="694" ht="17.45" customHeight="1" x14ac:dyDescent="0.25"/>
    <row r="695" ht="17.45" customHeight="1" x14ac:dyDescent="0.25"/>
    <row r="696" ht="17.45" customHeight="1" x14ac:dyDescent="0.25"/>
    <row r="697" ht="17.45" customHeight="1" x14ac:dyDescent="0.25"/>
    <row r="698" ht="17.45" customHeight="1" x14ac:dyDescent="0.25"/>
    <row r="699" ht="17.45" customHeight="1" x14ac:dyDescent="0.25"/>
    <row r="700" ht="17.45" customHeight="1" x14ac:dyDescent="0.25"/>
    <row r="701" ht="17.45" customHeight="1" x14ac:dyDescent="0.25"/>
    <row r="702" ht="17.45" customHeight="1" x14ac:dyDescent="0.25"/>
    <row r="703" ht="17.45" customHeight="1" x14ac:dyDescent="0.25"/>
    <row r="704" ht="17.45" customHeight="1" x14ac:dyDescent="0.25"/>
    <row r="705" ht="17.45" customHeight="1" x14ac:dyDescent="0.25"/>
    <row r="706" ht="17.45" customHeight="1" x14ac:dyDescent="0.25"/>
    <row r="707" ht="17.45" customHeight="1" x14ac:dyDescent="0.25"/>
    <row r="708" ht="17.45" customHeight="1" x14ac:dyDescent="0.25"/>
    <row r="709" ht="17.45" customHeight="1" x14ac:dyDescent="0.25"/>
    <row r="710" ht="17.45" customHeight="1" x14ac:dyDescent="0.25"/>
    <row r="711" ht="17.45" customHeight="1" x14ac:dyDescent="0.25"/>
    <row r="712" ht="17.45" customHeight="1" x14ac:dyDescent="0.25"/>
    <row r="713" ht="17.45" customHeight="1" x14ac:dyDescent="0.25"/>
    <row r="714" ht="17.45" customHeight="1" x14ac:dyDescent="0.25"/>
    <row r="715" ht="17.45" customHeight="1" x14ac:dyDescent="0.25"/>
    <row r="716" ht="17.45" customHeight="1" x14ac:dyDescent="0.25"/>
    <row r="717" ht="17.45" customHeight="1" x14ac:dyDescent="0.25"/>
    <row r="718" ht="17.45" customHeight="1" x14ac:dyDescent="0.25"/>
    <row r="719" ht="17.45" customHeight="1" x14ac:dyDescent="0.25"/>
    <row r="720" ht="17.45" customHeight="1" x14ac:dyDescent="0.25"/>
    <row r="721" ht="17.45" customHeight="1" x14ac:dyDescent="0.25"/>
    <row r="722" ht="17.45" customHeight="1" x14ac:dyDescent="0.25"/>
    <row r="723" ht="17.45" customHeight="1" x14ac:dyDescent="0.25"/>
    <row r="724" ht="17.45" customHeight="1" x14ac:dyDescent="0.25"/>
    <row r="725" ht="17.45" customHeight="1" x14ac:dyDescent="0.25"/>
    <row r="726" ht="17.45" customHeight="1" x14ac:dyDescent="0.25"/>
    <row r="727" ht="17.45" customHeight="1" x14ac:dyDescent="0.25"/>
    <row r="728" ht="17.45" customHeight="1" x14ac:dyDescent="0.25"/>
    <row r="729" ht="17.45" customHeight="1" x14ac:dyDescent="0.25"/>
    <row r="730" ht="17.45" customHeight="1" x14ac:dyDescent="0.25"/>
    <row r="731" ht="17.45" customHeight="1" x14ac:dyDescent="0.25"/>
    <row r="732" ht="17.45" customHeight="1" x14ac:dyDescent="0.25"/>
    <row r="733" ht="17.45" customHeight="1" x14ac:dyDescent="0.25"/>
    <row r="734" ht="17.45" customHeight="1" x14ac:dyDescent="0.25"/>
    <row r="735" ht="17.45" customHeight="1" x14ac:dyDescent="0.25"/>
    <row r="736" ht="17.45" customHeight="1" x14ac:dyDescent="0.25"/>
    <row r="737" ht="17.45" customHeight="1" x14ac:dyDescent="0.25"/>
    <row r="738" ht="17.45" customHeight="1" x14ac:dyDescent="0.25"/>
    <row r="739" ht="17.45" customHeight="1" x14ac:dyDescent="0.25"/>
    <row r="740" ht="17.45" customHeight="1" x14ac:dyDescent="0.25"/>
    <row r="741" ht="17.45" customHeight="1" x14ac:dyDescent="0.25"/>
    <row r="742" ht="17.45" customHeight="1" x14ac:dyDescent="0.25"/>
    <row r="743" ht="17.45" customHeight="1" x14ac:dyDescent="0.25"/>
    <row r="744" ht="17.45" customHeight="1" x14ac:dyDescent="0.25"/>
    <row r="745" ht="17.45" customHeight="1" x14ac:dyDescent="0.25"/>
    <row r="746" ht="17.45" customHeight="1" x14ac:dyDescent="0.25"/>
    <row r="747" ht="17.45" customHeight="1" x14ac:dyDescent="0.25"/>
    <row r="748" ht="17.45" customHeight="1" x14ac:dyDescent="0.25"/>
    <row r="749" ht="17.45" customHeight="1" x14ac:dyDescent="0.25"/>
    <row r="750" ht="17.45" customHeight="1" x14ac:dyDescent="0.25"/>
    <row r="751" ht="17.45" customHeight="1" x14ac:dyDescent="0.25"/>
    <row r="752" ht="17.45" customHeight="1" x14ac:dyDescent="0.25"/>
    <row r="753" ht="17.45" customHeight="1" x14ac:dyDescent="0.25"/>
    <row r="754" ht="17.45" customHeight="1" x14ac:dyDescent="0.25"/>
    <row r="755" ht="17.45" customHeight="1" x14ac:dyDescent="0.25"/>
    <row r="756" ht="17.45" customHeight="1" x14ac:dyDescent="0.25"/>
    <row r="757" ht="17.45" customHeight="1" x14ac:dyDescent="0.25"/>
    <row r="758" ht="17.45" customHeight="1" x14ac:dyDescent="0.25"/>
    <row r="759" ht="17.45" customHeight="1" x14ac:dyDescent="0.25"/>
    <row r="760" ht="17.45" customHeight="1" x14ac:dyDescent="0.25"/>
    <row r="761" ht="17.45" customHeight="1" x14ac:dyDescent="0.25"/>
    <row r="762" ht="17.45" customHeight="1" x14ac:dyDescent="0.25"/>
    <row r="763" ht="17.45" customHeight="1" x14ac:dyDescent="0.25"/>
    <row r="764" ht="17.45" customHeight="1" x14ac:dyDescent="0.25"/>
    <row r="765" ht="17.45" customHeight="1" x14ac:dyDescent="0.25"/>
    <row r="766" ht="17.45" customHeight="1" x14ac:dyDescent="0.25"/>
    <row r="767" ht="17.45" customHeight="1" x14ac:dyDescent="0.25"/>
    <row r="768" ht="17.45" customHeight="1" x14ac:dyDescent="0.25"/>
    <row r="769" ht="17.45" customHeight="1" x14ac:dyDescent="0.25"/>
    <row r="770" ht="17.45" customHeight="1" x14ac:dyDescent="0.25"/>
    <row r="771" ht="17.45" customHeight="1" x14ac:dyDescent="0.25"/>
    <row r="772" ht="17.45" customHeight="1" x14ac:dyDescent="0.25"/>
    <row r="773" ht="17.45" customHeight="1" x14ac:dyDescent="0.25"/>
    <row r="774" ht="17.45" customHeight="1" x14ac:dyDescent="0.25"/>
    <row r="775" ht="17.45" customHeight="1" x14ac:dyDescent="0.25"/>
    <row r="776" ht="17.45" customHeight="1" x14ac:dyDescent="0.25"/>
    <row r="777" ht="17.45" customHeight="1" x14ac:dyDescent="0.25"/>
    <row r="778" ht="17.45" customHeight="1" x14ac:dyDescent="0.25"/>
    <row r="779" ht="17.45" customHeight="1" x14ac:dyDescent="0.25"/>
    <row r="780" ht="17.45" customHeight="1" x14ac:dyDescent="0.25"/>
    <row r="781" ht="17.45" customHeight="1" x14ac:dyDescent="0.25"/>
    <row r="782" ht="17.45" customHeight="1" x14ac:dyDescent="0.25"/>
    <row r="783" ht="17.45" customHeight="1" x14ac:dyDescent="0.25"/>
    <row r="784" ht="17.45" customHeight="1" x14ac:dyDescent="0.25"/>
    <row r="785" ht="17.45" customHeight="1" x14ac:dyDescent="0.25"/>
    <row r="786" ht="17.45" customHeight="1" x14ac:dyDescent="0.25"/>
    <row r="787" ht="17.45" customHeight="1" x14ac:dyDescent="0.25"/>
    <row r="788" ht="17.45" customHeight="1" x14ac:dyDescent="0.25"/>
    <row r="789" ht="17.45" customHeight="1" x14ac:dyDescent="0.25"/>
    <row r="790" ht="17.45" customHeight="1" x14ac:dyDescent="0.25"/>
    <row r="791" ht="17.45" customHeight="1" x14ac:dyDescent="0.25"/>
    <row r="792" ht="17.45" customHeight="1" x14ac:dyDescent="0.25"/>
    <row r="793" ht="17.45" customHeight="1" x14ac:dyDescent="0.25"/>
    <row r="794" ht="17.45" customHeight="1" x14ac:dyDescent="0.25"/>
    <row r="795" ht="17.45" customHeight="1" x14ac:dyDescent="0.25"/>
    <row r="796" ht="17.45" customHeight="1" x14ac:dyDescent="0.25"/>
    <row r="797" ht="17.45" customHeight="1" x14ac:dyDescent="0.25"/>
    <row r="798" ht="17.45" customHeight="1" x14ac:dyDescent="0.25"/>
    <row r="799" ht="17.45" customHeight="1" x14ac:dyDescent="0.25"/>
    <row r="800" ht="17.45" customHeight="1" x14ac:dyDescent="0.25"/>
    <row r="801" ht="17.45" customHeight="1" x14ac:dyDescent="0.25"/>
    <row r="802" ht="17.45" customHeight="1" x14ac:dyDescent="0.25"/>
    <row r="803" ht="17.45" customHeight="1" x14ac:dyDescent="0.25"/>
    <row r="804" ht="17.45" customHeight="1" x14ac:dyDescent="0.25"/>
    <row r="805" ht="17.45" customHeight="1" x14ac:dyDescent="0.25"/>
    <row r="806" ht="17.45" customHeight="1" x14ac:dyDescent="0.25"/>
    <row r="807" ht="17.45" customHeight="1" x14ac:dyDescent="0.25"/>
    <row r="808" ht="17.45" customHeight="1" x14ac:dyDescent="0.25"/>
    <row r="809" ht="17.45" customHeight="1" x14ac:dyDescent="0.25"/>
    <row r="810" ht="17.45" customHeight="1" x14ac:dyDescent="0.25"/>
    <row r="811" ht="17.45" customHeight="1" x14ac:dyDescent="0.25"/>
    <row r="812" ht="17.45" customHeight="1" x14ac:dyDescent="0.25"/>
    <row r="813" ht="17.45" customHeight="1" x14ac:dyDescent="0.25"/>
    <row r="814" ht="17.45" customHeight="1" x14ac:dyDescent="0.25"/>
    <row r="815" ht="17.45" customHeight="1" x14ac:dyDescent="0.25"/>
    <row r="816" ht="17.45" customHeight="1" x14ac:dyDescent="0.25"/>
    <row r="817" ht="17.45" customHeight="1" x14ac:dyDescent="0.25"/>
    <row r="818" ht="17.45" customHeight="1" x14ac:dyDescent="0.25"/>
    <row r="819" ht="17.45" customHeight="1" x14ac:dyDescent="0.25"/>
    <row r="820" ht="17.45" customHeight="1" x14ac:dyDescent="0.25"/>
    <row r="821" ht="17.45" customHeight="1" x14ac:dyDescent="0.25"/>
    <row r="822" ht="17.45" customHeight="1" x14ac:dyDescent="0.25"/>
    <row r="823" ht="17.45" customHeight="1" x14ac:dyDescent="0.25"/>
    <row r="824" ht="17.45" customHeight="1" x14ac:dyDescent="0.25"/>
    <row r="825" ht="17.45" customHeight="1" x14ac:dyDescent="0.25"/>
    <row r="826" ht="17.45" customHeight="1" x14ac:dyDescent="0.25"/>
    <row r="827" ht="17.45" customHeight="1" x14ac:dyDescent="0.25"/>
    <row r="828" ht="17.45" customHeight="1" x14ac:dyDescent="0.25"/>
    <row r="829" ht="17.45" customHeight="1" x14ac:dyDescent="0.25"/>
    <row r="830" ht="17.45" customHeight="1" x14ac:dyDescent="0.25"/>
    <row r="831" ht="17.45" customHeight="1" x14ac:dyDescent="0.25"/>
    <row r="832" ht="17.45" customHeight="1" x14ac:dyDescent="0.25"/>
    <row r="833" ht="17.45" customHeight="1" x14ac:dyDescent="0.25"/>
    <row r="834" ht="17.45" customHeight="1" x14ac:dyDescent="0.25"/>
    <row r="835" ht="17.45" customHeight="1" x14ac:dyDescent="0.25"/>
    <row r="836" ht="17.45" customHeight="1" x14ac:dyDescent="0.25"/>
    <row r="837" ht="17.45" customHeight="1" x14ac:dyDescent="0.25"/>
    <row r="838" ht="17.45" customHeight="1" x14ac:dyDescent="0.25"/>
    <row r="839" ht="17.45" customHeight="1" x14ac:dyDescent="0.25"/>
    <row r="840" ht="17.45" customHeight="1" x14ac:dyDescent="0.25"/>
    <row r="841" ht="17.45" customHeight="1" x14ac:dyDescent="0.25"/>
    <row r="842" ht="17.45" customHeight="1" x14ac:dyDescent="0.25"/>
    <row r="843" ht="17.45" customHeight="1" x14ac:dyDescent="0.25"/>
    <row r="844" ht="17.45" customHeight="1" x14ac:dyDescent="0.25"/>
    <row r="845" ht="17.45" customHeight="1" x14ac:dyDescent="0.25"/>
    <row r="846" ht="17.45" customHeight="1" x14ac:dyDescent="0.25"/>
    <row r="847" ht="17.45" customHeight="1" x14ac:dyDescent="0.25"/>
    <row r="848" ht="17.45" customHeight="1" x14ac:dyDescent="0.25"/>
    <row r="849" ht="17.45" customHeight="1" x14ac:dyDescent="0.25"/>
    <row r="850" ht="17.45" customHeight="1" x14ac:dyDescent="0.25"/>
    <row r="851" ht="17.45" customHeight="1" x14ac:dyDescent="0.25"/>
    <row r="852" ht="17.45" customHeight="1" x14ac:dyDescent="0.25"/>
    <row r="853" ht="17.45" customHeight="1" x14ac:dyDescent="0.25"/>
    <row r="854" ht="17.45" customHeight="1" x14ac:dyDescent="0.25"/>
    <row r="855" ht="17.45" customHeight="1" x14ac:dyDescent="0.25"/>
    <row r="856" ht="17.45" customHeight="1" x14ac:dyDescent="0.25"/>
    <row r="857" ht="17.45" customHeight="1" x14ac:dyDescent="0.25"/>
    <row r="858" ht="17.45" customHeight="1" x14ac:dyDescent="0.25"/>
    <row r="859" ht="17.45" customHeight="1" x14ac:dyDescent="0.25"/>
    <row r="860" ht="17.45" customHeight="1" x14ac:dyDescent="0.25"/>
    <row r="861" ht="17.45" customHeight="1" x14ac:dyDescent="0.25"/>
    <row r="862" ht="17.45" customHeight="1" x14ac:dyDescent="0.25"/>
    <row r="863" ht="17.45" customHeight="1" x14ac:dyDescent="0.25"/>
    <row r="864" ht="17.45" customHeight="1" x14ac:dyDescent="0.25"/>
    <row r="865" ht="17.45" customHeight="1" x14ac:dyDescent="0.25"/>
    <row r="866" ht="17.45" customHeight="1" x14ac:dyDescent="0.25"/>
    <row r="867" ht="17.45" customHeight="1" x14ac:dyDescent="0.25"/>
    <row r="868" ht="17.45" customHeight="1" x14ac:dyDescent="0.25"/>
    <row r="869" ht="17.45" customHeight="1" x14ac:dyDescent="0.25"/>
    <row r="870" ht="17.45" customHeight="1" x14ac:dyDescent="0.25"/>
    <row r="871" ht="17.45" customHeight="1" x14ac:dyDescent="0.25"/>
    <row r="872" ht="17.45" customHeight="1" x14ac:dyDescent="0.25"/>
    <row r="873" ht="17.45" customHeight="1" x14ac:dyDescent="0.25"/>
    <row r="874" ht="17.45" customHeight="1" x14ac:dyDescent="0.25"/>
    <row r="875" ht="17.45" customHeight="1" x14ac:dyDescent="0.25"/>
    <row r="876" ht="17.45" customHeight="1" x14ac:dyDescent="0.25"/>
    <row r="877" ht="17.45" customHeight="1" x14ac:dyDescent="0.25"/>
    <row r="878" ht="17.45" customHeight="1" x14ac:dyDescent="0.25"/>
    <row r="879" ht="17.45" customHeight="1" x14ac:dyDescent="0.25"/>
    <row r="880" ht="17.45" customHeight="1" x14ac:dyDescent="0.25"/>
    <row r="881" ht="17.45" customHeight="1" x14ac:dyDescent="0.25"/>
    <row r="882" ht="17.45" customHeight="1" x14ac:dyDescent="0.25"/>
    <row r="883" ht="17.45" customHeight="1" x14ac:dyDescent="0.25"/>
    <row r="884" ht="17.45" customHeight="1" x14ac:dyDescent="0.25"/>
    <row r="885" ht="17.45" customHeight="1" x14ac:dyDescent="0.25"/>
    <row r="886" ht="17.45" customHeight="1" x14ac:dyDescent="0.25"/>
    <row r="887" ht="17.45" customHeight="1" x14ac:dyDescent="0.25"/>
    <row r="888" ht="17.45" customHeight="1" x14ac:dyDescent="0.25"/>
    <row r="889" ht="17.45" customHeight="1" x14ac:dyDescent="0.25"/>
    <row r="890" ht="17.45" customHeight="1" x14ac:dyDescent="0.25"/>
    <row r="891" ht="17.45" customHeight="1" x14ac:dyDescent="0.25"/>
    <row r="892" ht="17.45" customHeight="1" x14ac:dyDescent="0.25"/>
    <row r="893" ht="17.45" customHeight="1" x14ac:dyDescent="0.25"/>
    <row r="894" ht="17.45" customHeight="1" x14ac:dyDescent="0.25"/>
    <row r="895" ht="17.45" customHeight="1" x14ac:dyDescent="0.25"/>
    <row r="896" ht="17.45" customHeight="1" x14ac:dyDescent="0.25"/>
    <row r="897" ht="17.45" customHeight="1" x14ac:dyDescent="0.25"/>
    <row r="898" ht="17.45" customHeight="1" x14ac:dyDescent="0.25"/>
    <row r="899" ht="17.45" customHeight="1" x14ac:dyDescent="0.25"/>
    <row r="900" ht="17.45" customHeight="1" x14ac:dyDescent="0.25"/>
    <row r="901" ht="17.45" customHeight="1" x14ac:dyDescent="0.25"/>
    <row r="902" ht="17.45" customHeight="1" x14ac:dyDescent="0.25"/>
    <row r="903" ht="17.45" customHeight="1" x14ac:dyDescent="0.25"/>
    <row r="904" ht="17.45" customHeight="1" x14ac:dyDescent="0.25"/>
    <row r="905" ht="17.45" customHeight="1" x14ac:dyDescent="0.25"/>
    <row r="906" ht="17.45" customHeight="1" x14ac:dyDescent="0.25"/>
    <row r="907" ht="17.45" customHeight="1" x14ac:dyDescent="0.25"/>
    <row r="908" ht="17.45" customHeight="1" x14ac:dyDescent="0.25"/>
    <row r="909" ht="17.45" customHeight="1" x14ac:dyDescent="0.25"/>
    <row r="910" ht="17.45" customHeight="1" x14ac:dyDescent="0.25"/>
    <row r="911" ht="17.45" customHeight="1" x14ac:dyDescent="0.25"/>
    <row r="912" ht="17.45" customHeight="1" x14ac:dyDescent="0.25"/>
    <row r="913" ht="17.45" customHeight="1" x14ac:dyDescent="0.25"/>
    <row r="914" ht="17.45" customHeight="1" x14ac:dyDescent="0.25"/>
    <row r="915" ht="17.45" customHeight="1" x14ac:dyDescent="0.25"/>
    <row r="916" ht="17.45" customHeight="1" x14ac:dyDescent="0.25"/>
    <row r="917" ht="17.45" customHeight="1" x14ac:dyDescent="0.25"/>
    <row r="918" ht="17.45" customHeight="1" x14ac:dyDescent="0.25"/>
    <row r="919" ht="17.45" customHeight="1" x14ac:dyDescent="0.25"/>
    <row r="920" ht="17.45" customHeight="1" x14ac:dyDescent="0.25"/>
    <row r="921" ht="17.45" customHeight="1" x14ac:dyDescent="0.25"/>
    <row r="922" ht="17.45" customHeight="1" x14ac:dyDescent="0.25"/>
    <row r="923" ht="17.45" customHeight="1" x14ac:dyDescent="0.25"/>
    <row r="924" ht="17.45" customHeight="1" x14ac:dyDescent="0.25"/>
    <row r="925" ht="17.45" customHeight="1" x14ac:dyDescent="0.25"/>
    <row r="926" ht="17.45" customHeight="1" x14ac:dyDescent="0.25"/>
    <row r="927" ht="17.45" customHeight="1" x14ac:dyDescent="0.25"/>
    <row r="928" ht="17.45" customHeight="1" x14ac:dyDescent="0.25"/>
    <row r="929" ht="17.45" customHeight="1" x14ac:dyDescent="0.25"/>
    <row r="930" ht="17.45" customHeight="1" x14ac:dyDescent="0.25"/>
    <row r="931" ht="17.45" customHeight="1" x14ac:dyDescent="0.25"/>
    <row r="932" ht="17.45" customHeight="1" x14ac:dyDescent="0.25"/>
    <row r="933" ht="17.45" customHeight="1" x14ac:dyDescent="0.25"/>
    <row r="934" ht="17.45" customHeight="1" x14ac:dyDescent="0.25"/>
    <row r="935" ht="17.45" customHeight="1" x14ac:dyDescent="0.25"/>
    <row r="936" ht="17.45" customHeight="1" x14ac:dyDescent="0.25"/>
    <row r="937" ht="17.45" customHeight="1" x14ac:dyDescent="0.25"/>
    <row r="938" ht="17.45" customHeight="1" x14ac:dyDescent="0.25"/>
    <row r="939" ht="17.45" customHeight="1" x14ac:dyDescent="0.25"/>
    <row r="940" ht="17.45" customHeight="1" x14ac:dyDescent="0.25"/>
    <row r="941" ht="17.45" customHeight="1" x14ac:dyDescent="0.25"/>
    <row r="942" ht="17.45" customHeight="1" x14ac:dyDescent="0.25"/>
    <row r="943" ht="17.45" customHeight="1" x14ac:dyDescent="0.25"/>
    <row r="944" ht="17.45" customHeight="1" x14ac:dyDescent="0.25"/>
    <row r="945" ht="17.45" customHeight="1" x14ac:dyDescent="0.25"/>
    <row r="946" ht="17.45" customHeight="1" x14ac:dyDescent="0.25"/>
    <row r="947" ht="17.45" customHeight="1" x14ac:dyDescent="0.25"/>
    <row r="948" ht="17.45" customHeight="1" x14ac:dyDescent="0.25"/>
    <row r="949" ht="17.45" customHeight="1" x14ac:dyDescent="0.25"/>
    <row r="950" ht="17.45" customHeight="1" x14ac:dyDescent="0.25"/>
    <row r="951" ht="17.45" customHeight="1" x14ac:dyDescent="0.25"/>
    <row r="952" ht="17.45" customHeight="1" x14ac:dyDescent="0.25"/>
    <row r="953" ht="17.45" customHeight="1" x14ac:dyDescent="0.25"/>
    <row r="954" ht="17.45" customHeight="1" x14ac:dyDescent="0.25"/>
    <row r="955" ht="17.45" customHeight="1" x14ac:dyDescent="0.25"/>
    <row r="956" ht="17.45" customHeight="1" x14ac:dyDescent="0.25"/>
    <row r="957" ht="17.45" customHeight="1" x14ac:dyDescent="0.25"/>
    <row r="958" ht="17.45" customHeight="1" x14ac:dyDescent="0.25"/>
    <row r="959" ht="17.45" customHeight="1" x14ac:dyDescent="0.25"/>
    <row r="960" ht="17.45" customHeight="1" x14ac:dyDescent="0.25"/>
    <row r="961" ht="17.45" customHeight="1" x14ac:dyDescent="0.25"/>
    <row r="962" ht="17.45" customHeight="1" x14ac:dyDescent="0.25"/>
    <row r="963" ht="17.45" customHeight="1" x14ac:dyDescent="0.25"/>
    <row r="964" ht="17.45" customHeight="1" x14ac:dyDescent="0.25"/>
    <row r="965" ht="17.45" customHeight="1" x14ac:dyDescent="0.25"/>
    <row r="966" ht="17.45" customHeight="1" x14ac:dyDescent="0.25"/>
    <row r="967" ht="17.45" customHeight="1" x14ac:dyDescent="0.25"/>
    <row r="968" ht="17.45" customHeight="1" x14ac:dyDescent="0.25"/>
    <row r="969" ht="17.45" customHeight="1" x14ac:dyDescent="0.25"/>
    <row r="970" ht="17.45" customHeight="1" x14ac:dyDescent="0.25"/>
    <row r="971" ht="17.45" customHeight="1" x14ac:dyDescent="0.25"/>
    <row r="972" ht="17.45" customHeight="1" x14ac:dyDescent="0.25"/>
    <row r="973" ht="17.45" customHeight="1" x14ac:dyDescent="0.25"/>
    <row r="974" ht="17.45" customHeight="1" x14ac:dyDescent="0.25"/>
    <row r="975" ht="17.45" customHeight="1" x14ac:dyDescent="0.25"/>
    <row r="976" ht="17.45" customHeight="1" x14ac:dyDescent="0.25"/>
    <row r="977" ht="17.45" customHeight="1" x14ac:dyDescent="0.25"/>
    <row r="978" ht="17.45" customHeight="1" x14ac:dyDescent="0.25"/>
    <row r="979" ht="17.45" customHeight="1" x14ac:dyDescent="0.25"/>
    <row r="980" ht="17.45" customHeight="1" x14ac:dyDescent="0.25"/>
    <row r="981" ht="17.45" customHeight="1" x14ac:dyDescent="0.25"/>
    <row r="982" ht="17.45" customHeight="1" x14ac:dyDescent="0.25"/>
    <row r="983" ht="17.45" customHeight="1" x14ac:dyDescent="0.25"/>
    <row r="984" ht="17.45" customHeight="1" x14ac:dyDescent="0.25"/>
    <row r="985" ht="17.45" customHeight="1" x14ac:dyDescent="0.25"/>
    <row r="986" ht="17.45" customHeight="1" x14ac:dyDescent="0.25"/>
    <row r="987" ht="17.45" customHeight="1" x14ac:dyDescent="0.25"/>
    <row r="988" ht="17.45" customHeight="1" x14ac:dyDescent="0.25"/>
    <row r="989" ht="17.45" customHeight="1" x14ac:dyDescent="0.25"/>
    <row r="990" ht="17.45" customHeight="1" x14ac:dyDescent="0.25"/>
    <row r="991" ht="17.45" customHeight="1" x14ac:dyDescent="0.25"/>
    <row r="992" ht="17.45" customHeight="1" x14ac:dyDescent="0.25"/>
    <row r="993" ht="17.45" customHeight="1" x14ac:dyDescent="0.25"/>
    <row r="994" ht="17.45" customHeight="1" x14ac:dyDescent="0.25"/>
    <row r="995" ht="17.45" customHeight="1" x14ac:dyDescent="0.25"/>
    <row r="996" ht="17.45" customHeight="1" x14ac:dyDescent="0.25"/>
    <row r="997" ht="17.45" customHeight="1" x14ac:dyDescent="0.25"/>
    <row r="998" ht="17.45" customHeight="1" x14ac:dyDescent="0.25"/>
    <row r="999" ht="17.45" customHeight="1" x14ac:dyDescent="0.25"/>
    <row r="1000" ht="17.45" customHeight="1" x14ac:dyDescent="0.25"/>
    <row r="1001" ht="17.45" customHeight="1" x14ac:dyDescent="0.25"/>
    <row r="1002" ht="17.45" customHeight="1" x14ac:dyDescent="0.25"/>
    <row r="1003" ht="17.45" customHeight="1" x14ac:dyDescent="0.25"/>
    <row r="1004" ht="17.45" customHeight="1" x14ac:dyDescent="0.25"/>
    <row r="1005" ht="17.45" customHeight="1" x14ac:dyDescent="0.25"/>
    <row r="1006" ht="17.45" customHeight="1" x14ac:dyDescent="0.25"/>
    <row r="1007" ht="17.45" customHeight="1" x14ac:dyDescent="0.25"/>
    <row r="1008" ht="17.45" customHeight="1" x14ac:dyDescent="0.25"/>
    <row r="1009" ht="17.45" customHeight="1" x14ac:dyDescent="0.25"/>
    <row r="1010" ht="17.45" customHeight="1" x14ac:dyDescent="0.25"/>
    <row r="1011" ht="17.45" customHeight="1" x14ac:dyDescent="0.25"/>
    <row r="1012" ht="17.45" customHeight="1" x14ac:dyDescent="0.25"/>
    <row r="1013" ht="17.45" customHeight="1" x14ac:dyDescent="0.25"/>
    <row r="1014" ht="17.45" customHeight="1" x14ac:dyDescent="0.25"/>
    <row r="1015" ht="17.45" customHeight="1" x14ac:dyDescent="0.25"/>
    <row r="1016" ht="17.45" customHeight="1" x14ac:dyDescent="0.25"/>
    <row r="1017" ht="17.45" customHeight="1" x14ac:dyDescent="0.25"/>
    <row r="1018" ht="17.45" customHeight="1" x14ac:dyDescent="0.25"/>
    <row r="1019" ht="17.45" customHeight="1" x14ac:dyDescent="0.25"/>
    <row r="1020" ht="17.45" customHeight="1" x14ac:dyDescent="0.25"/>
    <row r="1021" ht="17.45" customHeight="1" x14ac:dyDescent="0.25"/>
    <row r="1022" ht="17.45" customHeight="1" x14ac:dyDescent="0.25"/>
    <row r="1023" ht="17.45" customHeight="1" x14ac:dyDescent="0.25"/>
    <row r="1024" ht="17.45" customHeight="1" x14ac:dyDescent="0.25"/>
    <row r="1025" ht="17.45" customHeight="1" x14ac:dyDescent="0.25"/>
    <row r="1026" ht="17.45" customHeight="1" x14ac:dyDescent="0.25"/>
    <row r="1027" ht="17.45" customHeight="1" x14ac:dyDescent="0.25"/>
    <row r="1028" ht="17.45" customHeight="1" x14ac:dyDescent="0.25"/>
    <row r="1029" ht="17.45" customHeight="1" x14ac:dyDescent="0.25"/>
    <row r="1030" ht="17.45" customHeight="1" x14ac:dyDescent="0.25"/>
    <row r="1031" ht="17.45" customHeight="1" x14ac:dyDescent="0.25"/>
    <row r="1032" ht="17.45" customHeight="1" x14ac:dyDescent="0.25"/>
    <row r="1033" ht="17.45" customHeight="1" x14ac:dyDescent="0.25"/>
    <row r="1034" ht="17.45" customHeight="1" x14ac:dyDescent="0.25"/>
    <row r="1035" ht="17.45" customHeight="1" x14ac:dyDescent="0.25"/>
    <row r="1036" ht="17.45" customHeight="1" x14ac:dyDescent="0.25"/>
    <row r="1037" ht="17.45" customHeight="1" x14ac:dyDescent="0.25"/>
    <row r="1038" ht="17.45" customHeight="1" x14ac:dyDescent="0.25"/>
    <row r="1039" ht="17.45" customHeight="1" x14ac:dyDescent="0.25"/>
    <row r="1040" ht="17.45" customHeight="1" x14ac:dyDescent="0.25"/>
    <row r="1041" ht="17.45" customHeight="1" x14ac:dyDescent="0.25"/>
    <row r="1042" ht="17.45" customHeight="1" x14ac:dyDescent="0.25"/>
    <row r="1043" ht="17.45" customHeight="1" x14ac:dyDescent="0.25"/>
    <row r="1044" ht="17.45" customHeight="1" x14ac:dyDescent="0.25"/>
    <row r="1045" ht="17.45" customHeight="1" x14ac:dyDescent="0.25"/>
    <row r="1046" ht="17.45" customHeight="1" x14ac:dyDescent="0.25"/>
    <row r="1047" ht="17.45" customHeight="1" x14ac:dyDescent="0.25"/>
    <row r="1048" ht="17.45" customHeight="1" x14ac:dyDescent="0.25"/>
    <row r="1049" ht="17.45" customHeight="1" x14ac:dyDescent="0.25"/>
    <row r="1050" ht="17.45" customHeight="1" x14ac:dyDescent="0.25"/>
    <row r="1051" ht="17.45" customHeight="1" x14ac:dyDescent="0.25"/>
    <row r="1052" ht="17.45" customHeight="1" x14ac:dyDescent="0.25"/>
    <row r="1053" ht="17.45" customHeight="1" x14ac:dyDescent="0.25"/>
    <row r="1054" ht="17.45" customHeight="1" x14ac:dyDescent="0.25"/>
    <row r="1055" ht="17.45" customHeight="1" x14ac:dyDescent="0.25"/>
    <row r="1056" ht="17.45" customHeight="1" x14ac:dyDescent="0.25"/>
    <row r="1057" ht="17.45" customHeight="1" x14ac:dyDescent="0.25"/>
    <row r="1058" ht="17.45" customHeight="1" x14ac:dyDescent="0.25"/>
    <row r="1059" ht="17.45" customHeight="1" x14ac:dyDescent="0.25"/>
    <row r="1060" ht="17.45" customHeight="1" x14ac:dyDescent="0.25"/>
    <row r="1061" ht="17.45" customHeight="1" x14ac:dyDescent="0.25"/>
    <row r="1062" ht="17.45" customHeight="1" x14ac:dyDescent="0.25"/>
    <row r="1063" ht="17.45" customHeight="1" x14ac:dyDescent="0.25"/>
    <row r="1064" ht="17.45" customHeight="1" x14ac:dyDescent="0.25"/>
    <row r="1065" ht="17.45" customHeight="1" x14ac:dyDescent="0.25"/>
    <row r="1066" ht="17.45" customHeight="1" x14ac:dyDescent="0.25"/>
    <row r="1067" ht="17.45" customHeight="1" x14ac:dyDescent="0.25"/>
    <row r="1068" ht="17.45" customHeight="1" x14ac:dyDescent="0.25"/>
    <row r="1069" ht="17.45" customHeight="1" x14ac:dyDescent="0.25"/>
    <row r="1070" ht="17.45" customHeight="1" x14ac:dyDescent="0.25"/>
    <row r="1071" ht="17.45" customHeight="1" x14ac:dyDescent="0.25"/>
    <row r="1072" ht="17.45" customHeight="1" x14ac:dyDescent="0.25"/>
    <row r="1073" ht="17.45" customHeight="1" x14ac:dyDescent="0.25"/>
    <row r="1074" ht="17.45" customHeight="1" x14ac:dyDescent="0.25"/>
    <row r="1075" ht="17.45" customHeight="1" x14ac:dyDescent="0.25"/>
    <row r="1076" ht="17.45" customHeight="1" x14ac:dyDescent="0.25"/>
    <row r="1077" ht="17.45" customHeight="1" x14ac:dyDescent="0.25"/>
    <row r="1078" ht="17.45" customHeight="1" x14ac:dyDescent="0.25"/>
    <row r="1079" ht="17.45" customHeight="1" x14ac:dyDescent="0.25"/>
    <row r="1080" ht="17.45" customHeight="1" x14ac:dyDescent="0.25"/>
    <row r="1081" ht="17.45" customHeight="1" x14ac:dyDescent="0.25"/>
    <row r="1082" ht="17.45" customHeight="1" x14ac:dyDescent="0.25"/>
    <row r="1083" ht="17.45" customHeight="1" x14ac:dyDescent="0.25"/>
    <row r="1084" ht="17.45" customHeight="1" x14ac:dyDescent="0.25"/>
    <row r="1085" ht="17.45" customHeight="1" x14ac:dyDescent="0.25"/>
    <row r="1086" ht="17.45" customHeight="1" x14ac:dyDescent="0.25"/>
    <row r="1087" ht="17.45" customHeight="1" x14ac:dyDescent="0.25"/>
    <row r="1088" ht="17.45" customHeight="1" x14ac:dyDescent="0.25"/>
    <row r="1089" ht="17.45" customHeight="1" x14ac:dyDescent="0.25"/>
    <row r="1090" ht="17.45" customHeight="1" x14ac:dyDescent="0.25"/>
    <row r="1091" ht="17.45" customHeight="1" x14ac:dyDescent="0.25"/>
    <row r="1092" ht="17.45" customHeight="1" x14ac:dyDescent="0.25"/>
    <row r="1093" ht="17.45" customHeight="1" x14ac:dyDescent="0.25"/>
    <row r="1094" ht="17.45" customHeight="1" x14ac:dyDescent="0.25"/>
    <row r="1095" ht="17.45" customHeight="1" x14ac:dyDescent="0.25"/>
    <row r="1096" ht="17.45" customHeight="1" x14ac:dyDescent="0.25"/>
    <row r="1097" ht="17.45" customHeight="1" x14ac:dyDescent="0.25"/>
    <row r="1098" ht="17.45" customHeight="1" x14ac:dyDescent="0.25"/>
    <row r="1099" ht="17.45" customHeight="1" x14ac:dyDescent="0.25"/>
    <row r="1100" ht="17.45" customHeight="1" x14ac:dyDescent="0.25"/>
    <row r="1101" ht="17.45" customHeight="1" x14ac:dyDescent="0.25"/>
    <row r="1102" ht="17.45" customHeight="1" x14ac:dyDescent="0.25"/>
    <row r="1103" ht="17.45" customHeight="1" x14ac:dyDescent="0.25"/>
    <row r="1104" ht="17.45" customHeight="1" x14ac:dyDescent="0.25"/>
    <row r="1105" ht="17.45" customHeight="1" x14ac:dyDescent="0.25"/>
    <row r="1106" ht="17.45" customHeight="1" x14ac:dyDescent="0.25"/>
    <row r="1107" ht="17.45" customHeight="1" x14ac:dyDescent="0.25"/>
    <row r="1108" ht="17.45" customHeight="1" x14ac:dyDescent="0.25"/>
    <row r="1109" ht="17.45" customHeight="1" x14ac:dyDescent="0.25"/>
    <row r="1110" ht="17.45" customHeight="1" x14ac:dyDescent="0.25"/>
    <row r="1111" ht="17.45" customHeight="1" x14ac:dyDescent="0.25"/>
    <row r="1112" ht="17.45" customHeight="1" x14ac:dyDescent="0.25"/>
    <row r="1113" ht="17.45" customHeight="1" x14ac:dyDescent="0.25"/>
    <row r="1114" ht="17.45" customHeight="1" x14ac:dyDescent="0.25"/>
    <row r="1115" ht="17.45" customHeight="1" x14ac:dyDescent="0.25"/>
    <row r="1116" ht="17.45" customHeight="1" x14ac:dyDescent="0.25"/>
    <row r="1117" ht="17.45" customHeight="1" x14ac:dyDescent="0.25"/>
    <row r="1118" ht="17.45" customHeight="1" x14ac:dyDescent="0.25"/>
    <row r="1119" ht="17.45" customHeight="1" x14ac:dyDescent="0.25"/>
    <row r="1120" ht="17.45" customHeight="1" x14ac:dyDescent="0.25"/>
    <row r="1121" ht="17.45" customHeight="1" x14ac:dyDescent="0.25"/>
    <row r="1122" ht="17.45" customHeight="1" x14ac:dyDescent="0.25"/>
    <row r="1123" ht="17.45" customHeight="1" x14ac:dyDescent="0.25"/>
    <row r="1124" ht="17.45" customHeight="1" x14ac:dyDescent="0.25"/>
    <row r="1125" ht="17.45" customHeight="1" x14ac:dyDescent="0.25"/>
    <row r="1126" ht="17.45" customHeight="1" x14ac:dyDescent="0.25"/>
    <row r="1127" ht="17.45" customHeight="1" x14ac:dyDescent="0.25"/>
    <row r="1128" ht="17.45" customHeight="1" x14ac:dyDescent="0.25"/>
    <row r="1129" ht="17.45" customHeight="1" x14ac:dyDescent="0.25"/>
    <row r="1130" ht="17.45" customHeight="1" x14ac:dyDescent="0.25"/>
    <row r="1131" ht="17.45" customHeight="1" x14ac:dyDescent="0.25"/>
    <row r="1132" ht="17.45" customHeight="1" x14ac:dyDescent="0.25"/>
    <row r="1133" ht="17.45" customHeight="1" x14ac:dyDescent="0.25"/>
    <row r="1134" ht="17.45" customHeight="1" x14ac:dyDescent="0.25"/>
    <row r="1135" ht="17.45" customHeight="1" x14ac:dyDescent="0.25"/>
    <row r="1136" ht="17.45" customHeight="1" x14ac:dyDescent="0.25"/>
    <row r="1137" ht="17.45" customHeight="1" x14ac:dyDescent="0.25"/>
    <row r="1138" ht="17.45" customHeight="1" x14ac:dyDescent="0.25"/>
    <row r="1139" ht="17.45" customHeight="1" x14ac:dyDescent="0.25"/>
    <row r="1140" ht="17.45" customHeight="1" x14ac:dyDescent="0.25"/>
    <row r="1141" ht="17.45" customHeight="1" x14ac:dyDescent="0.25"/>
    <row r="1142" ht="17.45" customHeight="1" x14ac:dyDescent="0.25"/>
    <row r="1143" ht="17.45" customHeight="1" x14ac:dyDescent="0.25"/>
    <row r="1144" ht="17.45" customHeight="1" x14ac:dyDescent="0.25"/>
    <row r="1145" ht="17.45" customHeight="1" x14ac:dyDescent="0.25"/>
    <row r="1146" ht="17.45" customHeight="1" x14ac:dyDescent="0.25"/>
    <row r="1147" ht="17.45" customHeight="1" x14ac:dyDescent="0.25"/>
    <row r="1148" ht="17.45" customHeight="1" x14ac:dyDescent="0.25"/>
    <row r="1149" ht="17.45" customHeight="1" x14ac:dyDescent="0.25"/>
    <row r="1150" ht="17.45" customHeight="1" x14ac:dyDescent="0.25"/>
    <row r="1151" ht="17.45" customHeight="1" x14ac:dyDescent="0.25"/>
    <row r="1152" ht="17.45" customHeight="1" x14ac:dyDescent="0.25"/>
    <row r="1153" ht="17.45" customHeight="1" x14ac:dyDescent="0.25"/>
    <row r="1154" ht="17.45" customHeight="1" x14ac:dyDescent="0.25"/>
    <row r="1155" ht="17.45" customHeight="1" x14ac:dyDescent="0.25"/>
    <row r="1156" ht="17.45" customHeight="1" x14ac:dyDescent="0.25"/>
    <row r="1157" ht="17.45" customHeight="1" x14ac:dyDescent="0.25"/>
    <row r="1158" ht="17.45" customHeight="1" x14ac:dyDescent="0.25"/>
    <row r="1159" ht="17.45" customHeight="1" x14ac:dyDescent="0.25"/>
    <row r="1160" ht="17.45" customHeight="1" x14ac:dyDescent="0.25"/>
    <row r="1161" ht="17.45" customHeight="1" x14ac:dyDescent="0.25"/>
    <row r="1162" ht="17.45" customHeight="1" x14ac:dyDescent="0.25"/>
    <row r="1163" ht="17.45" customHeight="1" x14ac:dyDescent="0.25"/>
    <row r="1164" ht="17.45" customHeight="1" x14ac:dyDescent="0.25"/>
    <row r="1165" ht="17.45" customHeight="1" x14ac:dyDescent="0.25"/>
    <row r="1166" ht="17.45" customHeight="1" x14ac:dyDescent="0.25"/>
    <row r="1167" ht="17.45" customHeight="1" x14ac:dyDescent="0.25"/>
    <row r="1168" ht="17.45" customHeight="1" x14ac:dyDescent="0.25"/>
    <row r="1169" ht="17.45" customHeight="1" x14ac:dyDescent="0.25"/>
    <row r="1170" ht="17.45" customHeight="1" x14ac:dyDescent="0.25"/>
    <row r="1171" ht="17.45" customHeight="1" x14ac:dyDescent="0.25"/>
    <row r="1172" ht="17.45" customHeight="1" x14ac:dyDescent="0.25"/>
    <row r="1173" ht="17.45" customHeight="1" x14ac:dyDescent="0.25"/>
    <row r="1174" ht="17.45" customHeight="1" x14ac:dyDescent="0.25"/>
    <row r="1175" ht="17.45" customHeight="1" x14ac:dyDescent="0.25"/>
    <row r="1176" ht="17.45" customHeight="1" x14ac:dyDescent="0.25"/>
    <row r="1177" ht="17.45" customHeight="1" x14ac:dyDescent="0.25"/>
    <row r="1178" ht="17.45" customHeight="1" x14ac:dyDescent="0.25"/>
    <row r="1179" ht="17.45" customHeight="1" x14ac:dyDescent="0.25"/>
    <row r="1180" ht="17.45" customHeight="1" x14ac:dyDescent="0.25"/>
    <row r="1181" ht="17.45" customHeight="1" x14ac:dyDescent="0.25"/>
    <row r="1182" ht="17.45" customHeight="1" x14ac:dyDescent="0.25"/>
    <row r="1183" ht="17.45" customHeight="1" x14ac:dyDescent="0.25"/>
    <row r="1184" ht="17.45" customHeight="1" x14ac:dyDescent="0.25"/>
    <row r="1185" ht="17.45" customHeight="1" x14ac:dyDescent="0.25"/>
    <row r="1186" ht="17.45" customHeight="1" x14ac:dyDescent="0.25"/>
    <row r="1187" ht="17.45" customHeight="1" x14ac:dyDescent="0.25"/>
    <row r="1188" ht="17.45" customHeight="1" x14ac:dyDescent="0.25"/>
    <row r="1189" ht="17.45" customHeight="1" x14ac:dyDescent="0.25"/>
    <row r="1190" ht="17.45" customHeight="1" x14ac:dyDescent="0.25"/>
    <row r="1191" ht="17.45" customHeight="1" x14ac:dyDescent="0.25"/>
    <row r="1192" ht="17.45" customHeight="1" x14ac:dyDescent="0.25"/>
    <row r="1193" ht="17.45" customHeight="1" x14ac:dyDescent="0.25"/>
    <row r="1194" ht="17.45" customHeight="1" x14ac:dyDescent="0.25"/>
    <row r="1195" ht="17.45" customHeight="1" x14ac:dyDescent="0.25"/>
    <row r="1196" ht="17.45" customHeight="1" x14ac:dyDescent="0.25"/>
    <row r="1197" ht="17.45" customHeight="1" x14ac:dyDescent="0.25"/>
    <row r="1198" ht="17.45" customHeight="1" x14ac:dyDescent="0.25"/>
    <row r="1199" ht="17.45" customHeight="1" x14ac:dyDescent="0.25"/>
    <row r="1200" ht="17.45" customHeight="1" x14ac:dyDescent="0.25"/>
    <row r="1201" ht="17.45" customHeight="1" x14ac:dyDescent="0.25"/>
    <row r="1202" ht="17.45" customHeight="1" x14ac:dyDescent="0.25"/>
    <row r="1203" ht="17.45" customHeight="1" x14ac:dyDescent="0.25"/>
    <row r="1204" ht="17.45" customHeight="1" x14ac:dyDescent="0.25"/>
    <row r="1205" ht="17.45" customHeight="1" x14ac:dyDescent="0.25"/>
    <row r="1206" ht="17.45" customHeight="1" x14ac:dyDescent="0.25"/>
    <row r="1207" ht="17.45" customHeight="1" x14ac:dyDescent="0.25"/>
    <row r="1208" ht="17.45" customHeight="1" x14ac:dyDescent="0.25"/>
    <row r="1209" ht="17.45" customHeight="1" x14ac:dyDescent="0.25"/>
    <row r="1210" ht="17.45" customHeight="1" x14ac:dyDescent="0.25"/>
    <row r="1211" ht="17.45" customHeight="1" x14ac:dyDescent="0.25"/>
    <row r="1212" ht="17.45" customHeight="1" x14ac:dyDescent="0.25"/>
    <row r="1213" ht="17.45" customHeight="1" x14ac:dyDescent="0.25"/>
    <row r="1214" ht="17.45" customHeight="1" x14ac:dyDescent="0.25"/>
    <row r="1215" ht="17.45" customHeight="1" x14ac:dyDescent="0.25"/>
    <row r="1216" ht="17.45" customHeight="1" x14ac:dyDescent="0.25"/>
    <row r="1217" ht="17.45" customHeight="1" x14ac:dyDescent="0.25"/>
    <row r="1218" ht="17.45" customHeight="1" x14ac:dyDescent="0.25"/>
    <row r="1219" ht="17.45" customHeight="1" x14ac:dyDescent="0.25"/>
    <row r="1220" ht="17.45" customHeight="1" x14ac:dyDescent="0.25"/>
    <row r="1221" ht="17.45" customHeight="1" x14ac:dyDescent="0.25"/>
    <row r="1222" ht="17.45" customHeight="1" x14ac:dyDescent="0.25"/>
    <row r="1223" ht="17.45" customHeight="1" x14ac:dyDescent="0.25"/>
    <row r="1224" ht="17.45" customHeight="1" x14ac:dyDescent="0.25"/>
    <row r="1225" ht="17.45" customHeight="1" x14ac:dyDescent="0.25"/>
    <row r="1226" ht="17.45" customHeight="1" x14ac:dyDescent="0.25"/>
    <row r="1227" ht="17.45" customHeight="1" x14ac:dyDescent="0.25"/>
    <row r="1228" ht="17.45" customHeight="1" x14ac:dyDescent="0.25"/>
    <row r="1229" ht="17.45" customHeight="1" x14ac:dyDescent="0.25"/>
    <row r="1230" ht="17.45" customHeight="1" x14ac:dyDescent="0.25"/>
    <row r="1231" ht="17.45" customHeight="1" x14ac:dyDescent="0.25"/>
    <row r="1232" ht="17.45" customHeight="1" x14ac:dyDescent="0.25"/>
    <row r="1233" ht="17.45" customHeight="1" x14ac:dyDescent="0.25"/>
    <row r="1234" ht="17.45" customHeight="1" x14ac:dyDescent="0.25"/>
    <row r="1235" ht="17.45" customHeight="1" x14ac:dyDescent="0.25"/>
    <row r="1236" ht="17.45" customHeight="1" x14ac:dyDescent="0.25"/>
    <row r="1237" ht="17.45" customHeight="1" x14ac:dyDescent="0.25"/>
    <row r="1238" ht="17.45" customHeight="1" x14ac:dyDescent="0.25"/>
    <row r="1239" ht="17.45" customHeight="1" x14ac:dyDescent="0.25"/>
    <row r="1240" ht="17.45" customHeight="1" x14ac:dyDescent="0.25"/>
    <row r="1241" ht="17.45" customHeight="1" x14ac:dyDescent="0.25"/>
    <row r="1242" ht="17.45" customHeight="1" x14ac:dyDescent="0.25"/>
    <row r="1243" ht="17.45" customHeight="1" x14ac:dyDescent="0.25"/>
    <row r="1244" ht="17.45" customHeight="1" x14ac:dyDescent="0.25"/>
    <row r="1245" ht="17.45" customHeight="1" x14ac:dyDescent="0.25"/>
    <row r="1246" ht="17.45" customHeight="1" x14ac:dyDescent="0.25"/>
    <row r="1247" ht="17.45" customHeight="1" x14ac:dyDescent="0.25"/>
    <row r="1248" ht="17.45" customHeight="1" x14ac:dyDescent="0.25"/>
    <row r="1249" ht="17.45" customHeight="1" x14ac:dyDescent="0.25"/>
    <row r="1250" ht="17.45" customHeight="1" x14ac:dyDescent="0.25"/>
    <row r="1251" ht="17.45" customHeight="1" x14ac:dyDescent="0.25"/>
    <row r="1252" ht="17.45" customHeight="1" x14ac:dyDescent="0.25"/>
    <row r="1253" ht="17.45" customHeight="1" x14ac:dyDescent="0.25"/>
    <row r="1254" ht="17.45" customHeight="1" x14ac:dyDescent="0.25"/>
    <row r="1255" ht="17.45" customHeight="1" x14ac:dyDescent="0.25"/>
    <row r="1256" ht="17.45" customHeight="1" x14ac:dyDescent="0.25"/>
    <row r="1257" ht="17.45" customHeight="1" x14ac:dyDescent="0.25"/>
    <row r="1258" ht="17.45" customHeight="1" x14ac:dyDescent="0.25"/>
    <row r="1259" ht="17.45" customHeight="1" x14ac:dyDescent="0.25"/>
    <row r="1260" ht="17.45" customHeight="1" x14ac:dyDescent="0.25"/>
    <row r="1261" ht="17.45" customHeight="1" x14ac:dyDescent="0.25"/>
    <row r="1262" ht="17.45" customHeight="1" x14ac:dyDescent="0.25"/>
    <row r="1263" ht="17.45" customHeight="1" x14ac:dyDescent="0.25"/>
    <row r="1264" ht="17.45" customHeight="1" x14ac:dyDescent="0.25"/>
    <row r="1265" ht="17.45" customHeight="1" x14ac:dyDescent="0.25"/>
    <row r="1266" ht="17.45" customHeight="1" x14ac:dyDescent="0.25"/>
    <row r="1267" ht="17.45" customHeight="1" x14ac:dyDescent="0.25"/>
    <row r="1268" ht="17.45" customHeight="1" x14ac:dyDescent="0.25"/>
    <row r="1269" ht="17.45" customHeight="1" x14ac:dyDescent="0.25"/>
    <row r="1270" ht="17.45" customHeight="1" x14ac:dyDescent="0.25"/>
    <row r="1271" ht="17.45" customHeight="1" x14ac:dyDescent="0.25"/>
    <row r="1272" ht="17.45" customHeight="1" x14ac:dyDescent="0.25"/>
    <row r="1273" ht="17.45" customHeight="1" x14ac:dyDescent="0.25"/>
    <row r="1274" ht="17.45" customHeight="1" x14ac:dyDescent="0.25"/>
    <row r="1275" ht="17.45" customHeight="1" x14ac:dyDescent="0.25"/>
    <row r="1276" ht="17.45" customHeight="1" x14ac:dyDescent="0.25"/>
    <row r="1277" ht="17.45" customHeight="1" x14ac:dyDescent="0.25"/>
    <row r="1278" ht="17.45" customHeight="1" x14ac:dyDescent="0.25"/>
    <row r="1279" ht="17.45" customHeight="1" x14ac:dyDescent="0.25"/>
    <row r="1280" ht="17.45" customHeight="1" x14ac:dyDescent="0.25"/>
    <row r="1281" ht="17.45" customHeight="1" x14ac:dyDescent="0.25"/>
    <row r="1282" ht="17.45" customHeight="1" x14ac:dyDescent="0.25"/>
    <row r="1283" ht="17.45" customHeight="1" x14ac:dyDescent="0.25"/>
    <row r="1284" ht="17.45" customHeight="1" x14ac:dyDescent="0.25"/>
    <row r="1285" ht="17.45" customHeight="1" x14ac:dyDescent="0.25"/>
    <row r="1286" ht="17.45" customHeight="1" x14ac:dyDescent="0.25"/>
    <row r="1287" ht="17.45" customHeight="1" x14ac:dyDescent="0.25"/>
    <row r="1288" ht="17.45" customHeight="1" x14ac:dyDescent="0.25"/>
    <row r="1289" ht="17.45" customHeight="1" x14ac:dyDescent="0.25"/>
    <row r="1290" ht="17.45" customHeight="1" x14ac:dyDescent="0.25"/>
    <row r="1291" ht="17.45" customHeight="1" x14ac:dyDescent="0.25"/>
    <row r="1292" ht="17.45" customHeight="1" x14ac:dyDescent="0.25"/>
    <row r="1293" ht="17.45" customHeight="1" x14ac:dyDescent="0.25"/>
    <row r="1294" ht="17.45" customHeight="1" x14ac:dyDescent="0.25"/>
    <row r="1295" ht="17.45" customHeight="1" x14ac:dyDescent="0.25"/>
    <row r="1296" ht="17.45" customHeight="1" x14ac:dyDescent="0.25"/>
    <row r="1297" ht="17.45" customHeight="1" x14ac:dyDescent="0.25"/>
    <row r="1298" ht="17.45" customHeight="1" x14ac:dyDescent="0.25"/>
    <row r="1299" ht="17.45" customHeight="1" x14ac:dyDescent="0.25"/>
    <row r="1300" ht="17.45" customHeight="1" x14ac:dyDescent="0.25"/>
    <row r="1301" ht="17.45" customHeight="1" x14ac:dyDescent="0.25"/>
    <row r="1302" ht="17.45" customHeight="1" x14ac:dyDescent="0.25"/>
    <row r="1303" ht="17.45" customHeight="1" x14ac:dyDescent="0.25"/>
    <row r="1304" ht="17.45" customHeight="1" x14ac:dyDescent="0.25"/>
    <row r="1305" ht="17.45" customHeight="1" x14ac:dyDescent="0.25"/>
    <row r="1306" ht="17.45" customHeight="1" x14ac:dyDescent="0.25"/>
    <row r="1307" ht="17.45" customHeight="1" x14ac:dyDescent="0.25"/>
    <row r="1308" ht="17.45" customHeight="1" x14ac:dyDescent="0.25"/>
    <row r="1309" ht="17.45" customHeight="1" x14ac:dyDescent="0.25"/>
    <row r="1310" ht="17.45" customHeight="1" x14ac:dyDescent="0.25"/>
    <row r="1311" ht="17.45" customHeight="1" x14ac:dyDescent="0.25"/>
    <row r="1312" ht="17.45" customHeight="1" x14ac:dyDescent="0.25"/>
    <row r="1313" ht="17.45" customHeight="1" x14ac:dyDescent="0.25"/>
    <row r="1314" ht="17.45" customHeight="1" x14ac:dyDescent="0.25"/>
    <row r="1315" ht="17.45" customHeight="1" x14ac:dyDescent="0.25"/>
    <row r="1316" ht="17.45" customHeight="1" x14ac:dyDescent="0.25"/>
    <row r="1317" ht="17.45" customHeight="1" x14ac:dyDescent="0.25"/>
    <row r="1318" ht="17.45" customHeight="1" x14ac:dyDescent="0.25"/>
    <row r="1319" ht="17.45" customHeight="1" x14ac:dyDescent="0.25"/>
    <row r="1320" ht="17.45" customHeight="1" x14ac:dyDescent="0.25"/>
    <row r="1321" ht="17.45" customHeight="1" x14ac:dyDescent="0.25"/>
    <row r="1322" ht="17.45" customHeight="1" x14ac:dyDescent="0.25"/>
    <row r="1323" ht="17.45" customHeight="1" x14ac:dyDescent="0.25"/>
    <row r="1324" ht="17.45" customHeight="1" x14ac:dyDescent="0.25"/>
    <row r="1325" ht="17.45" customHeight="1" x14ac:dyDescent="0.25"/>
    <row r="1326" ht="17.45" customHeight="1" x14ac:dyDescent="0.25"/>
    <row r="1327" ht="17.45" customHeight="1" x14ac:dyDescent="0.25"/>
    <row r="1328" ht="17.45" customHeight="1" x14ac:dyDescent="0.25"/>
    <row r="1329" ht="17.45" customHeight="1" x14ac:dyDescent="0.25"/>
    <row r="1330" ht="17.45" customHeight="1" x14ac:dyDescent="0.25"/>
    <row r="1331" ht="17.45" customHeight="1" x14ac:dyDescent="0.25"/>
    <row r="1332" ht="17.45" customHeight="1" x14ac:dyDescent="0.25"/>
    <row r="1333" ht="17.45" customHeight="1" x14ac:dyDescent="0.25"/>
    <row r="1334" ht="17.45" customHeight="1" x14ac:dyDescent="0.25"/>
    <row r="1335" ht="17.45" customHeight="1" x14ac:dyDescent="0.25"/>
    <row r="1336" ht="17.45" customHeight="1" x14ac:dyDescent="0.25"/>
    <row r="1337" ht="17.45" customHeight="1" x14ac:dyDescent="0.25"/>
    <row r="1338" ht="17.45" customHeight="1" x14ac:dyDescent="0.25"/>
    <row r="1339" ht="17.45" customHeight="1" x14ac:dyDescent="0.25"/>
    <row r="1340" ht="17.45" customHeight="1" x14ac:dyDescent="0.25"/>
    <row r="1341" ht="17.45" customHeight="1" x14ac:dyDescent="0.25"/>
    <row r="1342" ht="17.45" customHeight="1" x14ac:dyDescent="0.25"/>
    <row r="1343" ht="17.45" customHeight="1" x14ac:dyDescent="0.25"/>
    <row r="1344" ht="17.45" customHeight="1" x14ac:dyDescent="0.25"/>
    <row r="1345" ht="17.45" customHeight="1" x14ac:dyDescent="0.25"/>
    <row r="1346" ht="17.45" customHeight="1" x14ac:dyDescent="0.25"/>
    <row r="1347" ht="17.45" customHeight="1" x14ac:dyDescent="0.25"/>
    <row r="1348" ht="17.45" customHeight="1" x14ac:dyDescent="0.25"/>
    <row r="1349" ht="17.45" customHeight="1" x14ac:dyDescent="0.25"/>
    <row r="1350" ht="17.45" customHeight="1" x14ac:dyDescent="0.25"/>
    <row r="1351" ht="17.45" customHeight="1" x14ac:dyDescent="0.25"/>
    <row r="1352" ht="17.45" customHeight="1" x14ac:dyDescent="0.25"/>
    <row r="1353" ht="17.45" customHeight="1" x14ac:dyDescent="0.25"/>
    <row r="1354" ht="17.45" customHeight="1" x14ac:dyDescent="0.25"/>
    <row r="1355" ht="17.45" customHeight="1" x14ac:dyDescent="0.25"/>
    <row r="1356" ht="17.45" customHeight="1" x14ac:dyDescent="0.25"/>
    <row r="1357" ht="17.45" customHeight="1" x14ac:dyDescent="0.25"/>
    <row r="1358" ht="17.45" customHeight="1" x14ac:dyDescent="0.25"/>
    <row r="1359" ht="17.45" customHeight="1" x14ac:dyDescent="0.25"/>
    <row r="1360" ht="17.45" customHeight="1" x14ac:dyDescent="0.25"/>
    <row r="1361" ht="17.45" customHeight="1" x14ac:dyDescent="0.25"/>
    <row r="1362" ht="17.45" customHeight="1" x14ac:dyDescent="0.25"/>
    <row r="1363" ht="17.45" customHeight="1" x14ac:dyDescent="0.25"/>
    <row r="1364" ht="17.45" customHeight="1" x14ac:dyDescent="0.25"/>
    <row r="1365" ht="17.45" customHeight="1" x14ac:dyDescent="0.25"/>
    <row r="1366" ht="17.45" customHeight="1" x14ac:dyDescent="0.25"/>
    <row r="1367" ht="17.45" customHeight="1" x14ac:dyDescent="0.25"/>
    <row r="1368" ht="17.45" customHeight="1" x14ac:dyDescent="0.25"/>
    <row r="1369" ht="17.45" customHeight="1" x14ac:dyDescent="0.25"/>
    <row r="1370" ht="17.45" customHeight="1" x14ac:dyDescent="0.25"/>
    <row r="1371" ht="17.45" customHeight="1" x14ac:dyDescent="0.25"/>
    <row r="1372" ht="17.45" customHeight="1" x14ac:dyDescent="0.25"/>
    <row r="1373" ht="17.45" customHeight="1" x14ac:dyDescent="0.25"/>
    <row r="1374" ht="17.45" customHeight="1" x14ac:dyDescent="0.25"/>
    <row r="1375" ht="17.45" customHeight="1" x14ac:dyDescent="0.25"/>
    <row r="1376" ht="17.45" customHeight="1" x14ac:dyDescent="0.25"/>
    <row r="1377" ht="17.45" customHeight="1" x14ac:dyDescent="0.25"/>
    <row r="1378" ht="17.45" customHeight="1" x14ac:dyDescent="0.25"/>
    <row r="1379" ht="17.45" customHeight="1" x14ac:dyDescent="0.25"/>
    <row r="1380" ht="17.45" customHeight="1" x14ac:dyDescent="0.25"/>
    <row r="1381" ht="17.45" customHeight="1" x14ac:dyDescent="0.25"/>
    <row r="1382" ht="17.45" customHeight="1" x14ac:dyDescent="0.25"/>
    <row r="1383" ht="17.45" customHeight="1" x14ac:dyDescent="0.25"/>
    <row r="1384" ht="17.45" customHeight="1" x14ac:dyDescent="0.25"/>
    <row r="1385" ht="17.45" customHeight="1" x14ac:dyDescent="0.25"/>
    <row r="1386" ht="17.45" customHeight="1" x14ac:dyDescent="0.25"/>
    <row r="1387" ht="17.45" customHeight="1" x14ac:dyDescent="0.25"/>
    <row r="1388" ht="17.45" customHeight="1" x14ac:dyDescent="0.25"/>
    <row r="1389" ht="17.45" customHeight="1" x14ac:dyDescent="0.25"/>
    <row r="1390" ht="17.45" customHeight="1" x14ac:dyDescent="0.25"/>
    <row r="1391" ht="17.45" customHeight="1" x14ac:dyDescent="0.25"/>
    <row r="1392" ht="17.45" customHeight="1" x14ac:dyDescent="0.25"/>
    <row r="1393" ht="17.45" customHeight="1" x14ac:dyDescent="0.25"/>
    <row r="1394" ht="17.45" customHeight="1" x14ac:dyDescent="0.25"/>
    <row r="1395" ht="17.45" customHeight="1" x14ac:dyDescent="0.25"/>
    <row r="1396" ht="17.45" customHeight="1" x14ac:dyDescent="0.25"/>
    <row r="1397" ht="17.45" customHeight="1" x14ac:dyDescent="0.25"/>
    <row r="1398" ht="17.45" customHeight="1" x14ac:dyDescent="0.25"/>
    <row r="1399" ht="17.45" customHeight="1" x14ac:dyDescent="0.25"/>
    <row r="1400" ht="17.45" customHeight="1" x14ac:dyDescent="0.25"/>
    <row r="1401" ht="17.45" customHeight="1" x14ac:dyDescent="0.25"/>
    <row r="1402" ht="17.45" customHeight="1" x14ac:dyDescent="0.25"/>
    <row r="1403" ht="17.45" customHeight="1" x14ac:dyDescent="0.25"/>
    <row r="1404" ht="17.45" customHeight="1" x14ac:dyDescent="0.25"/>
    <row r="1405" ht="17.45" customHeight="1" x14ac:dyDescent="0.25"/>
    <row r="1406" ht="17.45" customHeight="1" x14ac:dyDescent="0.25"/>
    <row r="1407" ht="17.45" customHeight="1" x14ac:dyDescent="0.25"/>
    <row r="1408" ht="17.45" customHeight="1" x14ac:dyDescent="0.25"/>
    <row r="1409" ht="17.45" customHeight="1" x14ac:dyDescent="0.25"/>
    <row r="1410" ht="17.45" customHeight="1" x14ac:dyDescent="0.25"/>
    <row r="1411" ht="17.45" customHeight="1" x14ac:dyDescent="0.25"/>
    <row r="1412" ht="17.45" customHeight="1" x14ac:dyDescent="0.25"/>
    <row r="1413" ht="17.45" customHeight="1" x14ac:dyDescent="0.25"/>
    <row r="1414" ht="17.45" customHeight="1" x14ac:dyDescent="0.25"/>
    <row r="1415" ht="17.45" customHeight="1" x14ac:dyDescent="0.25"/>
    <row r="1416" ht="17.45" customHeight="1" x14ac:dyDescent="0.25"/>
    <row r="1417" ht="17.45" customHeight="1" x14ac:dyDescent="0.25"/>
    <row r="1418" ht="17.45" customHeight="1" x14ac:dyDescent="0.25"/>
    <row r="1419" ht="17.45" customHeight="1" x14ac:dyDescent="0.25"/>
    <row r="1420" ht="17.45" customHeight="1" x14ac:dyDescent="0.25"/>
    <row r="1421" ht="17.45" customHeight="1" x14ac:dyDescent="0.25"/>
    <row r="1422" ht="17.45" customHeight="1" x14ac:dyDescent="0.25"/>
    <row r="1423" ht="17.45" customHeight="1" x14ac:dyDescent="0.25"/>
    <row r="1424" ht="17.45" customHeight="1" x14ac:dyDescent="0.25"/>
    <row r="1425" ht="17.45" customHeight="1" x14ac:dyDescent="0.25"/>
    <row r="1426" ht="17.45" customHeight="1" x14ac:dyDescent="0.25"/>
    <row r="1427" ht="17.45" customHeight="1" x14ac:dyDescent="0.25"/>
    <row r="1428" ht="17.45" customHeight="1" x14ac:dyDescent="0.25"/>
    <row r="1429" ht="17.45" customHeight="1" x14ac:dyDescent="0.25"/>
    <row r="1430" ht="17.45" customHeight="1" x14ac:dyDescent="0.25"/>
    <row r="1431" ht="17.45" customHeight="1" x14ac:dyDescent="0.25"/>
    <row r="1432" ht="17.45" customHeight="1" x14ac:dyDescent="0.25"/>
    <row r="1433" ht="17.45" customHeight="1" x14ac:dyDescent="0.25"/>
    <row r="1434" ht="17.45" customHeight="1" x14ac:dyDescent="0.25"/>
    <row r="1435" ht="17.45" customHeight="1" x14ac:dyDescent="0.25"/>
    <row r="1436" ht="17.45" customHeight="1" x14ac:dyDescent="0.25"/>
    <row r="1437" ht="17.45" customHeight="1" x14ac:dyDescent="0.25"/>
    <row r="1438" ht="17.45" customHeight="1" x14ac:dyDescent="0.25"/>
    <row r="1439" ht="17.45" customHeight="1" x14ac:dyDescent="0.25"/>
    <row r="1440" ht="17.45" customHeight="1" x14ac:dyDescent="0.25"/>
    <row r="1441" ht="17.45" customHeight="1" x14ac:dyDescent="0.25"/>
    <row r="1442" ht="17.45" customHeight="1" x14ac:dyDescent="0.25"/>
    <row r="1443" ht="17.45" customHeight="1" x14ac:dyDescent="0.25"/>
    <row r="1444" ht="17.45" customHeight="1" x14ac:dyDescent="0.25"/>
    <row r="1445" ht="17.45" customHeight="1" x14ac:dyDescent="0.25"/>
    <row r="1446" ht="17.45" customHeight="1" x14ac:dyDescent="0.25"/>
    <row r="1447" ht="17.45" customHeight="1" x14ac:dyDescent="0.25"/>
    <row r="1448" ht="17.45" customHeight="1" x14ac:dyDescent="0.25"/>
    <row r="1449" ht="17.45" customHeight="1" x14ac:dyDescent="0.25"/>
    <row r="1450" ht="17.45" customHeight="1" x14ac:dyDescent="0.25"/>
    <row r="1451" ht="17.45" customHeight="1" x14ac:dyDescent="0.25"/>
    <row r="1452" ht="17.45" customHeight="1" x14ac:dyDescent="0.25"/>
    <row r="1453" ht="17.45" customHeight="1" x14ac:dyDescent="0.25"/>
    <row r="1454" ht="17.45" customHeight="1" x14ac:dyDescent="0.25"/>
    <row r="1455" ht="17.45" customHeight="1" x14ac:dyDescent="0.25"/>
    <row r="1456" ht="17.45" customHeight="1" x14ac:dyDescent="0.25"/>
    <row r="1457" ht="17.45" customHeight="1" x14ac:dyDescent="0.25"/>
    <row r="1458" ht="17.45" customHeight="1" x14ac:dyDescent="0.25"/>
    <row r="1459" ht="17.45" customHeight="1" x14ac:dyDescent="0.25"/>
    <row r="1460" ht="17.45" customHeight="1" x14ac:dyDescent="0.25"/>
    <row r="1461" ht="17.45" customHeight="1" x14ac:dyDescent="0.25"/>
    <row r="1462" ht="17.45" customHeight="1" x14ac:dyDescent="0.25"/>
    <row r="1463" ht="17.45" customHeight="1" x14ac:dyDescent="0.25"/>
    <row r="1464" ht="17.45" customHeight="1" x14ac:dyDescent="0.25"/>
    <row r="1465" ht="17.45" customHeight="1" x14ac:dyDescent="0.25"/>
    <row r="1466" ht="17.45" customHeight="1" x14ac:dyDescent="0.25"/>
    <row r="1467" ht="17.45" customHeight="1" x14ac:dyDescent="0.25"/>
    <row r="1468" ht="17.45" customHeight="1" x14ac:dyDescent="0.25"/>
    <row r="1469" ht="17.45" customHeight="1" x14ac:dyDescent="0.25"/>
    <row r="1470" ht="17.45" customHeight="1" x14ac:dyDescent="0.25"/>
    <row r="1471" ht="17.45" customHeight="1" x14ac:dyDescent="0.25"/>
    <row r="1472" ht="17.45" customHeight="1" x14ac:dyDescent="0.25"/>
    <row r="1473" ht="17.45" customHeight="1" x14ac:dyDescent="0.25"/>
    <row r="1474" ht="17.45" customHeight="1" x14ac:dyDescent="0.25"/>
    <row r="1475" ht="17.45" customHeight="1" x14ac:dyDescent="0.25"/>
    <row r="1476" ht="17.45" customHeight="1" x14ac:dyDescent="0.25"/>
    <row r="1477" ht="17.45" customHeight="1" x14ac:dyDescent="0.25"/>
    <row r="1478" ht="17.45" customHeight="1" x14ac:dyDescent="0.25"/>
    <row r="1479" ht="17.45" customHeight="1" x14ac:dyDescent="0.25"/>
    <row r="1480" ht="17.45" customHeight="1" x14ac:dyDescent="0.25"/>
    <row r="1481" ht="17.45" customHeight="1" x14ac:dyDescent="0.25"/>
    <row r="1482" ht="17.45" customHeight="1" x14ac:dyDescent="0.25"/>
    <row r="1483" ht="17.45" customHeight="1" x14ac:dyDescent="0.25"/>
    <row r="1484" ht="17.45" customHeight="1" x14ac:dyDescent="0.25"/>
    <row r="1485" ht="17.45" customHeight="1" x14ac:dyDescent="0.25"/>
    <row r="1486" ht="17.45" customHeight="1" x14ac:dyDescent="0.25"/>
    <row r="1487" ht="17.45" customHeight="1" x14ac:dyDescent="0.25"/>
    <row r="1488" ht="17.45" customHeight="1" x14ac:dyDescent="0.25"/>
    <row r="1489" ht="17.45" customHeight="1" x14ac:dyDescent="0.25"/>
    <row r="1490" ht="17.45" customHeight="1" x14ac:dyDescent="0.25"/>
    <row r="1491" ht="17.45" customHeight="1" x14ac:dyDescent="0.25"/>
    <row r="1492" ht="17.45" customHeight="1" x14ac:dyDescent="0.25"/>
    <row r="1493" ht="17.45" customHeight="1" x14ac:dyDescent="0.25"/>
    <row r="1494" ht="17.45" customHeight="1" x14ac:dyDescent="0.25"/>
    <row r="1495" ht="17.45" customHeight="1" x14ac:dyDescent="0.25"/>
    <row r="1496" ht="17.45" customHeight="1" x14ac:dyDescent="0.25"/>
    <row r="1497" ht="17.45" customHeight="1" x14ac:dyDescent="0.25"/>
    <row r="1498" ht="17.45" customHeight="1" x14ac:dyDescent="0.25"/>
    <row r="1499" ht="17.45" customHeight="1" x14ac:dyDescent="0.25"/>
    <row r="1500" ht="17.45" customHeight="1" x14ac:dyDescent="0.25"/>
    <row r="1501" ht="17.45" customHeight="1" x14ac:dyDescent="0.25"/>
    <row r="1502" ht="17.45" customHeight="1" x14ac:dyDescent="0.25"/>
    <row r="1503" ht="17.45" customHeight="1" x14ac:dyDescent="0.25"/>
    <row r="1504" ht="17.45" customHeight="1" x14ac:dyDescent="0.25"/>
    <row r="1505" ht="17.45" customHeight="1" x14ac:dyDescent="0.25"/>
    <row r="1506" ht="17.45" customHeight="1" x14ac:dyDescent="0.25"/>
    <row r="1507" ht="17.45" customHeight="1" x14ac:dyDescent="0.25"/>
    <row r="1508" ht="17.45" customHeight="1" x14ac:dyDescent="0.25"/>
    <row r="1509" ht="17.45" customHeight="1" x14ac:dyDescent="0.25"/>
    <row r="1510" ht="17.45" customHeight="1" x14ac:dyDescent="0.25"/>
    <row r="1511" ht="17.45" customHeight="1" x14ac:dyDescent="0.25"/>
    <row r="1512" ht="17.45" customHeight="1" x14ac:dyDescent="0.25"/>
    <row r="1513" ht="17.45" customHeight="1" x14ac:dyDescent="0.25"/>
    <row r="1514" ht="17.45" customHeight="1" x14ac:dyDescent="0.25"/>
    <row r="1515" ht="17.45" customHeight="1" x14ac:dyDescent="0.25"/>
    <row r="1516" ht="17.45" customHeight="1" x14ac:dyDescent="0.25"/>
    <row r="1517" ht="17.45" customHeight="1" x14ac:dyDescent="0.25"/>
    <row r="1518" ht="17.45" customHeight="1" x14ac:dyDescent="0.25"/>
    <row r="1519" ht="17.45" customHeight="1" x14ac:dyDescent="0.25"/>
    <row r="1520" ht="17.45" customHeight="1" x14ac:dyDescent="0.25"/>
    <row r="1521" ht="17.45" customHeight="1" x14ac:dyDescent="0.25"/>
    <row r="1522" ht="17.45" customHeight="1" x14ac:dyDescent="0.25"/>
    <row r="1523" ht="17.45" customHeight="1" x14ac:dyDescent="0.25"/>
    <row r="1524" ht="17.45" customHeight="1" x14ac:dyDescent="0.25"/>
    <row r="1525" ht="17.45" customHeight="1" x14ac:dyDescent="0.25"/>
    <row r="1526" ht="17.45" customHeight="1" x14ac:dyDescent="0.25"/>
    <row r="1527" ht="17.45" customHeight="1" x14ac:dyDescent="0.25"/>
    <row r="1528" ht="17.45" customHeight="1" x14ac:dyDescent="0.25"/>
    <row r="1529" ht="17.45" customHeight="1" x14ac:dyDescent="0.25"/>
    <row r="1530" ht="17.45" customHeight="1" x14ac:dyDescent="0.25"/>
    <row r="1531" ht="17.45" customHeight="1" x14ac:dyDescent="0.25"/>
    <row r="1532" ht="17.45" customHeight="1" x14ac:dyDescent="0.25"/>
    <row r="1533" ht="17.45" customHeight="1" x14ac:dyDescent="0.25"/>
    <row r="1534" ht="17.45" customHeight="1" x14ac:dyDescent="0.25"/>
    <row r="1535" ht="17.45" customHeight="1" x14ac:dyDescent="0.25"/>
    <row r="1536" ht="17.45" customHeight="1" x14ac:dyDescent="0.25"/>
    <row r="1537" ht="17.45" customHeight="1" x14ac:dyDescent="0.25"/>
    <row r="1538" ht="17.45" customHeight="1" x14ac:dyDescent="0.25"/>
    <row r="1539" ht="17.45" customHeight="1" x14ac:dyDescent="0.25"/>
    <row r="1540" ht="17.45" customHeight="1" x14ac:dyDescent="0.25"/>
    <row r="1541" ht="17.45" customHeight="1" x14ac:dyDescent="0.25"/>
    <row r="1542" ht="17.45" customHeight="1" x14ac:dyDescent="0.25"/>
    <row r="1543" ht="17.45" customHeight="1" x14ac:dyDescent="0.25"/>
    <row r="1544" ht="17.45" customHeight="1" x14ac:dyDescent="0.25"/>
    <row r="1545" ht="17.45" customHeight="1" x14ac:dyDescent="0.25"/>
    <row r="1546" ht="17.45" customHeight="1" x14ac:dyDescent="0.25"/>
    <row r="1547" ht="17.45" customHeight="1" x14ac:dyDescent="0.25"/>
    <row r="1548" ht="17.45" customHeight="1" x14ac:dyDescent="0.25"/>
    <row r="1549" ht="17.45" customHeight="1" x14ac:dyDescent="0.25"/>
    <row r="1550" ht="17.45" customHeight="1" x14ac:dyDescent="0.25"/>
    <row r="1551" ht="17.45" customHeight="1" x14ac:dyDescent="0.25"/>
    <row r="1552" ht="17.45" customHeight="1" x14ac:dyDescent="0.25"/>
    <row r="1553" ht="17.45" customHeight="1" x14ac:dyDescent="0.25"/>
    <row r="1554" ht="17.45" customHeight="1" x14ac:dyDescent="0.25"/>
    <row r="1555" ht="17.45" customHeight="1" x14ac:dyDescent="0.25"/>
    <row r="1556" ht="17.45" customHeight="1" x14ac:dyDescent="0.25"/>
    <row r="1557" ht="17.45" customHeight="1" x14ac:dyDescent="0.25"/>
    <row r="1558" ht="17.45" customHeight="1" x14ac:dyDescent="0.25"/>
    <row r="1559" ht="17.45" customHeight="1" x14ac:dyDescent="0.25"/>
    <row r="1560" ht="17.45" customHeight="1" x14ac:dyDescent="0.25"/>
    <row r="1561" ht="17.45" customHeight="1" x14ac:dyDescent="0.25"/>
    <row r="1562" ht="17.45" customHeight="1" x14ac:dyDescent="0.25"/>
    <row r="1563" ht="17.45" customHeight="1" x14ac:dyDescent="0.25"/>
    <row r="1564" ht="17.45" customHeight="1" x14ac:dyDescent="0.25"/>
    <row r="1565" ht="17.45" customHeight="1" x14ac:dyDescent="0.25"/>
    <row r="1566" ht="17.45" customHeight="1" x14ac:dyDescent="0.25"/>
    <row r="1567" ht="17.45" customHeight="1" x14ac:dyDescent="0.25"/>
    <row r="1568" ht="17.45" customHeight="1" x14ac:dyDescent="0.25"/>
    <row r="1569" ht="17.45" customHeight="1" x14ac:dyDescent="0.25"/>
    <row r="1570" ht="17.45" customHeight="1" x14ac:dyDescent="0.25"/>
    <row r="1571" ht="17.45" customHeight="1" x14ac:dyDescent="0.25"/>
    <row r="1572" ht="17.45" customHeight="1" x14ac:dyDescent="0.25"/>
    <row r="1573" ht="17.45" customHeight="1" x14ac:dyDescent="0.25"/>
    <row r="1574" ht="17.45" customHeight="1" x14ac:dyDescent="0.25"/>
    <row r="1575" ht="17.45" customHeight="1" x14ac:dyDescent="0.25"/>
    <row r="1576" ht="17.45" customHeight="1" x14ac:dyDescent="0.25"/>
    <row r="1577" ht="17.45" customHeight="1" x14ac:dyDescent="0.25"/>
    <row r="1578" ht="17.45" customHeight="1" x14ac:dyDescent="0.25"/>
    <row r="1579" ht="17.45" customHeight="1" x14ac:dyDescent="0.25"/>
    <row r="1580" ht="17.45" customHeight="1" x14ac:dyDescent="0.25"/>
    <row r="1581" ht="17.45" customHeight="1" x14ac:dyDescent="0.25"/>
    <row r="1582" ht="17.45" customHeight="1" x14ac:dyDescent="0.25"/>
    <row r="1583" ht="17.45" customHeight="1" x14ac:dyDescent="0.25"/>
    <row r="1584" ht="17.45" customHeight="1" x14ac:dyDescent="0.25"/>
    <row r="1585" ht="17.45" customHeight="1" x14ac:dyDescent="0.25"/>
    <row r="1586" ht="17.45" customHeight="1" x14ac:dyDescent="0.25"/>
    <row r="1587" ht="17.45" customHeight="1" x14ac:dyDescent="0.25"/>
    <row r="1588" ht="17.45" customHeight="1" x14ac:dyDescent="0.25"/>
    <row r="1589" ht="17.45" customHeight="1" x14ac:dyDescent="0.25"/>
    <row r="1590" ht="17.45" customHeight="1" x14ac:dyDescent="0.25"/>
    <row r="1591" ht="17.45" customHeight="1" x14ac:dyDescent="0.25"/>
    <row r="1592" ht="17.45" customHeight="1" x14ac:dyDescent="0.25"/>
    <row r="1593" ht="17.45" customHeight="1" x14ac:dyDescent="0.25"/>
    <row r="1594" ht="17.45" customHeight="1" x14ac:dyDescent="0.25"/>
    <row r="1595" ht="17.45" customHeight="1" x14ac:dyDescent="0.25"/>
    <row r="1596" ht="17.45" customHeight="1" x14ac:dyDescent="0.25"/>
    <row r="1597" ht="17.45" customHeight="1" x14ac:dyDescent="0.25"/>
    <row r="1598" ht="17.45" customHeight="1" x14ac:dyDescent="0.25"/>
    <row r="1599" ht="17.45" customHeight="1" x14ac:dyDescent="0.25"/>
    <row r="1600" ht="17.45" customHeight="1" x14ac:dyDescent="0.25"/>
    <row r="1601" ht="17.45" customHeight="1" x14ac:dyDescent="0.25"/>
    <row r="1602" ht="17.45" customHeight="1" x14ac:dyDescent="0.25"/>
    <row r="1603" ht="17.45" customHeight="1" x14ac:dyDescent="0.25"/>
    <row r="1604" ht="17.45" customHeight="1" x14ac:dyDescent="0.25"/>
    <row r="1605" ht="17.45" customHeight="1" x14ac:dyDescent="0.25"/>
    <row r="1606" ht="17.45" customHeight="1" x14ac:dyDescent="0.25"/>
    <row r="1607" ht="17.45" customHeight="1" x14ac:dyDescent="0.25"/>
    <row r="1608" ht="17.45" customHeight="1" x14ac:dyDescent="0.25"/>
    <row r="1609" ht="17.45" customHeight="1" x14ac:dyDescent="0.25"/>
    <row r="1610" ht="17.45" customHeight="1" x14ac:dyDescent="0.25"/>
    <row r="1611" ht="17.45" customHeight="1" x14ac:dyDescent="0.25"/>
    <row r="1612" ht="17.45" customHeight="1" x14ac:dyDescent="0.25"/>
    <row r="1613" ht="17.45" customHeight="1" x14ac:dyDescent="0.25"/>
    <row r="1614" ht="17.45" customHeight="1" x14ac:dyDescent="0.25"/>
    <row r="1615" ht="17.45" customHeight="1" x14ac:dyDescent="0.25"/>
    <row r="1616" ht="17.45" customHeight="1" x14ac:dyDescent="0.25"/>
    <row r="1617" ht="17.45" customHeight="1" x14ac:dyDescent="0.25"/>
    <row r="1618" ht="17.45" customHeight="1" x14ac:dyDescent="0.25"/>
    <row r="1619" ht="17.45" customHeight="1" x14ac:dyDescent="0.25"/>
    <row r="1620" ht="17.45" customHeight="1" x14ac:dyDescent="0.25"/>
    <row r="1621" ht="17.45" customHeight="1" x14ac:dyDescent="0.25"/>
    <row r="1622" ht="17.45" customHeight="1" x14ac:dyDescent="0.25"/>
    <row r="1623" ht="17.45" customHeight="1" x14ac:dyDescent="0.25"/>
    <row r="1624" ht="17.45" customHeight="1" x14ac:dyDescent="0.25"/>
    <row r="1625" ht="17.45" customHeight="1" x14ac:dyDescent="0.25"/>
    <row r="1626" ht="17.45" customHeight="1" x14ac:dyDescent="0.25"/>
    <row r="1627" ht="17.45" customHeight="1" x14ac:dyDescent="0.25"/>
    <row r="1628" ht="17.45" customHeight="1" x14ac:dyDescent="0.25"/>
    <row r="1629" ht="17.45" customHeight="1" x14ac:dyDescent="0.25"/>
    <row r="1630" ht="17.45" customHeight="1" x14ac:dyDescent="0.25"/>
    <row r="1631" ht="17.45" customHeight="1" x14ac:dyDescent="0.25"/>
    <row r="1632" ht="17.45" customHeight="1" x14ac:dyDescent="0.25"/>
    <row r="1633" ht="17.45" customHeight="1" x14ac:dyDescent="0.25"/>
    <row r="1634" ht="17.45" customHeight="1" x14ac:dyDescent="0.25"/>
    <row r="1635" ht="17.45" customHeight="1" x14ac:dyDescent="0.25"/>
    <row r="1636" ht="17.45" customHeight="1" x14ac:dyDescent="0.25"/>
    <row r="1637" ht="17.45" customHeight="1" x14ac:dyDescent="0.25"/>
    <row r="1638" ht="17.45" customHeight="1" x14ac:dyDescent="0.25"/>
    <row r="1639" ht="17.45" customHeight="1" x14ac:dyDescent="0.25"/>
    <row r="1640" ht="17.45" customHeight="1" x14ac:dyDescent="0.25"/>
    <row r="1641" ht="17.45" customHeight="1" x14ac:dyDescent="0.25"/>
    <row r="1642" ht="17.45" customHeight="1" x14ac:dyDescent="0.25"/>
    <row r="1643" ht="17.45" customHeight="1" x14ac:dyDescent="0.25"/>
    <row r="1644" ht="17.45" customHeight="1" x14ac:dyDescent="0.25"/>
    <row r="1645" ht="17.45" customHeight="1" x14ac:dyDescent="0.25"/>
    <row r="1646" ht="17.45" customHeight="1" x14ac:dyDescent="0.25"/>
    <row r="1647" ht="17.45" customHeight="1" x14ac:dyDescent="0.25"/>
    <row r="1648" ht="17.45" customHeight="1" x14ac:dyDescent="0.25"/>
    <row r="1649" ht="17.45" customHeight="1" x14ac:dyDescent="0.25"/>
    <row r="1650" ht="17.45" customHeight="1" x14ac:dyDescent="0.25"/>
    <row r="1651" ht="17.45" customHeight="1" x14ac:dyDescent="0.25"/>
    <row r="1652" ht="17.45" customHeight="1" x14ac:dyDescent="0.25"/>
    <row r="1653" ht="17.45" customHeight="1" x14ac:dyDescent="0.25"/>
    <row r="1654" ht="17.45" customHeight="1" x14ac:dyDescent="0.25"/>
    <row r="1655" ht="17.45" customHeight="1" x14ac:dyDescent="0.25"/>
    <row r="1656" ht="17.45" customHeight="1" x14ac:dyDescent="0.25"/>
    <row r="1657" ht="17.45" customHeight="1" x14ac:dyDescent="0.25"/>
    <row r="1658" ht="17.45" customHeight="1" x14ac:dyDescent="0.25"/>
    <row r="1659" ht="17.45" customHeight="1" x14ac:dyDescent="0.25"/>
    <row r="1660" ht="17.45" customHeight="1" x14ac:dyDescent="0.25"/>
    <row r="1661" ht="17.45" customHeight="1" x14ac:dyDescent="0.25"/>
    <row r="1662" ht="17.45" customHeight="1" x14ac:dyDescent="0.25"/>
    <row r="1663" ht="17.45" customHeight="1" x14ac:dyDescent="0.25"/>
    <row r="1664" ht="17.45" customHeight="1" x14ac:dyDescent="0.25"/>
    <row r="1665" ht="17.45" customHeight="1" x14ac:dyDescent="0.25"/>
    <row r="1666" ht="17.45" customHeight="1" x14ac:dyDescent="0.25"/>
    <row r="1667" ht="17.45" customHeight="1" x14ac:dyDescent="0.25"/>
    <row r="1668" ht="17.45" customHeight="1" x14ac:dyDescent="0.25"/>
    <row r="1669" ht="17.45" customHeight="1" x14ac:dyDescent="0.25"/>
    <row r="1670" ht="17.45" customHeight="1" x14ac:dyDescent="0.25"/>
    <row r="1671" ht="17.45" customHeight="1" x14ac:dyDescent="0.25"/>
    <row r="1672" ht="17.45" customHeight="1" x14ac:dyDescent="0.25"/>
    <row r="1673" ht="17.45" customHeight="1" x14ac:dyDescent="0.25"/>
    <row r="1674" ht="17.45" customHeight="1" x14ac:dyDescent="0.25"/>
    <row r="1675" ht="17.45" customHeight="1" x14ac:dyDescent="0.25"/>
    <row r="1676" ht="17.45" customHeight="1" x14ac:dyDescent="0.25"/>
    <row r="1677" ht="17.45" customHeight="1" x14ac:dyDescent="0.25"/>
    <row r="1678" ht="17.45" customHeight="1" x14ac:dyDescent="0.25"/>
    <row r="1679" ht="17.45" customHeight="1" x14ac:dyDescent="0.25"/>
    <row r="1680" ht="17.45" customHeight="1" x14ac:dyDescent="0.25"/>
    <row r="1681" ht="17.45" customHeight="1" x14ac:dyDescent="0.25"/>
    <row r="1682" ht="17.45" customHeight="1" x14ac:dyDescent="0.25"/>
    <row r="1683" ht="17.45" customHeight="1" x14ac:dyDescent="0.25"/>
    <row r="1684" ht="17.45" customHeight="1" x14ac:dyDescent="0.25"/>
    <row r="1685" ht="17.45" customHeight="1" x14ac:dyDescent="0.25"/>
    <row r="1686" ht="17.45" customHeight="1" x14ac:dyDescent="0.25"/>
    <row r="1687" ht="17.45" customHeight="1" x14ac:dyDescent="0.25"/>
    <row r="1688" ht="17.45" customHeight="1" x14ac:dyDescent="0.25"/>
    <row r="1689" ht="17.45" customHeight="1" x14ac:dyDescent="0.25"/>
    <row r="1690" ht="17.45" customHeight="1" x14ac:dyDescent="0.25"/>
    <row r="1691" ht="17.45" customHeight="1" x14ac:dyDescent="0.25"/>
    <row r="1692" ht="17.45" customHeight="1" x14ac:dyDescent="0.25"/>
    <row r="1693" ht="17.45" customHeight="1" x14ac:dyDescent="0.25"/>
    <row r="1694" ht="17.45" customHeight="1" x14ac:dyDescent="0.25"/>
    <row r="1695" ht="17.45" customHeight="1" x14ac:dyDescent="0.25"/>
    <row r="1696" ht="17.45" customHeight="1" x14ac:dyDescent="0.25"/>
    <row r="1697" ht="17.45" customHeight="1" x14ac:dyDescent="0.25"/>
    <row r="1698" ht="17.45" customHeight="1" x14ac:dyDescent="0.25"/>
    <row r="1699" ht="17.45" customHeight="1" x14ac:dyDescent="0.25"/>
    <row r="1700" ht="17.45" customHeight="1" x14ac:dyDescent="0.25"/>
    <row r="1701" ht="17.45" customHeight="1" x14ac:dyDescent="0.25"/>
    <row r="1702" ht="17.45" customHeight="1" x14ac:dyDescent="0.25"/>
    <row r="1703" ht="17.45" customHeight="1" x14ac:dyDescent="0.25"/>
    <row r="1704" ht="17.45" customHeight="1" x14ac:dyDescent="0.25"/>
    <row r="1705" ht="17.45" customHeight="1" x14ac:dyDescent="0.25"/>
    <row r="1706" ht="17.45" customHeight="1" x14ac:dyDescent="0.25"/>
    <row r="1707" ht="17.45" customHeight="1" x14ac:dyDescent="0.25"/>
    <row r="1708" ht="17.45" customHeight="1" x14ac:dyDescent="0.25"/>
    <row r="1709" ht="17.45" customHeight="1" x14ac:dyDescent="0.25"/>
    <row r="1710" ht="17.45" customHeight="1" x14ac:dyDescent="0.25"/>
    <row r="1711" ht="17.45" customHeight="1" x14ac:dyDescent="0.25"/>
    <row r="1712" ht="17.45" customHeight="1" x14ac:dyDescent="0.25"/>
    <row r="1713" ht="17.45" customHeight="1" x14ac:dyDescent="0.25"/>
    <row r="1714" ht="17.45" customHeight="1" x14ac:dyDescent="0.25"/>
    <row r="1715" ht="17.45" customHeight="1" x14ac:dyDescent="0.25"/>
    <row r="1716" ht="17.45" customHeight="1" x14ac:dyDescent="0.25"/>
    <row r="1717" ht="17.45" customHeight="1" x14ac:dyDescent="0.25"/>
    <row r="1718" ht="17.45" customHeight="1" x14ac:dyDescent="0.25"/>
    <row r="1719" ht="17.45" customHeight="1" x14ac:dyDescent="0.25"/>
    <row r="1720" ht="17.45" customHeight="1" x14ac:dyDescent="0.25"/>
    <row r="1721" ht="17.45" customHeight="1" x14ac:dyDescent="0.25"/>
    <row r="1722" ht="17.45" customHeight="1" x14ac:dyDescent="0.25"/>
    <row r="1723" ht="17.45" customHeight="1" x14ac:dyDescent="0.25"/>
    <row r="1724" ht="17.45" customHeight="1" x14ac:dyDescent="0.25"/>
    <row r="1725" ht="17.45" customHeight="1" x14ac:dyDescent="0.25"/>
    <row r="1726" ht="17.45" customHeight="1" x14ac:dyDescent="0.25"/>
    <row r="1727" ht="17.45" customHeight="1" x14ac:dyDescent="0.25"/>
    <row r="1728" ht="17.45" customHeight="1" x14ac:dyDescent="0.25"/>
    <row r="1729" ht="17.45" customHeight="1" x14ac:dyDescent="0.25"/>
    <row r="1730" ht="17.45" customHeight="1" x14ac:dyDescent="0.25"/>
    <row r="1731" ht="17.45" customHeight="1" x14ac:dyDescent="0.25"/>
    <row r="1732" ht="17.45" customHeight="1" x14ac:dyDescent="0.25"/>
    <row r="1733" ht="17.45" customHeight="1" x14ac:dyDescent="0.25"/>
    <row r="1734" ht="17.45" customHeight="1" x14ac:dyDescent="0.25"/>
    <row r="1735" ht="17.45" customHeight="1" x14ac:dyDescent="0.25"/>
    <row r="1736" ht="17.45" customHeight="1" x14ac:dyDescent="0.25"/>
    <row r="1737" ht="17.45" customHeight="1" x14ac:dyDescent="0.25"/>
    <row r="1738" ht="17.45" customHeight="1" x14ac:dyDescent="0.25"/>
    <row r="1739" ht="17.45" customHeight="1" x14ac:dyDescent="0.25"/>
    <row r="1740" ht="17.45" customHeight="1" x14ac:dyDescent="0.25"/>
    <row r="1741" ht="17.45" customHeight="1" x14ac:dyDescent="0.25"/>
    <row r="1742" ht="17.45" customHeight="1" x14ac:dyDescent="0.25"/>
    <row r="1743" ht="17.45" customHeight="1" x14ac:dyDescent="0.25"/>
    <row r="1744" ht="17.45" customHeight="1" x14ac:dyDescent="0.25"/>
    <row r="1745" ht="17.45" customHeight="1" x14ac:dyDescent="0.25"/>
    <row r="1746" ht="17.45" customHeight="1" x14ac:dyDescent="0.25"/>
    <row r="1747" ht="17.45" customHeight="1" x14ac:dyDescent="0.25"/>
    <row r="1748" ht="17.45" customHeight="1" x14ac:dyDescent="0.25"/>
    <row r="1749" ht="17.45" customHeight="1" x14ac:dyDescent="0.25"/>
    <row r="1750" ht="17.45" customHeight="1" x14ac:dyDescent="0.25"/>
    <row r="1751" ht="17.45" customHeight="1" x14ac:dyDescent="0.25"/>
    <row r="1752" ht="17.45" customHeight="1" x14ac:dyDescent="0.25"/>
    <row r="1753" ht="17.45" customHeight="1" x14ac:dyDescent="0.25"/>
    <row r="1754" ht="17.45" customHeight="1" x14ac:dyDescent="0.25"/>
    <row r="1755" ht="17.45" customHeight="1" x14ac:dyDescent="0.25"/>
    <row r="1756" ht="17.45" customHeight="1" x14ac:dyDescent="0.25"/>
    <row r="1757" ht="17.45" customHeight="1" x14ac:dyDescent="0.25"/>
    <row r="1758" ht="17.45" customHeight="1" x14ac:dyDescent="0.25"/>
    <row r="1759" ht="17.45" customHeight="1" x14ac:dyDescent="0.25"/>
    <row r="1760" ht="17.45" customHeight="1" x14ac:dyDescent="0.25"/>
    <row r="1761" ht="17.45" customHeight="1" x14ac:dyDescent="0.25"/>
    <row r="1762" ht="17.45" customHeight="1" x14ac:dyDescent="0.25"/>
    <row r="1763" ht="17.45" customHeight="1" x14ac:dyDescent="0.25"/>
    <row r="1764" ht="17.45" customHeight="1" x14ac:dyDescent="0.25"/>
    <row r="1765" ht="17.45" customHeight="1" x14ac:dyDescent="0.25"/>
    <row r="1766" ht="17.45" customHeight="1" x14ac:dyDescent="0.25"/>
    <row r="1767" ht="17.45" customHeight="1" x14ac:dyDescent="0.25"/>
    <row r="1768" ht="17.45" customHeight="1" x14ac:dyDescent="0.25"/>
    <row r="1769" ht="17.45" customHeight="1" x14ac:dyDescent="0.25"/>
    <row r="1770" ht="17.45" customHeight="1" x14ac:dyDescent="0.25"/>
    <row r="1771" ht="17.45" customHeight="1" x14ac:dyDescent="0.25"/>
    <row r="1772" ht="17.45" customHeight="1" x14ac:dyDescent="0.25"/>
    <row r="1773" ht="17.45" customHeight="1" x14ac:dyDescent="0.25"/>
    <row r="1774" ht="17.45" customHeight="1" x14ac:dyDescent="0.25"/>
    <row r="1775" ht="17.45" customHeight="1" x14ac:dyDescent="0.25"/>
    <row r="1776" ht="17.45" customHeight="1" x14ac:dyDescent="0.25"/>
    <row r="1777" ht="17.45" customHeight="1" x14ac:dyDescent="0.25"/>
    <row r="1778" ht="17.45" customHeight="1" x14ac:dyDescent="0.25"/>
    <row r="1779" ht="17.45" customHeight="1" x14ac:dyDescent="0.25"/>
    <row r="1780" ht="17.45" customHeight="1" x14ac:dyDescent="0.25"/>
    <row r="1781" ht="17.45" customHeight="1" x14ac:dyDescent="0.25"/>
    <row r="1782" ht="17.45" customHeight="1" x14ac:dyDescent="0.25"/>
    <row r="1783" ht="17.45" customHeight="1" x14ac:dyDescent="0.25"/>
    <row r="1784" ht="17.45" customHeight="1" x14ac:dyDescent="0.25"/>
    <row r="1785" ht="17.45" customHeight="1" x14ac:dyDescent="0.25"/>
    <row r="1786" ht="17.45" customHeight="1" x14ac:dyDescent="0.25"/>
    <row r="1787" ht="17.45" customHeight="1" x14ac:dyDescent="0.25"/>
    <row r="1788" ht="17.45" customHeight="1" x14ac:dyDescent="0.25"/>
    <row r="1789" ht="17.45" customHeight="1" x14ac:dyDescent="0.25"/>
    <row r="1790" ht="17.45" customHeight="1" x14ac:dyDescent="0.25"/>
    <row r="1791" ht="17.45" customHeight="1" x14ac:dyDescent="0.25"/>
    <row r="1792" ht="17.45" customHeight="1" x14ac:dyDescent="0.25"/>
    <row r="1793" ht="17.45" customHeight="1" x14ac:dyDescent="0.25"/>
    <row r="1794" ht="17.45" customHeight="1" x14ac:dyDescent="0.25"/>
    <row r="1795" ht="17.45" customHeight="1" x14ac:dyDescent="0.25"/>
    <row r="1796" ht="17.45" customHeight="1" x14ac:dyDescent="0.25"/>
    <row r="1797" ht="17.45" customHeight="1" x14ac:dyDescent="0.25"/>
    <row r="1798" ht="17.45" customHeight="1" x14ac:dyDescent="0.25"/>
    <row r="1799" ht="17.45" customHeight="1" x14ac:dyDescent="0.25"/>
    <row r="1800" ht="17.45" customHeight="1" x14ac:dyDescent="0.25"/>
    <row r="1801" ht="17.45" customHeight="1" x14ac:dyDescent="0.25"/>
    <row r="1802" ht="17.45" customHeight="1" x14ac:dyDescent="0.25"/>
    <row r="1803" ht="17.45" customHeight="1" x14ac:dyDescent="0.25"/>
    <row r="1804" ht="17.45" customHeight="1" x14ac:dyDescent="0.25"/>
    <row r="1805" ht="17.45" customHeight="1" x14ac:dyDescent="0.25"/>
    <row r="1806" ht="17.45" customHeight="1" x14ac:dyDescent="0.25"/>
    <row r="1807" ht="17.45" customHeight="1" x14ac:dyDescent="0.25"/>
    <row r="1808" ht="17.45" customHeight="1" x14ac:dyDescent="0.25"/>
    <row r="1809" ht="17.45" customHeight="1" x14ac:dyDescent="0.25"/>
    <row r="1810" ht="17.45" customHeight="1" x14ac:dyDescent="0.25"/>
    <row r="1811" ht="17.45" customHeight="1" x14ac:dyDescent="0.25"/>
    <row r="1812" ht="17.45" customHeight="1" x14ac:dyDescent="0.25"/>
    <row r="1813" ht="17.45" customHeight="1" x14ac:dyDescent="0.25"/>
    <row r="1814" ht="17.45" customHeight="1" x14ac:dyDescent="0.25"/>
    <row r="1815" ht="17.45" customHeight="1" x14ac:dyDescent="0.25"/>
    <row r="1816" ht="17.45" customHeight="1" x14ac:dyDescent="0.25"/>
    <row r="1817" ht="17.45" customHeight="1" x14ac:dyDescent="0.25"/>
    <row r="1818" ht="17.45" customHeight="1" x14ac:dyDescent="0.25"/>
    <row r="1819" ht="17.45" customHeight="1" x14ac:dyDescent="0.25"/>
    <row r="1820" ht="17.45" customHeight="1" x14ac:dyDescent="0.25"/>
    <row r="1821" ht="17.45" customHeight="1" x14ac:dyDescent="0.25"/>
    <row r="1822" ht="17.45" customHeight="1" x14ac:dyDescent="0.25"/>
    <row r="1823" ht="17.45" customHeight="1" x14ac:dyDescent="0.25"/>
    <row r="1824" ht="17.45" customHeight="1" x14ac:dyDescent="0.25"/>
    <row r="1825" ht="17.45" customHeight="1" x14ac:dyDescent="0.25"/>
    <row r="1826" ht="17.45" customHeight="1" x14ac:dyDescent="0.25"/>
    <row r="1827" ht="17.45" customHeight="1" x14ac:dyDescent="0.25"/>
    <row r="1828" ht="17.45" customHeight="1" x14ac:dyDescent="0.25"/>
    <row r="1829" ht="17.45" customHeight="1" x14ac:dyDescent="0.25"/>
    <row r="1830" ht="17.45" customHeight="1" x14ac:dyDescent="0.25"/>
    <row r="1831" ht="17.45" customHeight="1" x14ac:dyDescent="0.25"/>
    <row r="1832" ht="17.45" customHeight="1" x14ac:dyDescent="0.25"/>
    <row r="1833" ht="17.45" customHeight="1" x14ac:dyDescent="0.25"/>
    <row r="1834" ht="17.45" customHeight="1" x14ac:dyDescent="0.25"/>
    <row r="1835" ht="17.45" customHeight="1" x14ac:dyDescent="0.25"/>
    <row r="1836" ht="17.45" customHeight="1" x14ac:dyDescent="0.25"/>
    <row r="1837" ht="17.45" customHeight="1" x14ac:dyDescent="0.25"/>
    <row r="1838" ht="17.45" customHeight="1" x14ac:dyDescent="0.25"/>
    <row r="1839" ht="17.45" customHeight="1" x14ac:dyDescent="0.25"/>
    <row r="1840" ht="17.45" customHeight="1" x14ac:dyDescent="0.25"/>
    <row r="1841" ht="17.45" customHeight="1" x14ac:dyDescent="0.25"/>
    <row r="1842" ht="17.45" customHeight="1" x14ac:dyDescent="0.25"/>
    <row r="1843" ht="17.45" customHeight="1" x14ac:dyDescent="0.25"/>
    <row r="1844" ht="17.45" customHeight="1" x14ac:dyDescent="0.25"/>
    <row r="1845" ht="17.45" customHeight="1" x14ac:dyDescent="0.25"/>
    <row r="1846" ht="17.45" customHeight="1" x14ac:dyDescent="0.25"/>
    <row r="1847" ht="17.45" customHeight="1" x14ac:dyDescent="0.25"/>
    <row r="1848" ht="17.45" customHeight="1" x14ac:dyDescent="0.25"/>
    <row r="1849" ht="17.45" customHeight="1" x14ac:dyDescent="0.25"/>
    <row r="1850" ht="17.45" customHeight="1" x14ac:dyDescent="0.25"/>
    <row r="1851" ht="17.45" customHeight="1" x14ac:dyDescent="0.25"/>
    <row r="1852" ht="17.45" customHeight="1" x14ac:dyDescent="0.25"/>
    <row r="1853" ht="17.45" customHeight="1" x14ac:dyDescent="0.25"/>
    <row r="1854" ht="17.45" customHeight="1" x14ac:dyDescent="0.25"/>
    <row r="1855" ht="17.45" customHeight="1" x14ac:dyDescent="0.25"/>
    <row r="1856" ht="17.45" customHeight="1" x14ac:dyDescent="0.25"/>
    <row r="1857" ht="17.45" customHeight="1" x14ac:dyDescent="0.25"/>
    <row r="1858" ht="17.45" customHeight="1" x14ac:dyDescent="0.25"/>
    <row r="1859" ht="17.45" customHeight="1" x14ac:dyDescent="0.25"/>
    <row r="1860" ht="17.45" customHeight="1" x14ac:dyDescent="0.25"/>
    <row r="1861" ht="17.45" customHeight="1" x14ac:dyDescent="0.25"/>
    <row r="1862" ht="17.45" customHeight="1" x14ac:dyDescent="0.25"/>
    <row r="1863" ht="17.45" customHeight="1" x14ac:dyDescent="0.25"/>
    <row r="1864" ht="17.45" customHeight="1" x14ac:dyDescent="0.25"/>
    <row r="1865" ht="17.45" customHeight="1" x14ac:dyDescent="0.25"/>
    <row r="1866" ht="17.45" customHeight="1" x14ac:dyDescent="0.25"/>
    <row r="1867" ht="17.45" customHeight="1" x14ac:dyDescent="0.25"/>
    <row r="1868" ht="17.45" customHeight="1" x14ac:dyDescent="0.25"/>
    <row r="1869" ht="17.45" customHeight="1" x14ac:dyDescent="0.25"/>
    <row r="1870" ht="17.45" customHeight="1" x14ac:dyDescent="0.25"/>
    <row r="1871" ht="17.45" customHeight="1" x14ac:dyDescent="0.25"/>
    <row r="1872" ht="17.45" customHeight="1" x14ac:dyDescent="0.25"/>
    <row r="1873" ht="17.45" customHeight="1" x14ac:dyDescent="0.25"/>
    <row r="1874" ht="17.45" customHeight="1" x14ac:dyDescent="0.25"/>
    <row r="1875" ht="17.45" customHeight="1" x14ac:dyDescent="0.25"/>
    <row r="1876" ht="17.45" customHeight="1" x14ac:dyDescent="0.25"/>
    <row r="1877" ht="17.45" customHeight="1" x14ac:dyDescent="0.25"/>
    <row r="1878" ht="17.45" customHeight="1" x14ac:dyDescent="0.25"/>
    <row r="1879" ht="17.45" customHeight="1" x14ac:dyDescent="0.25"/>
    <row r="1880" ht="17.45" customHeight="1" x14ac:dyDescent="0.25"/>
    <row r="1881" ht="17.45" customHeight="1" x14ac:dyDescent="0.25"/>
    <row r="1882" ht="17.45" customHeight="1" x14ac:dyDescent="0.25"/>
    <row r="1883" ht="17.45" customHeight="1" x14ac:dyDescent="0.25"/>
    <row r="1884" ht="17.45" customHeight="1" x14ac:dyDescent="0.25"/>
    <row r="1885" ht="17.45" customHeight="1" x14ac:dyDescent="0.25"/>
    <row r="1886" ht="17.45" customHeight="1" x14ac:dyDescent="0.25"/>
    <row r="1887" ht="17.45" customHeight="1" x14ac:dyDescent="0.25"/>
    <row r="1888" ht="17.45" customHeight="1" x14ac:dyDescent="0.25"/>
    <row r="1889" ht="17.45" customHeight="1" x14ac:dyDescent="0.25"/>
    <row r="1890" ht="17.45" customHeight="1" x14ac:dyDescent="0.25"/>
    <row r="1891" ht="17.45" customHeight="1" x14ac:dyDescent="0.25"/>
    <row r="1892" ht="17.45" customHeight="1" x14ac:dyDescent="0.25"/>
    <row r="1893" ht="17.45" customHeight="1" x14ac:dyDescent="0.25"/>
    <row r="1894" ht="17.45" customHeight="1" x14ac:dyDescent="0.25"/>
    <row r="1895" ht="17.45" customHeight="1" x14ac:dyDescent="0.25"/>
    <row r="1896" ht="17.45" customHeight="1" x14ac:dyDescent="0.25"/>
    <row r="1897" ht="17.45" customHeight="1" x14ac:dyDescent="0.25"/>
    <row r="1898" ht="17.45" customHeight="1" x14ac:dyDescent="0.25"/>
    <row r="1899" ht="17.45" customHeight="1" x14ac:dyDescent="0.25"/>
    <row r="1900" ht="17.45" customHeight="1" x14ac:dyDescent="0.25"/>
    <row r="1901" ht="17.45" customHeight="1" x14ac:dyDescent="0.25"/>
    <row r="1902" ht="17.45" customHeight="1" x14ac:dyDescent="0.25"/>
    <row r="1903" ht="17.45" customHeight="1" x14ac:dyDescent="0.25"/>
    <row r="1904" ht="17.45" customHeight="1" x14ac:dyDescent="0.25"/>
    <row r="1905" ht="17.45" customHeight="1" x14ac:dyDescent="0.25"/>
    <row r="1906" ht="17.45" customHeight="1" x14ac:dyDescent="0.25"/>
    <row r="1907" ht="17.45" customHeight="1" x14ac:dyDescent="0.25"/>
    <row r="1908" ht="17.45" customHeight="1" x14ac:dyDescent="0.25"/>
    <row r="1909" ht="17.45" customHeight="1" x14ac:dyDescent="0.25"/>
    <row r="1910" ht="17.45" customHeight="1" x14ac:dyDescent="0.25"/>
    <row r="1911" ht="17.45" customHeight="1" x14ac:dyDescent="0.25"/>
    <row r="1912" ht="17.45" customHeight="1" x14ac:dyDescent="0.25"/>
    <row r="1913" ht="17.45" customHeight="1" x14ac:dyDescent="0.25"/>
    <row r="1914" ht="17.45" customHeight="1" x14ac:dyDescent="0.25"/>
    <row r="1915" ht="17.45" customHeight="1" x14ac:dyDescent="0.25"/>
    <row r="1916" ht="17.45" customHeight="1" x14ac:dyDescent="0.25"/>
    <row r="1917" ht="17.45" customHeight="1" x14ac:dyDescent="0.25"/>
    <row r="1918" ht="17.45" customHeight="1" x14ac:dyDescent="0.25"/>
    <row r="1919" ht="17.45" customHeight="1" x14ac:dyDescent="0.25"/>
    <row r="1920" ht="17.45" customHeight="1" x14ac:dyDescent="0.25"/>
    <row r="1921" ht="17.45" customHeight="1" x14ac:dyDescent="0.25"/>
    <row r="1922" ht="17.45" customHeight="1" x14ac:dyDescent="0.25"/>
    <row r="1923" ht="17.45" customHeight="1" x14ac:dyDescent="0.25"/>
    <row r="1924" ht="17.45" customHeight="1" x14ac:dyDescent="0.25"/>
    <row r="1925" ht="17.45" customHeight="1" x14ac:dyDescent="0.25"/>
    <row r="1926" ht="17.45" customHeight="1" x14ac:dyDescent="0.25"/>
    <row r="1927" ht="17.45" customHeight="1" x14ac:dyDescent="0.25"/>
    <row r="1928" ht="17.45" customHeight="1" x14ac:dyDescent="0.25"/>
    <row r="1929" ht="17.45" customHeight="1" x14ac:dyDescent="0.25"/>
    <row r="1930" ht="17.45" customHeight="1" x14ac:dyDescent="0.25"/>
    <row r="1931" ht="17.45" customHeight="1" x14ac:dyDescent="0.25"/>
    <row r="1932" ht="17.45" customHeight="1" x14ac:dyDescent="0.25"/>
    <row r="1933" ht="17.45" customHeight="1" x14ac:dyDescent="0.25"/>
    <row r="1934" ht="17.45" customHeight="1" x14ac:dyDescent="0.25"/>
    <row r="1935" ht="17.45" customHeight="1" x14ac:dyDescent="0.25"/>
    <row r="1936" ht="17.45" customHeight="1" x14ac:dyDescent="0.25"/>
    <row r="1937" ht="17.45" customHeight="1" x14ac:dyDescent="0.25"/>
    <row r="1938" ht="17.45" customHeight="1" x14ac:dyDescent="0.25"/>
    <row r="1939" ht="17.45" customHeight="1" x14ac:dyDescent="0.25"/>
    <row r="1940" ht="17.45" customHeight="1" x14ac:dyDescent="0.25"/>
    <row r="1941" ht="17.45" customHeight="1" x14ac:dyDescent="0.25"/>
    <row r="1942" ht="17.45" customHeight="1" x14ac:dyDescent="0.25"/>
    <row r="1943" ht="17.45" customHeight="1" x14ac:dyDescent="0.25"/>
    <row r="1944" ht="17.45" customHeight="1" x14ac:dyDescent="0.25"/>
    <row r="1945" ht="17.45" customHeight="1" x14ac:dyDescent="0.25"/>
    <row r="1946" ht="17.45" customHeight="1" x14ac:dyDescent="0.25"/>
    <row r="1947" ht="17.45" customHeight="1" x14ac:dyDescent="0.25"/>
    <row r="1948" ht="17.45" customHeight="1" x14ac:dyDescent="0.25"/>
    <row r="1949" ht="17.45" customHeight="1" x14ac:dyDescent="0.25"/>
    <row r="1950" ht="17.45" customHeight="1" x14ac:dyDescent="0.25"/>
    <row r="1951" ht="17.45" customHeight="1" x14ac:dyDescent="0.25"/>
    <row r="1952" ht="17.45" customHeight="1" x14ac:dyDescent="0.25"/>
    <row r="1953" ht="17.45" customHeight="1" x14ac:dyDescent="0.25"/>
    <row r="1954" ht="17.45" customHeight="1" x14ac:dyDescent="0.25"/>
    <row r="1955" ht="17.45" customHeight="1" x14ac:dyDescent="0.25"/>
    <row r="1956" ht="17.45" customHeight="1" x14ac:dyDescent="0.25"/>
    <row r="1957" ht="17.45" customHeight="1" x14ac:dyDescent="0.25"/>
    <row r="1958" ht="17.45" customHeight="1" x14ac:dyDescent="0.25"/>
    <row r="1959" ht="17.45" customHeight="1" x14ac:dyDescent="0.25"/>
    <row r="1960" ht="17.45" customHeight="1" x14ac:dyDescent="0.25"/>
    <row r="1961" ht="17.45" customHeight="1" x14ac:dyDescent="0.25"/>
    <row r="1962" ht="17.45" customHeight="1" x14ac:dyDescent="0.25"/>
    <row r="1963" ht="17.45" customHeight="1" x14ac:dyDescent="0.25"/>
    <row r="1964" ht="17.45" customHeight="1" x14ac:dyDescent="0.25"/>
    <row r="1965" ht="17.45" customHeight="1" x14ac:dyDescent="0.25"/>
    <row r="1966" ht="17.45" customHeight="1" x14ac:dyDescent="0.25"/>
    <row r="1967" ht="17.45" customHeight="1" x14ac:dyDescent="0.25"/>
    <row r="1968" ht="17.45" customHeight="1" x14ac:dyDescent="0.25"/>
    <row r="1969" ht="17.45" customHeight="1" x14ac:dyDescent="0.25"/>
    <row r="1970" ht="17.45" customHeight="1" x14ac:dyDescent="0.25"/>
    <row r="1971" ht="17.45" customHeight="1" x14ac:dyDescent="0.25"/>
    <row r="1972" ht="17.45" customHeight="1" x14ac:dyDescent="0.25"/>
    <row r="1973" ht="17.45" customHeight="1" x14ac:dyDescent="0.25"/>
    <row r="1974" ht="17.45" customHeight="1" x14ac:dyDescent="0.25"/>
    <row r="1975" ht="17.45" customHeight="1" x14ac:dyDescent="0.25"/>
    <row r="1976" ht="17.45" customHeight="1" x14ac:dyDescent="0.25"/>
    <row r="1977" ht="17.45" customHeight="1" x14ac:dyDescent="0.25"/>
    <row r="1978" ht="17.45" customHeight="1" x14ac:dyDescent="0.25"/>
    <row r="1979" ht="17.45" customHeight="1" x14ac:dyDescent="0.25"/>
    <row r="1980" ht="17.45" customHeight="1" x14ac:dyDescent="0.25"/>
    <row r="1981" ht="17.45" customHeight="1" x14ac:dyDescent="0.25"/>
    <row r="1982" ht="17.45" customHeight="1" x14ac:dyDescent="0.25"/>
    <row r="1983" ht="17.45" customHeight="1" x14ac:dyDescent="0.25"/>
    <row r="1984" ht="17.45" customHeight="1" x14ac:dyDescent="0.25"/>
    <row r="1985" ht="17.45" customHeight="1" x14ac:dyDescent="0.25"/>
    <row r="1986" ht="17.45" customHeight="1" x14ac:dyDescent="0.25"/>
    <row r="1987" ht="17.45" customHeight="1" x14ac:dyDescent="0.25"/>
    <row r="1988" ht="17.45" customHeight="1" x14ac:dyDescent="0.25"/>
    <row r="1989" ht="17.45" customHeight="1" x14ac:dyDescent="0.25"/>
    <row r="1990" ht="17.45" customHeight="1" x14ac:dyDescent="0.25"/>
    <row r="1991" ht="17.45" customHeight="1" x14ac:dyDescent="0.25"/>
    <row r="1992" ht="17.45" customHeight="1" x14ac:dyDescent="0.25"/>
    <row r="1993" ht="17.45" customHeight="1" x14ac:dyDescent="0.25"/>
    <row r="1994" ht="17.45" customHeight="1" x14ac:dyDescent="0.25"/>
    <row r="1995" ht="17.45" customHeight="1" x14ac:dyDescent="0.25"/>
    <row r="1996" ht="17.45" customHeight="1" x14ac:dyDescent="0.25"/>
    <row r="1997" ht="17.45" customHeight="1" x14ac:dyDescent="0.25"/>
    <row r="1998" ht="17.45" customHeight="1" x14ac:dyDescent="0.25"/>
    <row r="1999" ht="17.45" customHeight="1" x14ac:dyDescent="0.25"/>
    <row r="2000" ht="17.45" customHeight="1" x14ac:dyDescent="0.25"/>
  </sheetData>
  <sheetProtection selectLockedCells="1"/>
  <protectedRanges>
    <protectedRange sqref="I9:I14 H9:H10 F11:G14 H12:H14" name="PreRetrofit"/>
    <protectedRange sqref="D9:E14" name="SpaceDescription"/>
    <protectedRange sqref="F9:G10" name="PreRetrofit_1"/>
  </protectedRanges>
  <dataValidations count="3">
    <dataValidation type="list" showInputMessage="1" showErrorMessage="1" sqref="WVI983049:WVI983054 IW9:IW14 SS9:SS14 ACO9:ACO14 AMK9:AMK14 AWG9:AWG14 BGC9:BGC14 BPY9:BPY14 BZU9:BZU14 CJQ9:CJQ14 CTM9:CTM14 DDI9:DDI14 DNE9:DNE14 DXA9:DXA14 EGW9:EGW14 EQS9:EQS14 FAO9:FAO14 FKK9:FKK14 FUG9:FUG14 GEC9:GEC14 GNY9:GNY14 GXU9:GXU14 HHQ9:HHQ14 HRM9:HRM14 IBI9:IBI14 ILE9:ILE14 IVA9:IVA14 JEW9:JEW14 JOS9:JOS14 JYO9:JYO14 KIK9:KIK14 KSG9:KSG14 LCC9:LCC14 LLY9:LLY14 LVU9:LVU14 MFQ9:MFQ14 MPM9:MPM14 MZI9:MZI14 NJE9:NJE14 NTA9:NTA14 OCW9:OCW14 OMS9:OMS14 OWO9:OWO14 PGK9:PGK14 PQG9:PQG14 QAC9:QAC14 QJY9:QJY14 QTU9:QTU14 RDQ9:RDQ14 RNM9:RNM14 RXI9:RXI14 SHE9:SHE14 SRA9:SRA14 TAW9:TAW14 TKS9:TKS14 TUO9:TUO14 UEK9:UEK14 UOG9:UOG14 UYC9:UYC14 VHY9:VHY14 VRU9:VRU14 WBQ9:WBQ14 WLM9:WLM14 WVI9:WVI14 E65545:E65550 IW65545:IW65550 SS65545:SS65550 ACO65545:ACO65550 AMK65545:AMK65550 AWG65545:AWG65550 BGC65545:BGC65550 BPY65545:BPY65550 BZU65545:BZU65550 CJQ65545:CJQ65550 CTM65545:CTM65550 DDI65545:DDI65550 DNE65545:DNE65550 DXA65545:DXA65550 EGW65545:EGW65550 EQS65545:EQS65550 FAO65545:FAO65550 FKK65545:FKK65550 FUG65545:FUG65550 GEC65545:GEC65550 GNY65545:GNY65550 GXU65545:GXU65550 HHQ65545:HHQ65550 HRM65545:HRM65550 IBI65545:IBI65550 ILE65545:ILE65550 IVA65545:IVA65550 JEW65545:JEW65550 JOS65545:JOS65550 JYO65545:JYO65550 KIK65545:KIK65550 KSG65545:KSG65550 LCC65545:LCC65550 LLY65545:LLY65550 LVU65545:LVU65550 MFQ65545:MFQ65550 MPM65545:MPM65550 MZI65545:MZI65550 NJE65545:NJE65550 NTA65545:NTA65550 OCW65545:OCW65550 OMS65545:OMS65550 OWO65545:OWO65550 PGK65545:PGK65550 PQG65545:PQG65550 QAC65545:QAC65550 QJY65545:QJY65550 QTU65545:QTU65550 RDQ65545:RDQ65550 RNM65545:RNM65550 RXI65545:RXI65550 SHE65545:SHE65550 SRA65545:SRA65550 TAW65545:TAW65550 TKS65545:TKS65550 TUO65545:TUO65550 UEK65545:UEK65550 UOG65545:UOG65550 UYC65545:UYC65550 VHY65545:VHY65550 VRU65545:VRU65550 WBQ65545:WBQ65550 WLM65545:WLM65550 WVI65545:WVI65550 E131081:E131086 IW131081:IW131086 SS131081:SS131086 ACO131081:ACO131086 AMK131081:AMK131086 AWG131081:AWG131086 BGC131081:BGC131086 BPY131081:BPY131086 BZU131081:BZU131086 CJQ131081:CJQ131086 CTM131081:CTM131086 DDI131081:DDI131086 DNE131081:DNE131086 DXA131081:DXA131086 EGW131081:EGW131086 EQS131081:EQS131086 FAO131081:FAO131086 FKK131081:FKK131086 FUG131081:FUG131086 GEC131081:GEC131086 GNY131081:GNY131086 GXU131081:GXU131086 HHQ131081:HHQ131086 HRM131081:HRM131086 IBI131081:IBI131086 ILE131081:ILE131086 IVA131081:IVA131086 JEW131081:JEW131086 JOS131081:JOS131086 JYO131081:JYO131086 KIK131081:KIK131086 KSG131081:KSG131086 LCC131081:LCC131086 LLY131081:LLY131086 LVU131081:LVU131086 MFQ131081:MFQ131086 MPM131081:MPM131086 MZI131081:MZI131086 NJE131081:NJE131086 NTA131081:NTA131086 OCW131081:OCW131086 OMS131081:OMS131086 OWO131081:OWO131086 PGK131081:PGK131086 PQG131081:PQG131086 QAC131081:QAC131086 QJY131081:QJY131086 QTU131081:QTU131086 RDQ131081:RDQ131086 RNM131081:RNM131086 RXI131081:RXI131086 SHE131081:SHE131086 SRA131081:SRA131086 TAW131081:TAW131086 TKS131081:TKS131086 TUO131081:TUO131086 UEK131081:UEK131086 UOG131081:UOG131086 UYC131081:UYC131086 VHY131081:VHY131086 VRU131081:VRU131086 WBQ131081:WBQ131086 WLM131081:WLM131086 WVI131081:WVI131086 E196617:E196622 IW196617:IW196622 SS196617:SS196622 ACO196617:ACO196622 AMK196617:AMK196622 AWG196617:AWG196622 BGC196617:BGC196622 BPY196617:BPY196622 BZU196617:BZU196622 CJQ196617:CJQ196622 CTM196617:CTM196622 DDI196617:DDI196622 DNE196617:DNE196622 DXA196617:DXA196622 EGW196617:EGW196622 EQS196617:EQS196622 FAO196617:FAO196622 FKK196617:FKK196622 FUG196617:FUG196622 GEC196617:GEC196622 GNY196617:GNY196622 GXU196617:GXU196622 HHQ196617:HHQ196622 HRM196617:HRM196622 IBI196617:IBI196622 ILE196617:ILE196622 IVA196617:IVA196622 JEW196617:JEW196622 JOS196617:JOS196622 JYO196617:JYO196622 KIK196617:KIK196622 KSG196617:KSG196622 LCC196617:LCC196622 LLY196617:LLY196622 LVU196617:LVU196622 MFQ196617:MFQ196622 MPM196617:MPM196622 MZI196617:MZI196622 NJE196617:NJE196622 NTA196617:NTA196622 OCW196617:OCW196622 OMS196617:OMS196622 OWO196617:OWO196622 PGK196617:PGK196622 PQG196617:PQG196622 QAC196617:QAC196622 QJY196617:QJY196622 QTU196617:QTU196622 RDQ196617:RDQ196622 RNM196617:RNM196622 RXI196617:RXI196622 SHE196617:SHE196622 SRA196617:SRA196622 TAW196617:TAW196622 TKS196617:TKS196622 TUO196617:TUO196622 UEK196617:UEK196622 UOG196617:UOG196622 UYC196617:UYC196622 VHY196617:VHY196622 VRU196617:VRU196622 WBQ196617:WBQ196622 WLM196617:WLM196622 WVI196617:WVI196622 E262153:E262158 IW262153:IW262158 SS262153:SS262158 ACO262153:ACO262158 AMK262153:AMK262158 AWG262153:AWG262158 BGC262153:BGC262158 BPY262153:BPY262158 BZU262153:BZU262158 CJQ262153:CJQ262158 CTM262153:CTM262158 DDI262153:DDI262158 DNE262153:DNE262158 DXA262153:DXA262158 EGW262153:EGW262158 EQS262153:EQS262158 FAO262153:FAO262158 FKK262153:FKK262158 FUG262153:FUG262158 GEC262153:GEC262158 GNY262153:GNY262158 GXU262153:GXU262158 HHQ262153:HHQ262158 HRM262153:HRM262158 IBI262153:IBI262158 ILE262153:ILE262158 IVA262153:IVA262158 JEW262153:JEW262158 JOS262153:JOS262158 JYO262153:JYO262158 KIK262153:KIK262158 KSG262153:KSG262158 LCC262153:LCC262158 LLY262153:LLY262158 LVU262153:LVU262158 MFQ262153:MFQ262158 MPM262153:MPM262158 MZI262153:MZI262158 NJE262153:NJE262158 NTA262153:NTA262158 OCW262153:OCW262158 OMS262153:OMS262158 OWO262153:OWO262158 PGK262153:PGK262158 PQG262153:PQG262158 QAC262153:QAC262158 QJY262153:QJY262158 QTU262153:QTU262158 RDQ262153:RDQ262158 RNM262153:RNM262158 RXI262153:RXI262158 SHE262153:SHE262158 SRA262153:SRA262158 TAW262153:TAW262158 TKS262153:TKS262158 TUO262153:TUO262158 UEK262153:UEK262158 UOG262153:UOG262158 UYC262153:UYC262158 VHY262153:VHY262158 VRU262153:VRU262158 WBQ262153:WBQ262158 WLM262153:WLM262158 WVI262153:WVI262158 E327689:E327694 IW327689:IW327694 SS327689:SS327694 ACO327689:ACO327694 AMK327689:AMK327694 AWG327689:AWG327694 BGC327689:BGC327694 BPY327689:BPY327694 BZU327689:BZU327694 CJQ327689:CJQ327694 CTM327689:CTM327694 DDI327689:DDI327694 DNE327689:DNE327694 DXA327689:DXA327694 EGW327689:EGW327694 EQS327689:EQS327694 FAO327689:FAO327694 FKK327689:FKK327694 FUG327689:FUG327694 GEC327689:GEC327694 GNY327689:GNY327694 GXU327689:GXU327694 HHQ327689:HHQ327694 HRM327689:HRM327694 IBI327689:IBI327694 ILE327689:ILE327694 IVA327689:IVA327694 JEW327689:JEW327694 JOS327689:JOS327694 JYO327689:JYO327694 KIK327689:KIK327694 KSG327689:KSG327694 LCC327689:LCC327694 LLY327689:LLY327694 LVU327689:LVU327694 MFQ327689:MFQ327694 MPM327689:MPM327694 MZI327689:MZI327694 NJE327689:NJE327694 NTA327689:NTA327694 OCW327689:OCW327694 OMS327689:OMS327694 OWO327689:OWO327694 PGK327689:PGK327694 PQG327689:PQG327694 QAC327689:QAC327694 QJY327689:QJY327694 QTU327689:QTU327694 RDQ327689:RDQ327694 RNM327689:RNM327694 RXI327689:RXI327694 SHE327689:SHE327694 SRA327689:SRA327694 TAW327689:TAW327694 TKS327689:TKS327694 TUO327689:TUO327694 UEK327689:UEK327694 UOG327689:UOG327694 UYC327689:UYC327694 VHY327689:VHY327694 VRU327689:VRU327694 WBQ327689:WBQ327694 WLM327689:WLM327694 WVI327689:WVI327694 E393225:E393230 IW393225:IW393230 SS393225:SS393230 ACO393225:ACO393230 AMK393225:AMK393230 AWG393225:AWG393230 BGC393225:BGC393230 BPY393225:BPY393230 BZU393225:BZU393230 CJQ393225:CJQ393230 CTM393225:CTM393230 DDI393225:DDI393230 DNE393225:DNE393230 DXA393225:DXA393230 EGW393225:EGW393230 EQS393225:EQS393230 FAO393225:FAO393230 FKK393225:FKK393230 FUG393225:FUG393230 GEC393225:GEC393230 GNY393225:GNY393230 GXU393225:GXU393230 HHQ393225:HHQ393230 HRM393225:HRM393230 IBI393225:IBI393230 ILE393225:ILE393230 IVA393225:IVA393230 JEW393225:JEW393230 JOS393225:JOS393230 JYO393225:JYO393230 KIK393225:KIK393230 KSG393225:KSG393230 LCC393225:LCC393230 LLY393225:LLY393230 LVU393225:LVU393230 MFQ393225:MFQ393230 MPM393225:MPM393230 MZI393225:MZI393230 NJE393225:NJE393230 NTA393225:NTA393230 OCW393225:OCW393230 OMS393225:OMS393230 OWO393225:OWO393230 PGK393225:PGK393230 PQG393225:PQG393230 QAC393225:QAC393230 QJY393225:QJY393230 QTU393225:QTU393230 RDQ393225:RDQ393230 RNM393225:RNM393230 RXI393225:RXI393230 SHE393225:SHE393230 SRA393225:SRA393230 TAW393225:TAW393230 TKS393225:TKS393230 TUO393225:TUO393230 UEK393225:UEK393230 UOG393225:UOG393230 UYC393225:UYC393230 VHY393225:VHY393230 VRU393225:VRU393230 WBQ393225:WBQ393230 WLM393225:WLM393230 WVI393225:WVI393230 E458761:E458766 IW458761:IW458766 SS458761:SS458766 ACO458761:ACO458766 AMK458761:AMK458766 AWG458761:AWG458766 BGC458761:BGC458766 BPY458761:BPY458766 BZU458761:BZU458766 CJQ458761:CJQ458766 CTM458761:CTM458766 DDI458761:DDI458766 DNE458761:DNE458766 DXA458761:DXA458766 EGW458761:EGW458766 EQS458761:EQS458766 FAO458761:FAO458766 FKK458761:FKK458766 FUG458761:FUG458766 GEC458761:GEC458766 GNY458761:GNY458766 GXU458761:GXU458766 HHQ458761:HHQ458766 HRM458761:HRM458766 IBI458761:IBI458766 ILE458761:ILE458766 IVA458761:IVA458766 JEW458761:JEW458766 JOS458761:JOS458766 JYO458761:JYO458766 KIK458761:KIK458766 KSG458761:KSG458766 LCC458761:LCC458766 LLY458761:LLY458766 LVU458761:LVU458766 MFQ458761:MFQ458766 MPM458761:MPM458766 MZI458761:MZI458766 NJE458761:NJE458766 NTA458761:NTA458766 OCW458761:OCW458766 OMS458761:OMS458766 OWO458761:OWO458766 PGK458761:PGK458766 PQG458761:PQG458766 QAC458761:QAC458766 QJY458761:QJY458766 QTU458761:QTU458766 RDQ458761:RDQ458766 RNM458761:RNM458766 RXI458761:RXI458766 SHE458761:SHE458766 SRA458761:SRA458766 TAW458761:TAW458766 TKS458761:TKS458766 TUO458761:TUO458766 UEK458761:UEK458766 UOG458761:UOG458766 UYC458761:UYC458766 VHY458761:VHY458766 VRU458761:VRU458766 WBQ458761:WBQ458766 WLM458761:WLM458766 WVI458761:WVI458766 E524297:E524302 IW524297:IW524302 SS524297:SS524302 ACO524297:ACO524302 AMK524297:AMK524302 AWG524297:AWG524302 BGC524297:BGC524302 BPY524297:BPY524302 BZU524297:BZU524302 CJQ524297:CJQ524302 CTM524297:CTM524302 DDI524297:DDI524302 DNE524297:DNE524302 DXA524297:DXA524302 EGW524297:EGW524302 EQS524297:EQS524302 FAO524297:FAO524302 FKK524297:FKK524302 FUG524297:FUG524302 GEC524297:GEC524302 GNY524297:GNY524302 GXU524297:GXU524302 HHQ524297:HHQ524302 HRM524297:HRM524302 IBI524297:IBI524302 ILE524297:ILE524302 IVA524297:IVA524302 JEW524297:JEW524302 JOS524297:JOS524302 JYO524297:JYO524302 KIK524297:KIK524302 KSG524297:KSG524302 LCC524297:LCC524302 LLY524297:LLY524302 LVU524297:LVU524302 MFQ524297:MFQ524302 MPM524297:MPM524302 MZI524297:MZI524302 NJE524297:NJE524302 NTA524297:NTA524302 OCW524297:OCW524302 OMS524297:OMS524302 OWO524297:OWO524302 PGK524297:PGK524302 PQG524297:PQG524302 QAC524297:QAC524302 QJY524297:QJY524302 QTU524297:QTU524302 RDQ524297:RDQ524302 RNM524297:RNM524302 RXI524297:RXI524302 SHE524297:SHE524302 SRA524297:SRA524302 TAW524297:TAW524302 TKS524297:TKS524302 TUO524297:TUO524302 UEK524297:UEK524302 UOG524297:UOG524302 UYC524297:UYC524302 VHY524297:VHY524302 VRU524297:VRU524302 WBQ524297:WBQ524302 WLM524297:WLM524302 WVI524297:WVI524302 E589833:E589838 IW589833:IW589838 SS589833:SS589838 ACO589833:ACO589838 AMK589833:AMK589838 AWG589833:AWG589838 BGC589833:BGC589838 BPY589833:BPY589838 BZU589833:BZU589838 CJQ589833:CJQ589838 CTM589833:CTM589838 DDI589833:DDI589838 DNE589833:DNE589838 DXA589833:DXA589838 EGW589833:EGW589838 EQS589833:EQS589838 FAO589833:FAO589838 FKK589833:FKK589838 FUG589833:FUG589838 GEC589833:GEC589838 GNY589833:GNY589838 GXU589833:GXU589838 HHQ589833:HHQ589838 HRM589833:HRM589838 IBI589833:IBI589838 ILE589833:ILE589838 IVA589833:IVA589838 JEW589833:JEW589838 JOS589833:JOS589838 JYO589833:JYO589838 KIK589833:KIK589838 KSG589833:KSG589838 LCC589833:LCC589838 LLY589833:LLY589838 LVU589833:LVU589838 MFQ589833:MFQ589838 MPM589833:MPM589838 MZI589833:MZI589838 NJE589833:NJE589838 NTA589833:NTA589838 OCW589833:OCW589838 OMS589833:OMS589838 OWO589833:OWO589838 PGK589833:PGK589838 PQG589833:PQG589838 QAC589833:QAC589838 QJY589833:QJY589838 QTU589833:QTU589838 RDQ589833:RDQ589838 RNM589833:RNM589838 RXI589833:RXI589838 SHE589833:SHE589838 SRA589833:SRA589838 TAW589833:TAW589838 TKS589833:TKS589838 TUO589833:TUO589838 UEK589833:UEK589838 UOG589833:UOG589838 UYC589833:UYC589838 VHY589833:VHY589838 VRU589833:VRU589838 WBQ589833:WBQ589838 WLM589833:WLM589838 WVI589833:WVI589838 E655369:E655374 IW655369:IW655374 SS655369:SS655374 ACO655369:ACO655374 AMK655369:AMK655374 AWG655369:AWG655374 BGC655369:BGC655374 BPY655369:BPY655374 BZU655369:BZU655374 CJQ655369:CJQ655374 CTM655369:CTM655374 DDI655369:DDI655374 DNE655369:DNE655374 DXA655369:DXA655374 EGW655369:EGW655374 EQS655369:EQS655374 FAO655369:FAO655374 FKK655369:FKK655374 FUG655369:FUG655374 GEC655369:GEC655374 GNY655369:GNY655374 GXU655369:GXU655374 HHQ655369:HHQ655374 HRM655369:HRM655374 IBI655369:IBI655374 ILE655369:ILE655374 IVA655369:IVA655374 JEW655369:JEW655374 JOS655369:JOS655374 JYO655369:JYO655374 KIK655369:KIK655374 KSG655369:KSG655374 LCC655369:LCC655374 LLY655369:LLY655374 LVU655369:LVU655374 MFQ655369:MFQ655374 MPM655369:MPM655374 MZI655369:MZI655374 NJE655369:NJE655374 NTA655369:NTA655374 OCW655369:OCW655374 OMS655369:OMS655374 OWO655369:OWO655374 PGK655369:PGK655374 PQG655369:PQG655374 QAC655369:QAC655374 QJY655369:QJY655374 QTU655369:QTU655374 RDQ655369:RDQ655374 RNM655369:RNM655374 RXI655369:RXI655374 SHE655369:SHE655374 SRA655369:SRA655374 TAW655369:TAW655374 TKS655369:TKS655374 TUO655369:TUO655374 UEK655369:UEK655374 UOG655369:UOG655374 UYC655369:UYC655374 VHY655369:VHY655374 VRU655369:VRU655374 WBQ655369:WBQ655374 WLM655369:WLM655374 WVI655369:WVI655374 E720905:E720910 IW720905:IW720910 SS720905:SS720910 ACO720905:ACO720910 AMK720905:AMK720910 AWG720905:AWG720910 BGC720905:BGC720910 BPY720905:BPY720910 BZU720905:BZU720910 CJQ720905:CJQ720910 CTM720905:CTM720910 DDI720905:DDI720910 DNE720905:DNE720910 DXA720905:DXA720910 EGW720905:EGW720910 EQS720905:EQS720910 FAO720905:FAO720910 FKK720905:FKK720910 FUG720905:FUG720910 GEC720905:GEC720910 GNY720905:GNY720910 GXU720905:GXU720910 HHQ720905:HHQ720910 HRM720905:HRM720910 IBI720905:IBI720910 ILE720905:ILE720910 IVA720905:IVA720910 JEW720905:JEW720910 JOS720905:JOS720910 JYO720905:JYO720910 KIK720905:KIK720910 KSG720905:KSG720910 LCC720905:LCC720910 LLY720905:LLY720910 LVU720905:LVU720910 MFQ720905:MFQ720910 MPM720905:MPM720910 MZI720905:MZI720910 NJE720905:NJE720910 NTA720905:NTA720910 OCW720905:OCW720910 OMS720905:OMS720910 OWO720905:OWO720910 PGK720905:PGK720910 PQG720905:PQG720910 QAC720905:QAC720910 QJY720905:QJY720910 QTU720905:QTU720910 RDQ720905:RDQ720910 RNM720905:RNM720910 RXI720905:RXI720910 SHE720905:SHE720910 SRA720905:SRA720910 TAW720905:TAW720910 TKS720905:TKS720910 TUO720905:TUO720910 UEK720905:UEK720910 UOG720905:UOG720910 UYC720905:UYC720910 VHY720905:VHY720910 VRU720905:VRU720910 WBQ720905:WBQ720910 WLM720905:WLM720910 WVI720905:WVI720910 E786441:E786446 IW786441:IW786446 SS786441:SS786446 ACO786441:ACO786446 AMK786441:AMK786446 AWG786441:AWG786446 BGC786441:BGC786446 BPY786441:BPY786446 BZU786441:BZU786446 CJQ786441:CJQ786446 CTM786441:CTM786446 DDI786441:DDI786446 DNE786441:DNE786446 DXA786441:DXA786446 EGW786441:EGW786446 EQS786441:EQS786446 FAO786441:FAO786446 FKK786441:FKK786446 FUG786441:FUG786446 GEC786441:GEC786446 GNY786441:GNY786446 GXU786441:GXU786446 HHQ786441:HHQ786446 HRM786441:HRM786446 IBI786441:IBI786446 ILE786441:ILE786446 IVA786441:IVA786446 JEW786441:JEW786446 JOS786441:JOS786446 JYO786441:JYO786446 KIK786441:KIK786446 KSG786441:KSG786446 LCC786441:LCC786446 LLY786441:LLY786446 LVU786441:LVU786446 MFQ786441:MFQ786446 MPM786441:MPM786446 MZI786441:MZI786446 NJE786441:NJE786446 NTA786441:NTA786446 OCW786441:OCW786446 OMS786441:OMS786446 OWO786441:OWO786446 PGK786441:PGK786446 PQG786441:PQG786446 QAC786441:QAC786446 QJY786441:QJY786446 QTU786441:QTU786446 RDQ786441:RDQ786446 RNM786441:RNM786446 RXI786441:RXI786446 SHE786441:SHE786446 SRA786441:SRA786446 TAW786441:TAW786446 TKS786441:TKS786446 TUO786441:TUO786446 UEK786441:UEK786446 UOG786441:UOG786446 UYC786441:UYC786446 VHY786441:VHY786446 VRU786441:VRU786446 WBQ786441:WBQ786446 WLM786441:WLM786446 WVI786441:WVI786446 E851977:E851982 IW851977:IW851982 SS851977:SS851982 ACO851977:ACO851982 AMK851977:AMK851982 AWG851977:AWG851982 BGC851977:BGC851982 BPY851977:BPY851982 BZU851977:BZU851982 CJQ851977:CJQ851982 CTM851977:CTM851982 DDI851977:DDI851982 DNE851977:DNE851982 DXA851977:DXA851982 EGW851977:EGW851982 EQS851977:EQS851982 FAO851977:FAO851982 FKK851977:FKK851982 FUG851977:FUG851982 GEC851977:GEC851982 GNY851977:GNY851982 GXU851977:GXU851982 HHQ851977:HHQ851982 HRM851977:HRM851982 IBI851977:IBI851982 ILE851977:ILE851982 IVA851977:IVA851982 JEW851977:JEW851982 JOS851977:JOS851982 JYO851977:JYO851982 KIK851977:KIK851982 KSG851977:KSG851982 LCC851977:LCC851982 LLY851977:LLY851982 LVU851977:LVU851982 MFQ851977:MFQ851982 MPM851977:MPM851982 MZI851977:MZI851982 NJE851977:NJE851982 NTA851977:NTA851982 OCW851977:OCW851982 OMS851977:OMS851982 OWO851977:OWO851982 PGK851977:PGK851982 PQG851977:PQG851982 QAC851977:QAC851982 QJY851977:QJY851982 QTU851977:QTU851982 RDQ851977:RDQ851982 RNM851977:RNM851982 RXI851977:RXI851982 SHE851977:SHE851982 SRA851977:SRA851982 TAW851977:TAW851982 TKS851977:TKS851982 TUO851977:TUO851982 UEK851977:UEK851982 UOG851977:UOG851982 UYC851977:UYC851982 VHY851977:VHY851982 VRU851977:VRU851982 WBQ851977:WBQ851982 WLM851977:WLM851982 WVI851977:WVI851982 E917513:E917518 IW917513:IW917518 SS917513:SS917518 ACO917513:ACO917518 AMK917513:AMK917518 AWG917513:AWG917518 BGC917513:BGC917518 BPY917513:BPY917518 BZU917513:BZU917518 CJQ917513:CJQ917518 CTM917513:CTM917518 DDI917513:DDI917518 DNE917513:DNE917518 DXA917513:DXA917518 EGW917513:EGW917518 EQS917513:EQS917518 FAO917513:FAO917518 FKK917513:FKK917518 FUG917513:FUG917518 GEC917513:GEC917518 GNY917513:GNY917518 GXU917513:GXU917518 HHQ917513:HHQ917518 HRM917513:HRM917518 IBI917513:IBI917518 ILE917513:ILE917518 IVA917513:IVA917518 JEW917513:JEW917518 JOS917513:JOS917518 JYO917513:JYO917518 KIK917513:KIK917518 KSG917513:KSG917518 LCC917513:LCC917518 LLY917513:LLY917518 LVU917513:LVU917518 MFQ917513:MFQ917518 MPM917513:MPM917518 MZI917513:MZI917518 NJE917513:NJE917518 NTA917513:NTA917518 OCW917513:OCW917518 OMS917513:OMS917518 OWO917513:OWO917518 PGK917513:PGK917518 PQG917513:PQG917518 QAC917513:QAC917518 QJY917513:QJY917518 QTU917513:QTU917518 RDQ917513:RDQ917518 RNM917513:RNM917518 RXI917513:RXI917518 SHE917513:SHE917518 SRA917513:SRA917518 TAW917513:TAW917518 TKS917513:TKS917518 TUO917513:TUO917518 UEK917513:UEK917518 UOG917513:UOG917518 UYC917513:UYC917518 VHY917513:VHY917518 VRU917513:VRU917518 WBQ917513:WBQ917518 WLM917513:WLM917518 WVI917513:WVI917518 E983049:E983054 IW983049:IW983054 SS983049:SS983054 ACO983049:ACO983054 AMK983049:AMK983054 AWG983049:AWG983054 BGC983049:BGC983054 BPY983049:BPY983054 BZU983049:BZU983054 CJQ983049:CJQ983054 CTM983049:CTM983054 DDI983049:DDI983054 DNE983049:DNE983054 DXA983049:DXA983054 EGW983049:EGW983054 EQS983049:EQS983054 FAO983049:FAO983054 FKK983049:FKK983054 FUG983049:FUG983054 GEC983049:GEC983054 GNY983049:GNY983054 GXU983049:GXU983054 HHQ983049:HHQ983054 HRM983049:HRM983054 IBI983049:IBI983054 ILE983049:ILE983054 IVA983049:IVA983054 JEW983049:JEW983054 JOS983049:JOS983054 JYO983049:JYO983054 KIK983049:KIK983054 KSG983049:KSG983054 LCC983049:LCC983054 LLY983049:LLY983054 LVU983049:LVU983054 MFQ983049:MFQ983054 MPM983049:MPM983054 MZI983049:MZI983054 NJE983049:NJE983054 NTA983049:NTA983054 OCW983049:OCW983054 OMS983049:OMS983054 OWO983049:OWO983054 PGK983049:PGK983054 PQG983049:PQG983054 QAC983049:QAC983054 QJY983049:QJY983054 QTU983049:QTU983054 RDQ983049:RDQ983054 RNM983049:RNM983054 RXI983049:RXI983054 SHE983049:SHE983054 SRA983049:SRA983054 TAW983049:TAW983054 TKS983049:TKS983054 TUO983049:TUO983054 UEK983049:UEK983054 UOG983049:UOG983054 UYC983049:UYC983054 VHY983049:VHY983054 VRU983049:VRU983054 WBQ983049:WBQ983054 WLM983049:WLM983054">
      <formula1>AC_Type</formula1>
    </dataValidation>
    <dataValidation type="list" showInputMessage="1" showErrorMessage="1" sqref="IV9:IV14 SR9:SR14 ACN9:ACN14 AMJ9:AMJ14 AWF9:AWF14 BGB9:BGB14 BPX9:BPX14 BZT9:BZT14 CJP9:CJP14 CTL9:CTL14 DDH9:DDH14 DND9:DND14 DWZ9:DWZ14 EGV9:EGV14 EQR9:EQR14 FAN9:FAN14 FKJ9:FKJ14 FUF9:FUF14 GEB9:GEB14 GNX9:GNX14 GXT9:GXT14 HHP9:HHP14 HRL9:HRL14 IBH9:IBH14 ILD9:ILD14 IUZ9:IUZ14 JEV9:JEV14 JOR9:JOR14 JYN9:JYN14 KIJ9:KIJ14 KSF9:KSF14 LCB9:LCB14 LLX9:LLX14 LVT9:LVT14 MFP9:MFP14 MPL9:MPL14 MZH9:MZH14 NJD9:NJD14 NSZ9:NSZ14 OCV9:OCV14 OMR9:OMR14 OWN9:OWN14 PGJ9:PGJ14 PQF9:PQF14 QAB9:QAB14 QJX9:QJX14 QTT9:QTT14 RDP9:RDP14 RNL9:RNL14 RXH9:RXH14 SHD9:SHD14 SQZ9:SQZ14 TAV9:TAV14 TKR9:TKR14 TUN9:TUN14 UEJ9:UEJ14 UOF9:UOF14 UYB9:UYB14 VHX9:VHX14 VRT9:VRT14 WBP9:WBP14 WLL9:WLL14 WVH9:WVH14 IV65545:IV65550 SR65545:SR65550 ACN65545:ACN65550 AMJ65545:AMJ65550 AWF65545:AWF65550 BGB65545:BGB65550 BPX65545:BPX65550 BZT65545:BZT65550 CJP65545:CJP65550 CTL65545:CTL65550 DDH65545:DDH65550 DND65545:DND65550 DWZ65545:DWZ65550 EGV65545:EGV65550 EQR65545:EQR65550 FAN65545:FAN65550 FKJ65545:FKJ65550 FUF65545:FUF65550 GEB65545:GEB65550 GNX65545:GNX65550 GXT65545:GXT65550 HHP65545:HHP65550 HRL65545:HRL65550 IBH65545:IBH65550 ILD65545:ILD65550 IUZ65545:IUZ65550 JEV65545:JEV65550 JOR65545:JOR65550 JYN65545:JYN65550 KIJ65545:KIJ65550 KSF65545:KSF65550 LCB65545:LCB65550 LLX65545:LLX65550 LVT65545:LVT65550 MFP65545:MFP65550 MPL65545:MPL65550 MZH65545:MZH65550 NJD65545:NJD65550 NSZ65545:NSZ65550 OCV65545:OCV65550 OMR65545:OMR65550 OWN65545:OWN65550 PGJ65545:PGJ65550 PQF65545:PQF65550 QAB65545:QAB65550 QJX65545:QJX65550 QTT65545:QTT65550 RDP65545:RDP65550 RNL65545:RNL65550 RXH65545:RXH65550 SHD65545:SHD65550 SQZ65545:SQZ65550 TAV65545:TAV65550 TKR65545:TKR65550 TUN65545:TUN65550 UEJ65545:UEJ65550 UOF65545:UOF65550 UYB65545:UYB65550 VHX65545:VHX65550 VRT65545:VRT65550 WBP65545:WBP65550 WLL65545:WLL65550 WVH65545:WVH65550 IV131081:IV131086 SR131081:SR131086 ACN131081:ACN131086 AMJ131081:AMJ131086 AWF131081:AWF131086 BGB131081:BGB131086 BPX131081:BPX131086 BZT131081:BZT131086 CJP131081:CJP131086 CTL131081:CTL131086 DDH131081:DDH131086 DND131081:DND131086 DWZ131081:DWZ131086 EGV131081:EGV131086 EQR131081:EQR131086 FAN131081:FAN131086 FKJ131081:FKJ131086 FUF131081:FUF131086 GEB131081:GEB131086 GNX131081:GNX131086 GXT131081:GXT131086 HHP131081:HHP131086 HRL131081:HRL131086 IBH131081:IBH131086 ILD131081:ILD131086 IUZ131081:IUZ131086 JEV131081:JEV131086 JOR131081:JOR131086 JYN131081:JYN131086 KIJ131081:KIJ131086 KSF131081:KSF131086 LCB131081:LCB131086 LLX131081:LLX131086 LVT131081:LVT131086 MFP131081:MFP131086 MPL131081:MPL131086 MZH131081:MZH131086 NJD131081:NJD131086 NSZ131081:NSZ131086 OCV131081:OCV131086 OMR131081:OMR131086 OWN131081:OWN131086 PGJ131081:PGJ131086 PQF131081:PQF131086 QAB131081:QAB131086 QJX131081:QJX131086 QTT131081:QTT131086 RDP131081:RDP131086 RNL131081:RNL131086 RXH131081:RXH131086 SHD131081:SHD131086 SQZ131081:SQZ131086 TAV131081:TAV131086 TKR131081:TKR131086 TUN131081:TUN131086 UEJ131081:UEJ131086 UOF131081:UOF131086 UYB131081:UYB131086 VHX131081:VHX131086 VRT131081:VRT131086 WBP131081:WBP131086 WLL131081:WLL131086 WVH131081:WVH131086 IV196617:IV196622 SR196617:SR196622 ACN196617:ACN196622 AMJ196617:AMJ196622 AWF196617:AWF196622 BGB196617:BGB196622 BPX196617:BPX196622 BZT196617:BZT196622 CJP196617:CJP196622 CTL196617:CTL196622 DDH196617:DDH196622 DND196617:DND196622 DWZ196617:DWZ196622 EGV196617:EGV196622 EQR196617:EQR196622 FAN196617:FAN196622 FKJ196617:FKJ196622 FUF196617:FUF196622 GEB196617:GEB196622 GNX196617:GNX196622 GXT196617:GXT196622 HHP196617:HHP196622 HRL196617:HRL196622 IBH196617:IBH196622 ILD196617:ILD196622 IUZ196617:IUZ196622 JEV196617:JEV196622 JOR196617:JOR196622 JYN196617:JYN196622 KIJ196617:KIJ196622 KSF196617:KSF196622 LCB196617:LCB196622 LLX196617:LLX196622 LVT196617:LVT196622 MFP196617:MFP196622 MPL196617:MPL196622 MZH196617:MZH196622 NJD196617:NJD196622 NSZ196617:NSZ196622 OCV196617:OCV196622 OMR196617:OMR196622 OWN196617:OWN196622 PGJ196617:PGJ196622 PQF196617:PQF196622 QAB196617:QAB196622 QJX196617:QJX196622 QTT196617:QTT196622 RDP196617:RDP196622 RNL196617:RNL196622 RXH196617:RXH196622 SHD196617:SHD196622 SQZ196617:SQZ196622 TAV196617:TAV196622 TKR196617:TKR196622 TUN196617:TUN196622 UEJ196617:UEJ196622 UOF196617:UOF196622 UYB196617:UYB196622 VHX196617:VHX196622 VRT196617:VRT196622 WBP196617:WBP196622 WLL196617:WLL196622 WVH196617:WVH196622 IV262153:IV262158 SR262153:SR262158 ACN262153:ACN262158 AMJ262153:AMJ262158 AWF262153:AWF262158 BGB262153:BGB262158 BPX262153:BPX262158 BZT262153:BZT262158 CJP262153:CJP262158 CTL262153:CTL262158 DDH262153:DDH262158 DND262153:DND262158 DWZ262153:DWZ262158 EGV262153:EGV262158 EQR262153:EQR262158 FAN262153:FAN262158 FKJ262153:FKJ262158 FUF262153:FUF262158 GEB262153:GEB262158 GNX262153:GNX262158 GXT262153:GXT262158 HHP262153:HHP262158 HRL262153:HRL262158 IBH262153:IBH262158 ILD262153:ILD262158 IUZ262153:IUZ262158 JEV262153:JEV262158 JOR262153:JOR262158 JYN262153:JYN262158 KIJ262153:KIJ262158 KSF262153:KSF262158 LCB262153:LCB262158 LLX262153:LLX262158 LVT262153:LVT262158 MFP262153:MFP262158 MPL262153:MPL262158 MZH262153:MZH262158 NJD262153:NJD262158 NSZ262153:NSZ262158 OCV262153:OCV262158 OMR262153:OMR262158 OWN262153:OWN262158 PGJ262153:PGJ262158 PQF262153:PQF262158 QAB262153:QAB262158 QJX262153:QJX262158 QTT262153:QTT262158 RDP262153:RDP262158 RNL262153:RNL262158 RXH262153:RXH262158 SHD262153:SHD262158 SQZ262153:SQZ262158 TAV262153:TAV262158 TKR262153:TKR262158 TUN262153:TUN262158 UEJ262153:UEJ262158 UOF262153:UOF262158 UYB262153:UYB262158 VHX262153:VHX262158 VRT262153:VRT262158 WBP262153:WBP262158 WLL262153:WLL262158 WVH262153:WVH262158 IV327689:IV327694 SR327689:SR327694 ACN327689:ACN327694 AMJ327689:AMJ327694 AWF327689:AWF327694 BGB327689:BGB327694 BPX327689:BPX327694 BZT327689:BZT327694 CJP327689:CJP327694 CTL327689:CTL327694 DDH327689:DDH327694 DND327689:DND327694 DWZ327689:DWZ327694 EGV327689:EGV327694 EQR327689:EQR327694 FAN327689:FAN327694 FKJ327689:FKJ327694 FUF327689:FUF327694 GEB327689:GEB327694 GNX327689:GNX327694 GXT327689:GXT327694 HHP327689:HHP327694 HRL327689:HRL327694 IBH327689:IBH327694 ILD327689:ILD327694 IUZ327689:IUZ327694 JEV327689:JEV327694 JOR327689:JOR327694 JYN327689:JYN327694 KIJ327689:KIJ327694 KSF327689:KSF327694 LCB327689:LCB327694 LLX327689:LLX327694 LVT327689:LVT327694 MFP327689:MFP327694 MPL327689:MPL327694 MZH327689:MZH327694 NJD327689:NJD327694 NSZ327689:NSZ327694 OCV327689:OCV327694 OMR327689:OMR327694 OWN327689:OWN327694 PGJ327689:PGJ327694 PQF327689:PQF327694 QAB327689:QAB327694 QJX327689:QJX327694 QTT327689:QTT327694 RDP327689:RDP327694 RNL327689:RNL327694 RXH327689:RXH327694 SHD327689:SHD327694 SQZ327689:SQZ327694 TAV327689:TAV327694 TKR327689:TKR327694 TUN327689:TUN327694 UEJ327689:UEJ327694 UOF327689:UOF327694 UYB327689:UYB327694 VHX327689:VHX327694 VRT327689:VRT327694 WBP327689:WBP327694 WLL327689:WLL327694 WVH327689:WVH327694 IV393225:IV393230 SR393225:SR393230 ACN393225:ACN393230 AMJ393225:AMJ393230 AWF393225:AWF393230 BGB393225:BGB393230 BPX393225:BPX393230 BZT393225:BZT393230 CJP393225:CJP393230 CTL393225:CTL393230 DDH393225:DDH393230 DND393225:DND393230 DWZ393225:DWZ393230 EGV393225:EGV393230 EQR393225:EQR393230 FAN393225:FAN393230 FKJ393225:FKJ393230 FUF393225:FUF393230 GEB393225:GEB393230 GNX393225:GNX393230 GXT393225:GXT393230 HHP393225:HHP393230 HRL393225:HRL393230 IBH393225:IBH393230 ILD393225:ILD393230 IUZ393225:IUZ393230 JEV393225:JEV393230 JOR393225:JOR393230 JYN393225:JYN393230 KIJ393225:KIJ393230 KSF393225:KSF393230 LCB393225:LCB393230 LLX393225:LLX393230 LVT393225:LVT393230 MFP393225:MFP393230 MPL393225:MPL393230 MZH393225:MZH393230 NJD393225:NJD393230 NSZ393225:NSZ393230 OCV393225:OCV393230 OMR393225:OMR393230 OWN393225:OWN393230 PGJ393225:PGJ393230 PQF393225:PQF393230 QAB393225:QAB393230 QJX393225:QJX393230 QTT393225:QTT393230 RDP393225:RDP393230 RNL393225:RNL393230 RXH393225:RXH393230 SHD393225:SHD393230 SQZ393225:SQZ393230 TAV393225:TAV393230 TKR393225:TKR393230 TUN393225:TUN393230 UEJ393225:UEJ393230 UOF393225:UOF393230 UYB393225:UYB393230 VHX393225:VHX393230 VRT393225:VRT393230 WBP393225:WBP393230 WLL393225:WLL393230 WVH393225:WVH393230 IV458761:IV458766 SR458761:SR458766 ACN458761:ACN458766 AMJ458761:AMJ458766 AWF458761:AWF458766 BGB458761:BGB458766 BPX458761:BPX458766 BZT458761:BZT458766 CJP458761:CJP458766 CTL458761:CTL458766 DDH458761:DDH458766 DND458761:DND458766 DWZ458761:DWZ458766 EGV458761:EGV458766 EQR458761:EQR458766 FAN458761:FAN458766 FKJ458761:FKJ458766 FUF458761:FUF458766 GEB458761:GEB458766 GNX458761:GNX458766 GXT458761:GXT458766 HHP458761:HHP458766 HRL458761:HRL458766 IBH458761:IBH458766 ILD458761:ILD458766 IUZ458761:IUZ458766 JEV458761:JEV458766 JOR458761:JOR458766 JYN458761:JYN458766 KIJ458761:KIJ458766 KSF458761:KSF458766 LCB458761:LCB458766 LLX458761:LLX458766 LVT458761:LVT458766 MFP458761:MFP458766 MPL458761:MPL458766 MZH458761:MZH458766 NJD458761:NJD458766 NSZ458761:NSZ458766 OCV458761:OCV458766 OMR458761:OMR458766 OWN458761:OWN458766 PGJ458761:PGJ458766 PQF458761:PQF458766 QAB458761:QAB458766 QJX458761:QJX458766 QTT458761:QTT458766 RDP458761:RDP458766 RNL458761:RNL458766 RXH458761:RXH458766 SHD458761:SHD458766 SQZ458761:SQZ458766 TAV458761:TAV458766 TKR458761:TKR458766 TUN458761:TUN458766 UEJ458761:UEJ458766 UOF458761:UOF458766 UYB458761:UYB458766 VHX458761:VHX458766 VRT458761:VRT458766 WBP458761:WBP458766 WLL458761:WLL458766 WVH458761:WVH458766 IV524297:IV524302 SR524297:SR524302 ACN524297:ACN524302 AMJ524297:AMJ524302 AWF524297:AWF524302 BGB524297:BGB524302 BPX524297:BPX524302 BZT524297:BZT524302 CJP524297:CJP524302 CTL524297:CTL524302 DDH524297:DDH524302 DND524297:DND524302 DWZ524297:DWZ524302 EGV524297:EGV524302 EQR524297:EQR524302 FAN524297:FAN524302 FKJ524297:FKJ524302 FUF524297:FUF524302 GEB524297:GEB524302 GNX524297:GNX524302 GXT524297:GXT524302 HHP524297:HHP524302 HRL524297:HRL524302 IBH524297:IBH524302 ILD524297:ILD524302 IUZ524297:IUZ524302 JEV524297:JEV524302 JOR524297:JOR524302 JYN524297:JYN524302 KIJ524297:KIJ524302 KSF524297:KSF524302 LCB524297:LCB524302 LLX524297:LLX524302 LVT524297:LVT524302 MFP524297:MFP524302 MPL524297:MPL524302 MZH524297:MZH524302 NJD524297:NJD524302 NSZ524297:NSZ524302 OCV524297:OCV524302 OMR524297:OMR524302 OWN524297:OWN524302 PGJ524297:PGJ524302 PQF524297:PQF524302 QAB524297:QAB524302 QJX524297:QJX524302 QTT524297:QTT524302 RDP524297:RDP524302 RNL524297:RNL524302 RXH524297:RXH524302 SHD524297:SHD524302 SQZ524297:SQZ524302 TAV524297:TAV524302 TKR524297:TKR524302 TUN524297:TUN524302 UEJ524297:UEJ524302 UOF524297:UOF524302 UYB524297:UYB524302 VHX524297:VHX524302 VRT524297:VRT524302 WBP524297:WBP524302 WLL524297:WLL524302 WVH524297:WVH524302 IV589833:IV589838 SR589833:SR589838 ACN589833:ACN589838 AMJ589833:AMJ589838 AWF589833:AWF589838 BGB589833:BGB589838 BPX589833:BPX589838 BZT589833:BZT589838 CJP589833:CJP589838 CTL589833:CTL589838 DDH589833:DDH589838 DND589833:DND589838 DWZ589833:DWZ589838 EGV589833:EGV589838 EQR589833:EQR589838 FAN589833:FAN589838 FKJ589833:FKJ589838 FUF589833:FUF589838 GEB589833:GEB589838 GNX589833:GNX589838 GXT589833:GXT589838 HHP589833:HHP589838 HRL589833:HRL589838 IBH589833:IBH589838 ILD589833:ILD589838 IUZ589833:IUZ589838 JEV589833:JEV589838 JOR589833:JOR589838 JYN589833:JYN589838 KIJ589833:KIJ589838 KSF589833:KSF589838 LCB589833:LCB589838 LLX589833:LLX589838 LVT589833:LVT589838 MFP589833:MFP589838 MPL589833:MPL589838 MZH589833:MZH589838 NJD589833:NJD589838 NSZ589833:NSZ589838 OCV589833:OCV589838 OMR589833:OMR589838 OWN589833:OWN589838 PGJ589833:PGJ589838 PQF589833:PQF589838 QAB589833:QAB589838 QJX589833:QJX589838 QTT589833:QTT589838 RDP589833:RDP589838 RNL589833:RNL589838 RXH589833:RXH589838 SHD589833:SHD589838 SQZ589833:SQZ589838 TAV589833:TAV589838 TKR589833:TKR589838 TUN589833:TUN589838 UEJ589833:UEJ589838 UOF589833:UOF589838 UYB589833:UYB589838 VHX589833:VHX589838 VRT589833:VRT589838 WBP589833:WBP589838 WLL589833:WLL589838 WVH589833:WVH589838 IV655369:IV655374 SR655369:SR655374 ACN655369:ACN655374 AMJ655369:AMJ655374 AWF655369:AWF655374 BGB655369:BGB655374 BPX655369:BPX655374 BZT655369:BZT655374 CJP655369:CJP655374 CTL655369:CTL655374 DDH655369:DDH655374 DND655369:DND655374 DWZ655369:DWZ655374 EGV655369:EGV655374 EQR655369:EQR655374 FAN655369:FAN655374 FKJ655369:FKJ655374 FUF655369:FUF655374 GEB655369:GEB655374 GNX655369:GNX655374 GXT655369:GXT655374 HHP655369:HHP655374 HRL655369:HRL655374 IBH655369:IBH655374 ILD655369:ILD655374 IUZ655369:IUZ655374 JEV655369:JEV655374 JOR655369:JOR655374 JYN655369:JYN655374 KIJ655369:KIJ655374 KSF655369:KSF655374 LCB655369:LCB655374 LLX655369:LLX655374 LVT655369:LVT655374 MFP655369:MFP655374 MPL655369:MPL655374 MZH655369:MZH655374 NJD655369:NJD655374 NSZ655369:NSZ655374 OCV655369:OCV655374 OMR655369:OMR655374 OWN655369:OWN655374 PGJ655369:PGJ655374 PQF655369:PQF655374 QAB655369:QAB655374 QJX655369:QJX655374 QTT655369:QTT655374 RDP655369:RDP655374 RNL655369:RNL655374 RXH655369:RXH655374 SHD655369:SHD655374 SQZ655369:SQZ655374 TAV655369:TAV655374 TKR655369:TKR655374 TUN655369:TUN655374 UEJ655369:UEJ655374 UOF655369:UOF655374 UYB655369:UYB655374 VHX655369:VHX655374 VRT655369:VRT655374 WBP655369:WBP655374 WLL655369:WLL655374 WVH655369:WVH655374 IV720905:IV720910 SR720905:SR720910 ACN720905:ACN720910 AMJ720905:AMJ720910 AWF720905:AWF720910 BGB720905:BGB720910 BPX720905:BPX720910 BZT720905:BZT720910 CJP720905:CJP720910 CTL720905:CTL720910 DDH720905:DDH720910 DND720905:DND720910 DWZ720905:DWZ720910 EGV720905:EGV720910 EQR720905:EQR720910 FAN720905:FAN720910 FKJ720905:FKJ720910 FUF720905:FUF720910 GEB720905:GEB720910 GNX720905:GNX720910 GXT720905:GXT720910 HHP720905:HHP720910 HRL720905:HRL720910 IBH720905:IBH720910 ILD720905:ILD720910 IUZ720905:IUZ720910 JEV720905:JEV720910 JOR720905:JOR720910 JYN720905:JYN720910 KIJ720905:KIJ720910 KSF720905:KSF720910 LCB720905:LCB720910 LLX720905:LLX720910 LVT720905:LVT720910 MFP720905:MFP720910 MPL720905:MPL720910 MZH720905:MZH720910 NJD720905:NJD720910 NSZ720905:NSZ720910 OCV720905:OCV720910 OMR720905:OMR720910 OWN720905:OWN720910 PGJ720905:PGJ720910 PQF720905:PQF720910 QAB720905:QAB720910 QJX720905:QJX720910 QTT720905:QTT720910 RDP720905:RDP720910 RNL720905:RNL720910 RXH720905:RXH720910 SHD720905:SHD720910 SQZ720905:SQZ720910 TAV720905:TAV720910 TKR720905:TKR720910 TUN720905:TUN720910 UEJ720905:UEJ720910 UOF720905:UOF720910 UYB720905:UYB720910 VHX720905:VHX720910 VRT720905:VRT720910 WBP720905:WBP720910 WLL720905:WLL720910 WVH720905:WVH720910 IV786441:IV786446 SR786441:SR786446 ACN786441:ACN786446 AMJ786441:AMJ786446 AWF786441:AWF786446 BGB786441:BGB786446 BPX786441:BPX786446 BZT786441:BZT786446 CJP786441:CJP786446 CTL786441:CTL786446 DDH786441:DDH786446 DND786441:DND786446 DWZ786441:DWZ786446 EGV786441:EGV786446 EQR786441:EQR786446 FAN786441:FAN786446 FKJ786441:FKJ786446 FUF786441:FUF786446 GEB786441:GEB786446 GNX786441:GNX786446 GXT786441:GXT786446 HHP786441:HHP786446 HRL786441:HRL786446 IBH786441:IBH786446 ILD786441:ILD786446 IUZ786441:IUZ786446 JEV786441:JEV786446 JOR786441:JOR786446 JYN786441:JYN786446 KIJ786441:KIJ786446 KSF786441:KSF786446 LCB786441:LCB786446 LLX786441:LLX786446 LVT786441:LVT786446 MFP786441:MFP786446 MPL786441:MPL786446 MZH786441:MZH786446 NJD786441:NJD786446 NSZ786441:NSZ786446 OCV786441:OCV786446 OMR786441:OMR786446 OWN786441:OWN786446 PGJ786441:PGJ786446 PQF786441:PQF786446 QAB786441:QAB786446 QJX786441:QJX786446 QTT786441:QTT786446 RDP786441:RDP786446 RNL786441:RNL786446 RXH786441:RXH786446 SHD786441:SHD786446 SQZ786441:SQZ786446 TAV786441:TAV786446 TKR786441:TKR786446 TUN786441:TUN786446 UEJ786441:UEJ786446 UOF786441:UOF786446 UYB786441:UYB786446 VHX786441:VHX786446 VRT786441:VRT786446 WBP786441:WBP786446 WLL786441:WLL786446 WVH786441:WVH786446 IV851977:IV851982 SR851977:SR851982 ACN851977:ACN851982 AMJ851977:AMJ851982 AWF851977:AWF851982 BGB851977:BGB851982 BPX851977:BPX851982 BZT851977:BZT851982 CJP851977:CJP851982 CTL851977:CTL851982 DDH851977:DDH851982 DND851977:DND851982 DWZ851977:DWZ851982 EGV851977:EGV851982 EQR851977:EQR851982 FAN851977:FAN851982 FKJ851977:FKJ851982 FUF851977:FUF851982 GEB851977:GEB851982 GNX851977:GNX851982 GXT851977:GXT851982 HHP851977:HHP851982 HRL851977:HRL851982 IBH851977:IBH851982 ILD851977:ILD851982 IUZ851977:IUZ851982 JEV851977:JEV851982 JOR851977:JOR851982 JYN851977:JYN851982 KIJ851977:KIJ851982 KSF851977:KSF851982 LCB851977:LCB851982 LLX851977:LLX851982 LVT851977:LVT851982 MFP851977:MFP851982 MPL851977:MPL851982 MZH851977:MZH851982 NJD851977:NJD851982 NSZ851977:NSZ851982 OCV851977:OCV851982 OMR851977:OMR851982 OWN851977:OWN851982 PGJ851977:PGJ851982 PQF851977:PQF851982 QAB851977:QAB851982 QJX851977:QJX851982 QTT851977:QTT851982 RDP851977:RDP851982 RNL851977:RNL851982 RXH851977:RXH851982 SHD851977:SHD851982 SQZ851977:SQZ851982 TAV851977:TAV851982 TKR851977:TKR851982 TUN851977:TUN851982 UEJ851977:UEJ851982 UOF851977:UOF851982 UYB851977:UYB851982 VHX851977:VHX851982 VRT851977:VRT851982 WBP851977:WBP851982 WLL851977:WLL851982 WVH851977:WVH851982 IV917513:IV917518 SR917513:SR917518 ACN917513:ACN917518 AMJ917513:AMJ917518 AWF917513:AWF917518 BGB917513:BGB917518 BPX917513:BPX917518 BZT917513:BZT917518 CJP917513:CJP917518 CTL917513:CTL917518 DDH917513:DDH917518 DND917513:DND917518 DWZ917513:DWZ917518 EGV917513:EGV917518 EQR917513:EQR917518 FAN917513:FAN917518 FKJ917513:FKJ917518 FUF917513:FUF917518 GEB917513:GEB917518 GNX917513:GNX917518 GXT917513:GXT917518 HHP917513:HHP917518 HRL917513:HRL917518 IBH917513:IBH917518 ILD917513:ILD917518 IUZ917513:IUZ917518 JEV917513:JEV917518 JOR917513:JOR917518 JYN917513:JYN917518 KIJ917513:KIJ917518 KSF917513:KSF917518 LCB917513:LCB917518 LLX917513:LLX917518 LVT917513:LVT917518 MFP917513:MFP917518 MPL917513:MPL917518 MZH917513:MZH917518 NJD917513:NJD917518 NSZ917513:NSZ917518 OCV917513:OCV917518 OMR917513:OMR917518 OWN917513:OWN917518 PGJ917513:PGJ917518 PQF917513:PQF917518 QAB917513:QAB917518 QJX917513:QJX917518 QTT917513:QTT917518 RDP917513:RDP917518 RNL917513:RNL917518 RXH917513:RXH917518 SHD917513:SHD917518 SQZ917513:SQZ917518 TAV917513:TAV917518 TKR917513:TKR917518 TUN917513:TUN917518 UEJ917513:UEJ917518 UOF917513:UOF917518 UYB917513:UYB917518 VHX917513:VHX917518 VRT917513:VRT917518 WBP917513:WBP917518 WLL917513:WLL917518 WVH917513:WVH917518 IV983049:IV983054 SR983049:SR983054 ACN983049:ACN983054 AMJ983049:AMJ983054 AWF983049:AWF983054 BGB983049:BGB983054 BPX983049:BPX983054 BZT983049:BZT983054 CJP983049:CJP983054 CTL983049:CTL983054 DDH983049:DDH983054 DND983049:DND983054 DWZ983049:DWZ983054 EGV983049:EGV983054 EQR983049:EQR983054 FAN983049:FAN983054 FKJ983049:FKJ983054 FUF983049:FUF983054 GEB983049:GEB983054 GNX983049:GNX983054 GXT983049:GXT983054 HHP983049:HHP983054 HRL983049:HRL983054 IBH983049:IBH983054 ILD983049:ILD983054 IUZ983049:IUZ983054 JEV983049:JEV983054 JOR983049:JOR983054 JYN983049:JYN983054 KIJ983049:KIJ983054 KSF983049:KSF983054 LCB983049:LCB983054 LLX983049:LLX983054 LVT983049:LVT983054 MFP983049:MFP983054 MPL983049:MPL983054 MZH983049:MZH983054 NJD983049:NJD983054 NSZ983049:NSZ983054 OCV983049:OCV983054 OMR983049:OMR983054 OWN983049:OWN983054 PGJ983049:PGJ983054 PQF983049:PQF983054 QAB983049:QAB983054 QJX983049:QJX983054 QTT983049:QTT983054 RDP983049:RDP983054 RNL983049:RNL983054 RXH983049:RXH983054 SHD983049:SHD983054 SQZ983049:SQZ983054 TAV983049:TAV983054 TKR983049:TKR983054 TUN983049:TUN983054 UEJ983049:UEJ983054 UOF983049:UOF983054 UYB983049:UYB983054 VHX983049:VHX983054 VRT983049:VRT983054 WBP983049:WBP983054 WLL983049:WLL983054 WVH983049:WVH983054">
      <formula1>BldgType</formula1>
    </dataValidation>
    <dataValidation type="list" showInputMessage="1" showErrorMessage="1" sqref="WVM983049:WVM983054 JA9:JA14 SW9:SW14 ACS9:ACS14 AMO9:AMO14 AWK9:AWK14 BGG9:BGG14 BQC9:BQC14 BZY9:BZY14 CJU9:CJU14 CTQ9:CTQ14 DDM9:DDM14 DNI9:DNI14 DXE9:DXE14 EHA9:EHA14 EQW9:EQW14 FAS9:FAS14 FKO9:FKO14 FUK9:FUK14 GEG9:GEG14 GOC9:GOC14 GXY9:GXY14 HHU9:HHU14 HRQ9:HRQ14 IBM9:IBM14 ILI9:ILI14 IVE9:IVE14 JFA9:JFA14 JOW9:JOW14 JYS9:JYS14 KIO9:KIO14 KSK9:KSK14 LCG9:LCG14 LMC9:LMC14 LVY9:LVY14 MFU9:MFU14 MPQ9:MPQ14 MZM9:MZM14 NJI9:NJI14 NTE9:NTE14 ODA9:ODA14 OMW9:OMW14 OWS9:OWS14 PGO9:PGO14 PQK9:PQK14 QAG9:QAG14 QKC9:QKC14 QTY9:QTY14 RDU9:RDU14 RNQ9:RNQ14 RXM9:RXM14 SHI9:SHI14 SRE9:SRE14 TBA9:TBA14 TKW9:TKW14 TUS9:TUS14 UEO9:UEO14 UOK9:UOK14 UYG9:UYG14 VIC9:VIC14 VRY9:VRY14 WBU9:WBU14 WLQ9:WLQ14 WVM9:WVM14 I65545:I65550 JA65545:JA65550 SW65545:SW65550 ACS65545:ACS65550 AMO65545:AMO65550 AWK65545:AWK65550 BGG65545:BGG65550 BQC65545:BQC65550 BZY65545:BZY65550 CJU65545:CJU65550 CTQ65545:CTQ65550 DDM65545:DDM65550 DNI65545:DNI65550 DXE65545:DXE65550 EHA65545:EHA65550 EQW65545:EQW65550 FAS65545:FAS65550 FKO65545:FKO65550 FUK65545:FUK65550 GEG65545:GEG65550 GOC65545:GOC65550 GXY65545:GXY65550 HHU65545:HHU65550 HRQ65545:HRQ65550 IBM65545:IBM65550 ILI65545:ILI65550 IVE65545:IVE65550 JFA65545:JFA65550 JOW65545:JOW65550 JYS65545:JYS65550 KIO65545:KIO65550 KSK65545:KSK65550 LCG65545:LCG65550 LMC65545:LMC65550 LVY65545:LVY65550 MFU65545:MFU65550 MPQ65545:MPQ65550 MZM65545:MZM65550 NJI65545:NJI65550 NTE65545:NTE65550 ODA65545:ODA65550 OMW65545:OMW65550 OWS65545:OWS65550 PGO65545:PGO65550 PQK65545:PQK65550 QAG65545:QAG65550 QKC65545:QKC65550 QTY65545:QTY65550 RDU65545:RDU65550 RNQ65545:RNQ65550 RXM65545:RXM65550 SHI65545:SHI65550 SRE65545:SRE65550 TBA65545:TBA65550 TKW65545:TKW65550 TUS65545:TUS65550 UEO65545:UEO65550 UOK65545:UOK65550 UYG65545:UYG65550 VIC65545:VIC65550 VRY65545:VRY65550 WBU65545:WBU65550 WLQ65545:WLQ65550 WVM65545:WVM65550 I131081:I131086 JA131081:JA131086 SW131081:SW131086 ACS131081:ACS131086 AMO131081:AMO131086 AWK131081:AWK131086 BGG131081:BGG131086 BQC131081:BQC131086 BZY131081:BZY131086 CJU131081:CJU131086 CTQ131081:CTQ131086 DDM131081:DDM131086 DNI131081:DNI131086 DXE131081:DXE131086 EHA131081:EHA131086 EQW131081:EQW131086 FAS131081:FAS131086 FKO131081:FKO131086 FUK131081:FUK131086 GEG131081:GEG131086 GOC131081:GOC131086 GXY131081:GXY131086 HHU131081:HHU131086 HRQ131081:HRQ131086 IBM131081:IBM131086 ILI131081:ILI131086 IVE131081:IVE131086 JFA131081:JFA131086 JOW131081:JOW131086 JYS131081:JYS131086 KIO131081:KIO131086 KSK131081:KSK131086 LCG131081:LCG131086 LMC131081:LMC131086 LVY131081:LVY131086 MFU131081:MFU131086 MPQ131081:MPQ131086 MZM131081:MZM131086 NJI131081:NJI131086 NTE131081:NTE131086 ODA131081:ODA131086 OMW131081:OMW131086 OWS131081:OWS131086 PGO131081:PGO131086 PQK131081:PQK131086 QAG131081:QAG131086 QKC131081:QKC131086 QTY131081:QTY131086 RDU131081:RDU131086 RNQ131081:RNQ131086 RXM131081:RXM131086 SHI131081:SHI131086 SRE131081:SRE131086 TBA131081:TBA131086 TKW131081:TKW131086 TUS131081:TUS131086 UEO131081:UEO131086 UOK131081:UOK131086 UYG131081:UYG131086 VIC131081:VIC131086 VRY131081:VRY131086 WBU131081:WBU131086 WLQ131081:WLQ131086 WVM131081:WVM131086 I196617:I196622 JA196617:JA196622 SW196617:SW196622 ACS196617:ACS196622 AMO196617:AMO196622 AWK196617:AWK196622 BGG196617:BGG196622 BQC196617:BQC196622 BZY196617:BZY196622 CJU196617:CJU196622 CTQ196617:CTQ196622 DDM196617:DDM196622 DNI196617:DNI196622 DXE196617:DXE196622 EHA196617:EHA196622 EQW196617:EQW196622 FAS196617:FAS196622 FKO196617:FKO196622 FUK196617:FUK196622 GEG196617:GEG196622 GOC196617:GOC196622 GXY196617:GXY196622 HHU196617:HHU196622 HRQ196617:HRQ196622 IBM196617:IBM196622 ILI196617:ILI196622 IVE196617:IVE196622 JFA196617:JFA196622 JOW196617:JOW196622 JYS196617:JYS196622 KIO196617:KIO196622 KSK196617:KSK196622 LCG196617:LCG196622 LMC196617:LMC196622 LVY196617:LVY196622 MFU196617:MFU196622 MPQ196617:MPQ196622 MZM196617:MZM196622 NJI196617:NJI196622 NTE196617:NTE196622 ODA196617:ODA196622 OMW196617:OMW196622 OWS196617:OWS196622 PGO196617:PGO196622 PQK196617:PQK196622 QAG196617:QAG196622 QKC196617:QKC196622 QTY196617:QTY196622 RDU196617:RDU196622 RNQ196617:RNQ196622 RXM196617:RXM196622 SHI196617:SHI196622 SRE196617:SRE196622 TBA196617:TBA196622 TKW196617:TKW196622 TUS196617:TUS196622 UEO196617:UEO196622 UOK196617:UOK196622 UYG196617:UYG196622 VIC196617:VIC196622 VRY196617:VRY196622 WBU196617:WBU196622 WLQ196617:WLQ196622 WVM196617:WVM196622 I262153:I262158 JA262153:JA262158 SW262153:SW262158 ACS262153:ACS262158 AMO262153:AMO262158 AWK262153:AWK262158 BGG262153:BGG262158 BQC262153:BQC262158 BZY262153:BZY262158 CJU262153:CJU262158 CTQ262153:CTQ262158 DDM262153:DDM262158 DNI262153:DNI262158 DXE262153:DXE262158 EHA262153:EHA262158 EQW262153:EQW262158 FAS262153:FAS262158 FKO262153:FKO262158 FUK262153:FUK262158 GEG262153:GEG262158 GOC262153:GOC262158 GXY262153:GXY262158 HHU262153:HHU262158 HRQ262153:HRQ262158 IBM262153:IBM262158 ILI262153:ILI262158 IVE262153:IVE262158 JFA262153:JFA262158 JOW262153:JOW262158 JYS262153:JYS262158 KIO262153:KIO262158 KSK262153:KSK262158 LCG262153:LCG262158 LMC262153:LMC262158 LVY262153:LVY262158 MFU262153:MFU262158 MPQ262153:MPQ262158 MZM262153:MZM262158 NJI262153:NJI262158 NTE262153:NTE262158 ODA262153:ODA262158 OMW262153:OMW262158 OWS262153:OWS262158 PGO262153:PGO262158 PQK262153:PQK262158 QAG262153:QAG262158 QKC262153:QKC262158 QTY262153:QTY262158 RDU262153:RDU262158 RNQ262153:RNQ262158 RXM262153:RXM262158 SHI262153:SHI262158 SRE262153:SRE262158 TBA262153:TBA262158 TKW262153:TKW262158 TUS262153:TUS262158 UEO262153:UEO262158 UOK262153:UOK262158 UYG262153:UYG262158 VIC262153:VIC262158 VRY262153:VRY262158 WBU262153:WBU262158 WLQ262153:WLQ262158 WVM262153:WVM262158 I327689:I327694 JA327689:JA327694 SW327689:SW327694 ACS327689:ACS327694 AMO327689:AMO327694 AWK327689:AWK327694 BGG327689:BGG327694 BQC327689:BQC327694 BZY327689:BZY327694 CJU327689:CJU327694 CTQ327689:CTQ327694 DDM327689:DDM327694 DNI327689:DNI327694 DXE327689:DXE327694 EHA327689:EHA327694 EQW327689:EQW327694 FAS327689:FAS327694 FKO327689:FKO327694 FUK327689:FUK327694 GEG327689:GEG327694 GOC327689:GOC327694 GXY327689:GXY327694 HHU327689:HHU327694 HRQ327689:HRQ327694 IBM327689:IBM327694 ILI327689:ILI327694 IVE327689:IVE327694 JFA327689:JFA327694 JOW327689:JOW327694 JYS327689:JYS327694 KIO327689:KIO327694 KSK327689:KSK327694 LCG327689:LCG327694 LMC327689:LMC327694 LVY327689:LVY327694 MFU327689:MFU327694 MPQ327689:MPQ327694 MZM327689:MZM327694 NJI327689:NJI327694 NTE327689:NTE327694 ODA327689:ODA327694 OMW327689:OMW327694 OWS327689:OWS327694 PGO327689:PGO327694 PQK327689:PQK327694 QAG327689:QAG327694 QKC327689:QKC327694 QTY327689:QTY327694 RDU327689:RDU327694 RNQ327689:RNQ327694 RXM327689:RXM327694 SHI327689:SHI327694 SRE327689:SRE327694 TBA327689:TBA327694 TKW327689:TKW327694 TUS327689:TUS327694 UEO327689:UEO327694 UOK327689:UOK327694 UYG327689:UYG327694 VIC327689:VIC327694 VRY327689:VRY327694 WBU327689:WBU327694 WLQ327689:WLQ327694 WVM327689:WVM327694 I393225:I393230 JA393225:JA393230 SW393225:SW393230 ACS393225:ACS393230 AMO393225:AMO393230 AWK393225:AWK393230 BGG393225:BGG393230 BQC393225:BQC393230 BZY393225:BZY393230 CJU393225:CJU393230 CTQ393225:CTQ393230 DDM393225:DDM393230 DNI393225:DNI393230 DXE393225:DXE393230 EHA393225:EHA393230 EQW393225:EQW393230 FAS393225:FAS393230 FKO393225:FKO393230 FUK393225:FUK393230 GEG393225:GEG393230 GOC393225:GOC393230 GXY393225:GXY393230 HHU393225:HHU393230 HRQ393225:HRQ393230 IBM393225:IBM393230 ILI393225:ILI393230 IVE393225:IVE393230 JFA393225:JFA393230 JOW393225:JOW393230 JYS393225:JYS393230 KIO393225:KIO393230 KSK393225:KSK393230 LCG393225:LCG393230 LMC393225:LMC393230 LVY393225:LVY393230 MFU393225:MFU393230 MPQ393225:MPQ393230 MZM393225:MZM393230 NJI393225:NJI393230 NTE393225:NTE393230 ODA393225:ODA393230 OMW393225:OMW393230 OWS393225:OWS393230 PGO393225:PGO393230 PQK393225:PQK393230 QAG393225:QAG393230 QKC393225:QKC393230 QTY393225:QTY393230 RDU393225:RDU393230 RNQ393225:RNQ393230 RXM393225:RXM393230 SHI393225:SHI393230 SRE393225:SRE393230 TBA393225:TBA393230 TKW393225:TKW393230 TUS393225:TUS393230 UEO393225:UEO393230 UOK393225:UOK393230 UYG393225:UYG393230 VIC393225:VIC393230 VRY393225:VRY393230 WBU393225:WBU393230 WLQ393225:WLQ393230 WVM393225:WVM393230 I458761:I458766 JA458761:JA458766 SW458761:SW458766 ACS458761:ACS458766 AMO458761:AMO458766 AWK458761:AWK458766 BGG458761:BGG458766 BQC458761:BQC458766 BZY458761:BZY458766 CJU458761:CJU458766 CTQ458761:CTQ458766 DDM458761:DDM458766 DNI458761:DNI458766 DXE458761:DXE458766 EHA458761:EHA458766 EQW458761:EQW458766 FAS458761:FAS458766 FKO458761:FKO458766 FUK458761:FUK458766 GEG458761:GEG458766 GOC458761:GOC458766 GXY458761:GXY458766 HHU458761:HHU458766 HRQ458761:HRQ458766 IBM458761:IBM458766 ILI458761:ILI458766 IVE458761:IVE458766 JFA458761:JFA458766 JOW458761:JOW458766 JYS458761:JYS458766 KIO458761:KIO458766 KSK458761:KSK458766 LCG458761:LCG458766 LMC458761:LMC458766 LVY458761:LVY458766 MFU458761:MFU458766 MPQ458761:MPQ458766 MZM458761:MZM458766 NJI458761:NJI458766 NTE458761:NTE458766 ODA458761:ODA458766 OMW458761:OMW458766 OWS458761:OWS458766 PGO458761:PGO458766 PQK458761:PQK458766 QAG458761:QAG458766 QKC458761:QKC458766 QTY458761:QTY458766 RDU458761:RDU458766 RNQ458761:RNQ458766 RXM458761:RXM458766 SHI458761:SHI458766 SRE458761:SRE458766 TBA458761:TBA458766 TKW458761:TKW458766 TUS458761:TUS458766 UEO458761:UEO458766 UOK458761:UOK458766 UYG458761:UYG458766 VIC458761:VIC458766 VRY458761:VRY458766 WBU458761:WBU458766 WLQ458761:WLQ458766 WVM458761:WVM458766 I524297:I524302 JA524297:JA524302 SW524297:SW524302 ACS524297:ACS524302 AMO524297:AMO524302 AWK524297:AWK524302 BGG524297:BGG524302 BQC524297:BQC524302 BZY524297:BZY524302 CJU524297:CJU524302 CTQ524297:CTQ524302 DDM524297:DDM524302 DNI524297:DNI524302 DXE524297:DXE524302 EHA524297:EHA524302 EQW524297:EQW524302 FAS524297:FAS524302 FKO524297:FKO524302 FUK524297:FUK524302 GEG524297:GEG524302 GOC524297:GOC524302 GXY524297:GXY524302 HHU524297:HHU524302 HRQ524297:HRQ524302 IBM524297:IBM524302 ILI524297:ILI524302 IVE524297:IVE524302 JFA524297:JFA524302 JOW524297:JOW524302 JYS524297:JYS524302 KIO524297:KIO524302 KSK524297:KSK524302 LCG524297:LCG524302 LMC524297:LMC524302 LVY524297:LVY524302 MFU524297:MFU524302 MPQ524297:MPQ524302 MZM524297:MZM524302 NJI524297:NJI524302 NTE524297:NTE524302 ODA524297:ODA524302 OMW524297:OMW524302 OWS524297:OWS524302 PGO524297:PGO524302 PQK524297:PQK524302 QAG524297:QAG524302 QKC524297:QKC524302 QTY524297:QTY524302 RDU524297:RDU524302 RNQ524297:RNQ524302 RXM524297:RXM524302 SHI524297:SHI524302 SRE524297:SRE524302 TBA524297:TBA524302 TKW524297:TKW524302 TUS524297:TUS524302 UEO524297:UEO524302 UOK524297:UOK524302 UYG524297:UYG524302 VIC524297:VIC524302 VRY524297:VRY524302 WBU524297:WBU524302 WLQ524297:WLQ524302 WVM524297:WVM524302 I589833:I589838 JA589833:JA589838 SW589833:SW589838 ACS589833:ACS589838 AMO589833:AMO589838 AWK589833:AWK589838 BGG589833:BGG589838 BQC589833:BQC589838 BZY589833:BZY589838 CJU589833:CJU589838 CTQ589833:CTQ589838 DDM589833:DDM589838 DNI589833:DNI589838 DXE589833:DXE589838 EHA589833:EHA589838 EQW589833:EQW589838 FAS589833:FAS589838 FKO589833:FKO589838 FUK589833:FUK589838 GEG589833:GEG589838 GOC589833:GOC589838 GXY589833:GXY589838 HHU589833:HHU589838 HRQ589833:HRQ589838 IBM589833:IBM589838 ILI589833:ILI589838 IVE589833:IVE589838 JFA589833:JFA589838 JOW589833:JOW589838 JYS589833:JYS589838 KIO589833:KIO589838 KSK589833:KSK589838 LCG589833:LCG589838 LMC589833:LMC589838 LVY589833:LVY589838 MFU589833:MFU589838 MPQ589833:MPQ589838 MZM589833:MZM589838 NJI589833:NJI589838 NTE589833:NTE589838 ODA589833:ODA589838 OMW589833:OMW589838 OWS589833:OWS589838 PGO589833:PGO589838 PQK589833:PQK589838 QAG589833:QAG589838 QKC589833:QKC589838 QTY589833:QTY589838 RDU589833:RDU589838 RNQ589833:RNQ589838 RXM589833:RXM589838 SHI589833:SHI589838 SRE589833:SRE589838 TBA589833:TBA589838 TKW589833:TKW589838 TUS589833:TUS589838 UEO589833:UEO589838 UOK589833:UOK589838 UYG589833:UYG589838 VIC589833:VIC589838 VRY589833:VRY589838 WBU589833:WBU589838 WLQ589833:WLQ589838 WVM589833:WVM589838 I655369:I655374 JA655369:JA655374 SW655369:SW655374 ACS655369:ACS655374 AMO655369:AMO655374 AWK655369:AWK655374 BGG655369:BGG655374 BQC655369:BQC655374 BZY655369:BZY655374 CJU655369:CJU655374 CTQ655369:CTQ655374 DDM655369:DDM655374 DNI655369:DNI655374 DXE655369:DXE655374 EHA655369:EHA655374 EQW655369:EQW655374 FAS655369:FAS655374 FKO655369:FKO655374 FUK655369:FUK655374 GEG655369:GEG655374 GOC655369:GOC655374 GXY655369:GXY655374 HHU655369:HHU655374 HRQ655369:HRQ655374 IBM655369:IBM655374 ILI655369:ILI655374 IVE655369:IVE655374 JFA655369:JFA655374 JOW655369:JOW655374 JYS655369:JYS655374 KIO655369:KIO655374 KSK655369:KSK655374 LCG655369:LCG655374 LMC655369:LMC655374 LVY655369:LVY655374 MFU655369:MFU655374 MPQ655369:MPQ655374 MZM655369:MZM655374 NJI655369:NJI655374 NTE655369:NTE655374 ODA655369:ODA655374 OMW655369:OMW655374 OWS655369:OWS655374 PGO655369:PGO655374 PQK655369:PQK655374 QAG655369:QAG655374 QKC655369:QKC655374 QTY655369:QTY655374 RDU655369:RDU655374 RNQ655369:RNQ655374 RXM655369:RXM655374 SHI655369:SHI655374 SRE655369:SRE655374 TBA655369:TBA655374 TKW655369:TKW655374 TUS655369:TUS655374 UEO655369:UEO655374 UOK655369:UOK655374 UYG655369:UYG655374 VIC655369:VIC655374 VRY655369:VRY655374 WBU655369:WBU655374 WLQ655369:WLQ655374 WVM655369:WVM655374 I720905:I720910 JA720905:JA720910 SW720905:SW720910 ACS720905:ACS720910 AMO720905:AMO720910 AWK720905:AWK720910 BGG720905:BGG720910 BQC720905:BQC720910 BZY720905:BZY720910 CJU720905:CJU720910 CTQ720905:CTQ720910 DDM720905:DDM720910 DNI720905:DNI720910 DXE720905:DXE720910 EHA720905:EHA720910 EQW720905:EQW720910 FAS720905:FAS720910 FKO720905:FKO720910 FUK720905:FUK720910 GEG720905:GEG720910 GOC720905:GOC720910 GXY720905:GXY720910 HHU720905:HHU720910 HRQ720905:HRQ720910 IBM720905:IBM720910 ILI720905:ILI720910 IVE720905:IVE720910 JFA720905:JFA720910 JOW720905:JOW720910 JYS720905:JYS720910 KIO720905:KIO720910 KSK720905:KSK720910 LCG720905:LCG720910 LMC720905:LMC720910 LVY720905:LVY720910 MFU720905:MFU720910 MPQ720905:MPQ720910 MZM720905:MZM720910 NJI720905:NJI720910 NTE720905:NTE720910 ODA720905:ODA720910 OMW720905:OMW720910 OWS720905:OWS720910 PGO720905:PGO720910 PQK720905:PQK720910 QAG720905:QAG720910 QKC720905:QKC720910 QTY720905:QTY720910 RDU720905:RDU720910 RNQ720905:RNQ720910 RXM720905:RXM720910 SHI720905:SHI720910 SRE720905:SRE720910 TBA720905:TBA720910 TKW720905:TKW720910 TUS720905:TUS720910 UEO720905:UEO720910 UOK720905:UOK720910 UYG720905:UYG720910 VIC720905:VIC720910 VRY720905:VRY720910 WBU720905:WBU720910 WLQ720905:WLQ720910 WVM720905:WVM720910 I786441:I786446 JA786441:JA786446 SW786441:SW786446 ACS786441:ACS786446 AMO786441:AMO786446 AWK786441:AWK786446 BGG786441:BGG786446 BQC786441:BQC786446 BZY786441:BZY786446 CJU786441:CJU786446 CTQ786441:CTQ786446 DDM786441:DDM786446 DNI786441:DNI786446 DXE786441:DXE786446 EHA786441:EHA786446 EQW786441:EQW786446 FAS786441:FAS786446 FKO786441:FKO786446 FUK786441:FUK786446 GEG786441:GEG786446 GOC786441:GOC786446 GXY786441:GXY786446 HHU786441:HHU786446 HRQ786441:HRQ786446 IBM786441:IBM786446 ILI786441:ILI786446 IVE786441:IVE786446 JFA786441:JFA786446 JOW786441:JOW786446 JYS786441:JYS786446 KIO786441:KIO786446 KSK786441:KSK786446 LCG786441:LCG786446 LMC786441:LMC786446 LVY786441:LVY786446 MFU786441:MFU786446 MPQ786441:MPQ786446 MZM786441:MZM786446 NJI786441:NJI786446 NTE786441:NTE786446 ODA786441:ODA786446 OMW786441:OMW786446 OWS786441:OWS786446 PGO786441:PGO786446 PQK786441:PQK786446 QAG786441:QAG786446 QKC786441:QKC786446 QTY786441:QTY786446 RDU786441:RDU786446 RNQ786441:RNQ786446 RXM786441:RXM786446 SHI786441:SHI786446 SRE786441:SRE786446 TBA786441:TBA786446 TKW786441:TKW786446 TUS786441:TUS786446 UEO786441:UEO786446 UOK786441:UOK786446 UYG786441:UYG786446 VIC786441:VIC786446 VRY786441:VRY786446 WBU786441:WBU786446 WLQ786441:WLQ786446 WVM786441:WVM786446 I851977:I851982 JA851977:JA851982 SW851977:SW851982 ACS851977:ACS851982 AMO851977:AMO851982 AWK851977:AWK851982 BGG851977:BGG851982 BQC851977:BQC851982 BZY851977:BZY851982 CJU851977:CJU851982 CTQ851977:CTQ851982 DDM851977:DDM851982 DNI851977:DNI851982 DXE851977:DXE851982 EHA851977:EHA851982 EQW851977:EQW851982 FAS851977:FAS851982 FKO851977:FKO851982 FUK851977:FUK851982 GEG851977:GEG851982 GOC851977:GOC851982 GXY851977:GXY851982 HHU851977:HHU851982 HRQ851977:HRQ851982 IBM851977:IBM851982 ILI851977:ILI851982 IVE851977:IVE851982 JFA851977:JFA851982 JOW851977:JOW851982 JYS851977:JYS851982 KIO851977:KIO851982 KSK851977:KSK851982 LCG851977:LCG851982 LMC851977:LMC851982 LVY851977:LVY851982 MFU851977:MFU851982 MPQ851977:MPQ851982 MZM851977:MZM851982 NJI851977:NJI851982 NTE851977:NTE851982 ODA851977:ODA851982 OMW851977:OMW851982 OWS851977:OWS851982 PGO851977:PGO851982 PQK851977:PQK851982 QAG851977:QAG851982 QKC851977:QKC851982 QTY851977:QTY851982 RDU851977:RDU851982 RNQ851977:RNQ851982 RXM851977:RXM851982 SHI851977:SHI851982 SRE851977:SRE851982 TBA851977:TBA851982 TKW851977:TKW851982 TUS851977:TUS851982 UEO851977:UEO851982 UOK851977:UOK851982 UYG851977:UYG851982 VIC851977:VIC851982 VRY851977:VRY851982 WBU851977:WBU851982 WLQ851977:WLQ851982 WVM851977:WVM851982 I917513:I917518 JA917513:JA917518 SW917513:SW917518 ACS917513:ACS917518 AMO917513:AMO917518 AWK917513:AWK917518 BGG917513:BGG917518 BQC917513:BQC917518 BZY917513:BZY917518 CJU917513:CJU917518 CTQ917513:CTQ917518 DDM917513:DDM917518 DNI917513:DNI917518 DXE917513:DXE917518 EHA917513:EHA917518 EQW917513:EQW917518 FAS917513:FAS917518 FKO917513:FKO917518 FUK917513:FUK917518 GEG917513:GEG917518 GOC917513:GOC917518 GXY917513:GXY917518 HHU917513:HHU917518 HRQ917513:HRQ917518 IBM917513:IBM917518 ILI917513:ILI917518 IVE917513:IVE917518 JFA917513:JFA917518 JOW917513:JOW917518 JYS917513:JYS917518 KIO917513:KIO917518 KSK917513:KSK917518 LCG917513:LCG917518 LMC917513:LMC917518 LVY917513:LVY917518 MFU917513:MFU917518 MPQ917513:MPQ917518 MZM917513:MZM917518 NJI917513:NJI917518 NTE917513:NTE917518 ODA917513:ODA917518 OMW917513:OMW917518 OWS917513:OWS917518 PGO917513:PGO917518 PQK917513:PQK917518 QAG917513:QAG917518 QKC917513:QKC917518 QTY917513:QTY917518 RDU917513:RDU917518 RNQ917513:RNQ917518 RXM917513:RXM917518 SHI917513:SHI917518 SRE917513:SRE917518 TBA917513:TBA917518 TKW917513:TKW917518 TUS917513:TUS917518 UEO917513:UEO917518 UOK917513:UOK917518 UYG917513:UYG917518 VIC917513:VIC917518 VRY917513:VRY917518 WBU917513:WBU917518 WLQ917513:WLQ917518 WVM917513:WVM917518 I983049:I983054 JA983049:JA983054 SW983049:SW983054 ACS983049:ACS983054 AMO983049:AMO983054 AWK983049:AWK983054 BGG983049:BGG983054 BQC983049:BQC983054 BZY983049:BZY983054 CJU983049:CJU983054 CTQ983049:CTQ983054 DDM983049:DDM983054 DNI983049:DNI983054 DXE983049:DXE983054 EHA983049:EHA983054 EQW983049:EQW983054 FAS983049:FAS983054 FKO983049:FKO983054 FUK983049:FUK983054 GEG983049:GEG983054 GOC983049:GOC983054 GXY983049:GXY983054 HHU983049:HHU983054 HRQ983049:HRQ983054 IBM983049:IBM983054 ILI983049:ILI983054 IVE983049:IVE983054 JFA983049:JFA983054 JOW983049:JOW983054 JYS983049:JYS983054 KIO983049:KIO983054 KSK983049:KSK983054 LCG983049:LCG983054 LMC983049:LMC983054 LVY983049:LVY983054 MFU983049:MFU983054 MPQ983049:MPQ983054 MZM983049:MZM983054 NJI983049:NJI983054 NTE983049:NTE983054 ODA983049:ODA983054 OMW983049:OMW983054 OWS983049:OWS983054 PGO983049:PGO983054 PQK983049:PQK983054 QAG983049:QAG983054 QKC983049:QKC983054 QTY983049:QTY983054 RDU983049:RDU983054 RNQ983049:RNQ983054 RXM983049:RXM983054 SHI983049:SHI983054 SRE983049:SRE983054 TBA983049:TBA983054 TKW983049:TKW983054 TUS983049:TUS983054 UEO983049:UEO983054 UOK983049:UOK983054 UYG983049:UYG983054 VIC983049:VIC983054 VRY983049:VRY983054 WBU983049:WBU983054 WLQ983049:WLQ983054">
      <formula1>ControlTypes</formula1>
    </dataValidation>
  </dataValidations>
  <printOptions horizontalCentered="1"/>
  <pageMargins left="0.57999999999999996" right="0.51" top="0.75" bottom="0.74" header="0.5" footer="0.5"/>
  <pageSetup scale="58" fitToHeight="0" pageOrder="overThenDown" orientation="landscape" r:id="rId1"/>
  <headerFooter alignWithMargins="0">
    <oddFooter>&amp;L&amp;F&amp;CPage &amp;P&amp;R&amp;9&amp;D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202"/>
  <sheetViews>
    <sheetView topLeftCell="A2176" workbookViewId="0">
      <selection activeCell="B13" sqref="B13"/>
    </sheetView>
  </sheetViews>
  <sheetFormatPr defaultRowHeight="15" x14ac:dyDescent="0.25"/>
  <cols>
    <col min="1" max="1" width="40.5703125" style="5" bestFit="1" customWidth="1"/>
    <col min="2" max="2" width="110.140625" style="5" bestFit="1" customWidth="1"/>
    <col min="3" max="3" width="18.28515625" bestFit="1" customWidth="1"/>
    <col min="4" max="4" width="16.28515625" bestFit="1" customWidth="1"/>
    <col min="5" max="5" width="17.42578125" bestFit="1" customWidth="1"/>
    <col min="6" max="6" width="15.42578125" bestFit="1" customWidth="1"/>
    <col min="7" max="7" width="17" bestFit="1" customWidth="1"/>
    <col min="8" max="8" width="11.28515625" bestFit="1" customWidth="1"/>
    <col min="9" max="9" width="13.140625" bestFit="1" customWidth="1"/>
    <col min="10" max="10" width="20.5703125" bestFit="1" customWidth="1"/>
    <col min="11" max="11" width="17.85546875" bestFit="1" customWidth="1"/>
    <col min="12" max="12" width="13.42578125" bestFit="1" customWidth="1"/>
    <col min="13" max="13" width="10.140625" bestFit="1" customWidth="1"/>
    <col min="14" max="14" width="13.85546875" bestFit="1" customWidth="1"/>
    <col min="15" max="15" width="10.42578125" bestFit="1" customWidth="1"/>
    <col min="16" max="16" width="33.85546875" bestFit="1" customWidth="1"/>
    <col min="17" max="17" width="16.28515625" bestFit="1" customWidth="1"/>
    <col min="18" max="18" width="25.5703125" bestFit="1" customWidth="1"/>
    <col min="19" max="19" width="5" bestFit="1" customWidth="1"/>
    <col min="20" max="20" width="8.5703125" bestFit="1" customWidth="1"/>
    <col min="21" max="21" width="18.42578125" bestFit="1" customWidth="1"/>
  </cols>
  <sheetData>
    <row r="1" spans="1:21" s="29" customFormat="1" x14ac:dyDescent="0.25">
      <c r="A1" s="29" t="s">
        <v>7821</v>
      </c>
      <c r="B1" s="29" t="s">
        <v>7822</v>
      </c>
      <c r="C1" s="29" t="s">
        <v>3461</v>
      </c>
      <c r="D1" s="29" t="s">
        <v>3462</v>
      </c>
      <c r="E1" s="29" t="s">
        <v>3463</v>
      </c>
      <c r="F1" s="29" t="s">
        <v>3464</v>
      </c>
      <c r="G1" s="29" t="s">
        <v>3465</v>
      </c>
      <c r="H1" s="29" t="s">
        <v>3466</v>
      </c>
      <c r="I1" s="29" t="s">
        <v>3467</v>
      </c>
      <c r="J1" s="29" t="s">
        <v>3468</v>
      </c>
      <c r="K1" s="29" t="s">
        <v>3469</v>
      </c>
      <c r="L1" s="29" t="s">
        <v>3470</v>
      </c>
      <c r="M1" s="29" t="s">
        <v>3471</v>
      </c>
      <c r="N1" s="29" t="s">
        <v>3474</v>
      </c>
      <c r="O1" s="29" t="s">
        <v>3475</v>
      </c>
      <c r="P1" s="29" t="s">
        <v>3472</v>
      </c>
      <c r="Q1" s="29" t="s">
        <v>3473</v>
      </c>
      <c r="R1" s="29" t="s">
        <v>3476</v>
      </c>
      <c r="S1" s="29" t="s">
        <v>7823</v>
      </c>
      <c r="T1" s="29" t="s">
        <v>3477</v>
      </c>
      <c r="U1" s="29" t="s">
        <v>3478</v>
      </c>
    </row>
    <row r="2" spans="1:21" x14ac:dyDescent="0.25">
      <c r="A2" s="30" t="s">
        <v>6880</v>
      </c>
      <c r="B2" s="30" t="s">
        <v>6881</v>
      </c>
      <c r="C2" s="30"/>
      <c r="D2" s="30" t="s">
        <v>3481</v>
      </c>
      <c r="E2" s="30"/>
      <c r="F2" s="30" t="s">
        <v>6882</v>
      </c>
      <c r="G2" s="30"/>
      <c r="H2" s="30"/>
      <c r="I2" s="30" t="s">
        <v>3483</v>
      </c>
      <c r="J2" s="30" t="s">
        <v>3484</v>
      </c>
      <c r="K2" s="30" t="s">
        <v>3485</v>
      </c>
      <c r="L2" s="30">
        <v>20</v>
      </c>
      <c r="M2" s="30">
        <v>1</v>
      </c>
      <c r="N2" s="30" t="s">
        <v>6883</v>
      </c>
      <c r="O2" s="30"/>
      <c r="P2" s="30"/>
      <c r="Q2" s="30">
        <v>1</v>
      </c>
      <c r="R2" s="30"/>
      <c r="S2" s="30">
        <v>26</v>
      </c>
      <c r="T2" s="30">
        <v>26</v>
      </c>
      <c r="U2" s="30">
        <v>26</v>
      </c>
    </row>
    <row r="3" spans="1:21" x14ac:dyDescent="0.25">
      <c r="A3" s="5" t="s">
        <v>3487</v>
      </c>
      <c r="B3" s="5" t="s">
        <v>3488</v>
      </c>
      <c r="C3" s="5"/>
      <c r="D3" s="5" t="s">
        <v>3481</v>
      </c>
      <c r="E3" s="5"/>
      <c r="F3" s="5" t="s">
        <v>3489</v>
      </c>
      <c r="G3" s="5"/>
      <c r="H3" s="5"/>
      <c r="I3" s="5" t="s">
        <v>3483</v>
      </c>
      <c r="J3" s="5" t="s">
        <v>3484</v>
      </c>
      <c r="K3" s="5" t="s">
        <v>3485</v>
      </c>
      <c r="L3" s="5">
        <v>100</v>
      </c>
      <c r="M3" s="5">
        <v>1</v>
      </c>
      <c r="N3" s="5" t="s">
        <v>3490</v>
      </c>
      <c r="O3" s="5"/>
      <c r="P3" s="5"/>
      <c r="Q3" s="5">
        <v>1</v>
      </c>
      <c r="R3" s="5"/>
      <c r="S3" s="5">
        <v>125</v>
      </c>
      <c r="T3" s="5">
        <v>125</v>
      </c>
      <c r="U3" s="5">
        <v>125</v>
      </c>
    </row>
    <row r="4" spans="1:21" x14ac:dyDescent="0.25">
      <c r="A4" s="5" t="s">
        <v>6884</v>
      </c>
      <c r="B4" s="5" t="s">
        <v>6885</v>
      </c>
      <c r="C4" s="5"/>
      <c r="D4" s="5" t="s">
        <v>6688</v>
      </c>
      <c r="E4" s="5" t="s">
        <v>6728</v>
      </c>
      <c r="F4" s="5" t="s">
        <v>6882</v>
      </c>
      <c r="G4" s="5"/>
      <c r="H4" s="5"/>
      <c r="I4" s="5" t="s">
        <v>3483</v>
      </c>
      <c r="J4" s="5" t="s">
        <v>6690</v>
      </c>
      <c r="K4" s="5" t="s">
        <v>6729</v>
      </c>
      <c r="L4" s="5">
        <v>20</v>
      </c>
      <c r="M4" s="5">
        <v>1</v>
      </c>
      <c r="N4" s="5" t="s">
        <v>6883</v>
      </c>
      <c r="O4" s="5"/>
      <c r="P4" s="5"/>
      <c r="Q4" s="5">
        <v>1</v>
      </c>
      <c r="R4" s="5"/>
      <c r="S4" s="5">
        <v>26</v>
      </c>
      <c r="T4" s="5">
        <v>26</v>
      </c>
      <c r="U4" s="5">
        <v>26</v>
      </c>
    </row>
    <row r="5" spans="1:21" x14ac:dyDescent="0.25">
      <c r="A5" s="5" t="s">
        <v>3497</v>
      </c>
      <c r="B5" s="5" t="s">
        <v>3498</v>
      </c>
      <c r="C5" s="5"/>
      <c r="D5" s="5" t="s">
        <v>3481</v>
      </c>
      <c r="E5" s="5"/>
      <c r="F5" s="5" t="s">
        <v>3489</v>
      </c>
      <c r="G5" s="5"/>
      <c r="H5" s="5"/>
      <c r="I5" s="5" t="s">
        <v>3483</v>
      </c>
      <c r="J5" s="5" t="s">
        <v>3484</v>
      </c>
      <c r="K5" s="5" t="s">
        <v>3485</v>
      </c>
      <c r="L5" s="5">
        <v>150</v>
      </c>
      <c r="M5" s="5">
        <v>1</v>
      </c>
      <c r="N5" s="5" t="s">
        <v>3490</v>
      </c>
      <c r="O5" s="5"/>
      <c r="P5" s="5"/>
      <c r="Q5" s="5">
        <v>1</v>
      </c>
      <c r="R5" s="5"/>
      <c r="S5" s="5">
        <v>189</v>
      </c>
      <c r="T5" s="5">
        <v>189</v>
      </c>
      <c r="U5" s="5">
        <v>189</v>
      </c>
    </row>
    <row r="6" spans="1:21" x14ac:dyDescent="0.25">
      <c r="A6" s="5" t="s">
        <v>6886</v>
      </c>
      <c r="B6" s="5" t="s">
        <v>6887</v>
      </c>
      <c r="C6" s="5"/>
      <c r="D6" s="5" t="s">
        <v>3481</v>
      </c>
      <c r="E6" s="5"/>
      <c r="F6" s="5" t="s">
        <v>6882</v>
      </c>
      <c r="G6" s="5"/>
      <c r="H6" s="5"/>
      <c r="I6" s="5" t="s">
        <v>3483</v>
      </c>
      <c r="J6" s="5" t="s">
        <v>3484</v>
      </c>
      <c r="K6" s="5" t="s">
        <v>3485</v>
      </c>
      <c r="L6" s="5">
        <v>39</v>
      </c>
      <c r="M6" s="5">
        <v>1</v>
      </c>
      <c r="N6" s="5" t="s">
        <v>6883</v>
      </c>
      <c r="O6" s="5"/>
      <c r="P6" s="5"/>
      <c r="Q6" s="5">
        <v>1</v>
      </c>
      <c r="R6" s="5"/>
      <c r="S6" s="5">
        <v>45</v>
      </c>
      <c r="T6" s="5">
        <v>45</v>
      </c>
      <c r="U6" s="5">
        <v>45</v>
      </c>
    </row>
    <row r="7" spans="1:21" x14ac:dyDescent="0.25">
      <c r="A7" s="5" t="s">
        <v>3507</v>
      </c>
      <c r="B7" s="5" t="s">
        <v>3508</v>
      </c>
      <c r="C7" s="5"/>
      <c r="D7" s="5" t="s">
        <v>3481</v>
      </c>
      <c r="E7" s="5"/>
      <c r="F7" s="5" t="s">
        <v>3509</v>
      </c>
      <c r="G7" s="5"/>
      <c r="H7" s="5"/>
      <c r="I7" s="5" t="s">
        <v>3483</v>
      </c>
      <c r="J7" s="5" t="s">
        <v>3484</v>
      </c>
      <c r="K7" s="5" t="s">
        <v>3485</v>
      </c>
      <c r="L7" s="5">
        <v>250</v>
      </c>
      <c r="M7" s="5">
        <v>1</v>
      </c>
      <c r="N7" s="5" t="s">
        <v>3510</v>
      </c>
      <c r="O7" s="5"/>
      <c r="P7" s="5"/>
      <c r="Q7" s="5">
        <v>1</v>
      </c>
      <c r="R7" s="5"/>
      <c r="S7" s="5">
        <v>272</v>
      </c>
      <c r="T7" s="5">
        <v>272</v>
      </c>
      <c r="U7" s="5">
        <v>272</v>
      </c>
    </row>
    <row r="8" spans="1:21" x14ac:dyDescent="0.25">
      <c r="A8" s="5" t="s">
        <v>3511</v>
      </c>
      <c r="B8" s="5" t="s">
        <v>3512</v>
      </c>
      <c r="C8" s="5"/>
      <c r="D8" s="5" t="s">
        <v>3481</v>
      </c>
      <c r="E8" s="5"/>
      <c r="F8" s="5" t="s">
        <v>3489</v>
      </c>
      <c r="G8" s="5"/>
      <c r="H8" s="5"/>
      <c r="I8" s="5" t="s">
        <v>3483</v>
      </c>
      <c r="J8" s="5" t="s">
        <v>3484</v>
      </c>
      <c r="K8" s="5" t="s">
        <v>3485</v>
      </c>
      <c r="L8" s="5">
        <v>250</v>
      </c>
      <c r="M8" s="5">
        <v>1</v>
      </c>
      <c r="N8" s="5" t="s">
        <v>3490</v>
      </c>
      <c r="O8" s="5"/>
      <c r="P8" s="5"/>
      <c r="Q8" s="5">
        <v>1</v>
      </c>
      <c r="R8" s="5"/>
      <c r="S8" s="5">
        <v>288</v>
      </c>
      <c r="T8" s="5">
        <v>288</v>
      </c>
      <c r="U8" s="5">
        <v>288</v>
      </c>
    </row>
    <row r="9" spans="1:21" x14ac:dyDescent="0.25">
      <c r="A9" s="5" t="s">
        <v>3513</v>
      </c>
      <c r="B9" s="5" t="s">
        <v>3514</v>
      </c>
      <c r="C9" s="5"/>
      <c r="D9" s="5" t="s">
        <v>3481</v>
      </c>
      <c r="E9" s="5"/>
      <c r="F9" s="5" t="s">
        <v>3509</v>
      </c>
      <c r="G9" s="5"/>
      <c r="H9" s="5"/>
      <c r="I9" s="5" t="s">
        <v>3483</v>
      </c>
      <c r="J9" s="5" t="s">
        <v>3484</v>
      </c>
      <c r="K9" s="5" t="s">
        <v>3485</v>
      </c>
      <c r="L9" s="5">
        <v>300</v>
      </c>
      <c r="M9" s="5">
        <v>1</v>
      </c>
      <c r="N9" s="5" t="s">
        <v>3510</v>
      </c>
      <c r="O9" s="5"/>
      <c r="P9" s="5"/>
      <c r="Q9" s="5">
        <v>1</v>
      </c>
      <c r="R9" s="5"/>
      <c r="S9" s="5">
        <v>324</v>
      </c>
      <c r="T9" s="5">
        <v>324</v>
      </c>
      <c r="U9" s="5">
        <v>324</v>
      </c>
    </row>
    <row r="10" spans="1:21" x14ac:dyDescent="0.25">
      <c r="A10" s="5" t="s">
        <v>3515</v>
      </c>
      <c r="B10" s="5" t="s">
        <v>3516</v>
      </c>
      <c r="C10" s="5"/>
      <c r="D10" s="5" t="s">
        <v>3481</v>
      </c>
      <c r="E10" s="5"/>
      <c r="F10" s="5" t="s">
        <v>3489</v>
      </c>
      <c r="G10" s="5"/>
      <c r="H10" s="5"/>
      <c r="I10" s="5" t="s">
        <v>3483</v>
      </c>
      <c r="J10" s="5" t="s">
        <v>3484</v>
      </c>
      <c r="K10" s="5" t="s">
        <v>3485</v>
      </c>
      <c r="L10" s="5">
        <v>300</v>
      </c>
      <c r="M10" s="5">
        <v>1</v>
      </c>
      <c r="N10" s="5" t="s">
        <v>3490</v>
      </c>
      <c r="O10" s="5"/>
      <c r="P10" s="5"/>
      <c r="Q10" s="5">
        <v>1</v>
      </c>
      <c r="R10" s="5"/>
      <c r="S10" s="5">
        <v>342</v>
      </c>
      <c r="T10" s="5">
        <v>342</v>
      </c>
      <c r="U10" s="5">
        <v>342</v>
      </c>
    </row>
    <row r="11" spans="1:21" x14ac:dyDescent="0.25">
      <c r="A11" s="5" t="s">
        <v>6888</v>
      </c>
      <c r="B11" s="5" t="s">
        <v>6889</v>
      </c>
      <c r="C11" s="5"/>
      <c r="D11" s="5" t="s">
        <v>6688</v>
      </c>
      <c r="E11" s="5"/>
      <c r="F11" s="5" t="s">
        <v>6882</v>
      </c>
      <c r="G11" s="5"/>
      <c r="H11" s="5"/>
      <c r="I11" s="5" t="s">
        <v>3483</v>
      </c>
      <c r="J11" s="5" t="s">
        <v>6690</v>
      </c>
      <c r="K11" s="5" t="s">
        <v>3485</v>
      </c>
      <c r="L11" s="5">
        <v>50</v>
      </c>
      <c r="M11" s="5">
        <v>1</v>
      </c>
      <c r="N11" s="5" t="s">
        <v>6883</v>
      </c>
      <c r="O11" s="5"/>
      <c r="P11" s="5"/>
      <c r="Q11" s="5">
        <v>1</v>
      </c>
      <c r="R11" s="5"/>
      <c r="S11" s="5">
        <v>55</v>
      </c>
      <c r="T11" s="5">
        <v>55</v>
      </c>
      <c r="U11" s="5">
        <v>55</v>
      </c>
    </row>
    <row r="12" spans="1:21" x14ac:dyDescent="0.25">
      <c r="A12" s="5" t="s">
        <v>3519</v>
      </c>
      <c r="B12" s="5" t="s">
        <v>3520</v>
      </c>
      <c r="C12" s="5"/>
      <c r="D12" s="5" t="s">
        <v>3481</v>
      </c>
      <c r="E12" s="5"/>
      <c r="F12" s="5" t="s">
        <v>3509</v>
      </c>
      <c r="G12" s="5"/>
      <c r="H12" s="5"/>
      <c r="I12" s="5" t="s">
        <v>3483</v>
      </c>
      <c r="J12" s="5" t="s">
        <v>3484</v>
      </c>
      <c r="K12" s="5" t="s">
        <v>3485</v>
      </c>
      <c r="L12" s="5">
        <v>320</v>
      </c>
      <c r="M12" s="5">
        <v>1</v>
      </c>
      <c r="N12" s="5" t="s">
        <v>3510</v>
      </c>
      <c r="O12" s="5"/>
      <c r="P12" s="5"/>
      <c r="Q12" s="5">
        <v>1</v>
      </c>
      <c r="R12" s="5"/>
      <c r="S12" s="5">
        <v>342</v>
      </c>
      <c r="T12" s="5">
        <v>342</v>
      </c>
      <c r="U12" s="5">
        <v>342</v>
      </c>
    </row>
    <row r="13" spans="1:21" x14ac:dyDescent="0.25">
      <c r="A13" s="5" t="s">
        <v>3521</v>
      </c>
      <c r="B13" s="5" t="s">
        <v>3522</v>
      </c>
      <c r="C13" s="5"/>
      <c r="D13" s="5" t="s">
        <v>3481</v>
      </c>
      <c r="E13" s="5"/>
      <c r="F13" s="5" t="s">
        <v>3489</v>
      </c>
      <c r="G13" s="5"/>
      <c r="H13" s="5"/>
      <c r="I13" s="5" t="s">
        <v>3483</v>
      </c>
      <c r="J13" s="5" t="s">
        <v>3484</v>
      </c>
      <c r="K13" s="5" t="s">
        <v>3485</v>
      </c>
      <c r="L13" s="5">
        <v>320</v>
      </c>
      <c r="M13" s="5">
        <v>1</v>
      </c>
      <c r="N13" s="5" t="s">
        <v>3490</v>
      </c>
      <c r="O13" s="5"/>
      <c r="P13" s="5"/>
      <c r="Q13" s="5">
        <v>1</v>
      </c>
      <c r="R13" s="5"/>
      <c r="S13" s="5">
        <v>370</v>
      </c>
      <c r="T13" s="5">
        <v>370</v>
      </c>
      <c r="U13" s="5">
        <v>370</v>
      </c>
    </row>
    <row r="14" spans="1:21" x14ac:dyDescent="0.25">
      <c r="A14" s="5" t="s">
        <v>6890</v>
      </c>
      <c r="B14" s="5" t="s">
        <v>6891</v>
      </c>
      <c r="C14" s="5"/>
      <c r="D14" s="5" t="s">
        <v>3481</v>
      </c>
      <c r="E14" s="5"/>
      <c r="F14" s="5" t="s">
        <v>6882</v>
      </c>
      <c r="G14" s="5"/>
      <c r="H14" s="5"/>
      <c r="I14" s="5" t="s">
        <v>3483</v>
      </c>
      <c r="J14" s="5" t="s">
        <v>3484</v>
      </c>
      <c r="K14" s="5" t="s">
        <v>3485</v>
      </c>
      <c r="L14" s="5">
        <v>70</v>
      </c>
      <c r="M14" s="5">
        <v>1</v>
      </c>
      <c r="N14" s="5" t="s">
        <v>6883</v>
      </c>
      <c r="O14" s="5"/>
      <c r="P14" s="5"/>
      <c r="Q14" s="5">
        <v>1</v>
      </c>
      <c r="R14" s="5"/>
      <c r="S14" s="5">
        <v>79</v>
      </c>
      <c r="T14" s="5">
        <v>79</v>
      </c>
      <c r="U14" s="5">
        <v>79</v>
      </c>
    </row>
    <row r="15" spans="1:21" x14ac:dyDescent="0.25">
      <c r="A15" s="5" t="s">
        <v>3527</v>
      </c>
      <c r="B15" s="5" t="s">
        <v>3528</v>
      </c>
      <c r="C15" s="5"/>
      <c r="D15" s="5" t="s">
        <v>3481</v>
      </c>
      <c r="E15" s="5"/>
      <c r="F15" s="5" t="s">
        <v>3489</v>
      </c>
      <c r="G15" s="5"/>
      <c r="H15" s="5"/>
      <c r="I15" s="5" t="s">
        <v>3483</v>
      </c>
      <c r="J15" s="5" t="s">
        <v>3484</v>
      </c>
      <c r="K15" s="5" t="s">
        <v>3485</v>
      </c>
      <c r="L15" s="5">
        <v>39</v>
      </c>
      <c r="M15" s="5">
        <v>1</v>
      </c>
      <c r="N15" s="5" t="s">
        <v>3490</v>
      </c>
      <c r="O15" s="5"/>
      <c r="P15" s="5"/>
      <c r="Q15" s="5">
        <v>1</v>
      </c>
      <c r="R15" s="5"/>
      <c r="S15" s="5">
        <v>45</v>
      </c>
      <c r="T15" s="5">
        <v>45</v>
      </c>
      <c r="U15" s="5">
        <v>45</v>
      </c>
    </row>
    <row r="16" spans="1:21" x14ac:dyDescent="0.25">
      <c r="A16" s="5" t="s">
        <v>6892</v>
      </c>
      <c r="B16" s="5" t="s">
        <v>6893</v>
      </c>
      <c r="C16" s="5"/>
      <c r="D16" s="5" t="s">
        <v>6688</v>
      </c>
      <c r="E16" s="5"/>
      <c r="F16" s="5" t="s">
        <v>6882</v>
      </c>
      <c r="G16" s="5"/>
      <c r="H16" s="5"/>
      <c r="I16" s="5" t="s">
        <v>3483</v>
      </c>
      <c r="J16" s="5" t="s">
        <v>6690</v>
      </c>
      <c r="K16" s="5" t="s">
        <v>3485</v>
      </c>
      <c r="L16" s="5">
        <v>70</v>
      </c>
      <c r="M16" s="5">
        <v>1</v>
      </c>
      <c r="N16" s="5" t="s">
        <v>6883</v>
      </c>
      <c r="O16" s="5"/>
      <c r="P16" s="5"/>
      <c r="Q16" s="5">
        <v>1</v>
      </c>
      <c r="R16" s="5"/>
      <c r="S16" s="5">
        <v>80</v>
      </c>
      <c r="T16" s="5">
        <v>80</v>
      </c>
      <c r="U16" s="5">
        <v>80</v>
      </c>
    </row>
    <row r="17" spans="1:21" x14ac:dyDescent="0.25">
      <c r="A17" s="5" t="s">
        <v>3531</v>
      </c>
      <c r="B17" s="5" t="s">
        <v>3532</v>
      </c>
      <c r="C17" s="5"/>
      <c r="D17" s="5" t="s">
        <v>3481</v>
      </c>
      <c r="E17" s="5"/>
      <c r="F17" s="5" t="s">
        <v>3509</v>
      </c>
      <c r="G17" s="5"/>
      <c r="H17" s="5"/>
      <c r="I17" s="5" t="s">
        <v>3483</v>
      </c>
      <c r="J17" s="5" t="s">
        <v>3484</v>
      </c>
      <c r="K17" s="5" t="s">
        <v>3485</v>
      </c>
      <c r="L17" s="5">
        <v>400</v>
      </c>
      <c r="M17" s="5">
        <v>1</v>
      </c>
      <c r="N17" s="5" t="s">
        <v>3510</v>
      </c>
      <c r="O17" s="5"/>
      <c r="P17" s="5"/>
      <c r="Q17" s="5">
        <v>1</v>
      </c>
      <c r="R17" s="5"/>
      <c r="S17" s="5">
        <v>425</v>
      </c>
      <c r="T17" s="5">
        <v>425</v>
      </c>
      <c r="U17" s="5">
        <v>425</v>
      </c>
    </row>
    <row r="18" spans="1:21" x14ac:dyDescent="0.25">
      <c r="A18" s="5" t="s">
        <v>3533</v>
      </c>
      <c r="B18" s="5" t="s">
        <v>3534</v>
      </c>
      <c r="C18" s="5"/>
      <c r="D18" s="5" t="s">
        <v>3481</v>
      </c>
      <c r="E18" s="5"/>
      <c r="F18" s="5" t="s">
        <v>3489</v>
      </c>
      <c r="G18" s="5"/>
      <c r="H18" s="5"/>
      <c r="I18" s="5" t="s">
        <v>3483</v>
      </c>
      <c r="J18" s="5" t="s">
        <v>3484</v>
      </c>
      <c r="K18" s="5" t="s">
        <v>3485</v>
      </c>
      <c r="L18" s="5">
        <v>400</v>
      </c>
      <c r="M18" s="5">
        <v>1</v>
      </c>
      <c r="N18" s="5" t="s">
        <v>3490</v>
      </c>
      <c r="O18" s="5"/>
      <c r="P18" s="5"/>
      <c r="Q18" s="5">
        <v>1</v>
      </c>
      <c r="R18" s="5"/>
      <c r="S18" s="5">
        <v>455</v>
      </c>
      <c r="T18" s="5">
        <v>455</v>
      </c>
      <c r="U18" s="5">
        <v>455</v>
      </c>
    </row>
    <row r="19" spans="1:21" x14ac:dyDescent="0.25">
      <c r="A19" s="5" t="s">
        <v>3537</v>
      </c>
      <c r="B19" s="5" t="s">
        <v>3538</v>
      </c>
      <c r="C19" s="5"/>
      <c r="D19" s="5" t="s">
        <v>3481</v>
      </c>
      <c r="E19" s="5"/>
      <c r="F19" s="5" t="s">
        <v>3489</v>
      </c>
      <c r="G19" s="5"/>
      <c r="H19" s="5"/>
      <c r="I19" s="5" t="s">
        <v>3483</v>
      </c>
      <c r="J19" s="5" t="s">
        <v>3484</v>
      </c>
      <c r="K19" s="5" t="s">
        <v>3485</v>
      </c>
      <c r="L19" s="5">
        <v>50</v>
      </c>
      <c r="M19" s="5">
        <v>1</v>
      </c>
      <c r="N19" s="5" t="s">
        <v>3490</v>
      </c>
      <c r="O19" s="5"/>
      <c r="P19" s="5"/>
      <c r="Q19" s="5">
        <v>1</v>
      </c>
      <c r="R19" s="5"/>
      <c r="S19" s="5">
        <v>68</v>
      </c>
      <c r="T19" s="5">
        <v>68</v>
      </c>
      <c r="U19" s="5">
        <v>68</v>
      </c>
    </row>
    <row r="20" spans="1:21" x14ac:dyDescent="0.25">
      <c r="A20" s="5" t="s">
        <v>6894</v>
      </c>
      <c r="B20" s="5" t="s">
        <v>6895</v>
      </c>
      <c r="C20" s="5"/>
      <c r="D20" s="5" t="s">
        <v>3481</v>
      </c>
      <c r="E20" s="5"/>
      <c r="F20" s="5" t="s">
        <v>6882</v>
      </c>
      <c r="G20" s="5"/>
      <c r="H20" s="5"/>
      <c r="I20" s="5" t="s">
        <v>3483</v>
      </c>
      <c r="J20" s="5" t="s">
        <v>3484</v>
      </c>
      <c r="K20" s="5" t="s">
        <v>3485</v>
      </c>
      <c r="L20" s="5">
        <v>100</v>
      </c>
      <c r="M20" s="5">
        <v>1</v>
      </c>
      <c r="N20" s="5" t="s">
        <v>6883</v>
      </c>
      <c r="O20" s="5"/>
      <c r="P20" s="5"/>
      <c r="Q20" s="5">
        <v>1</v>
      </c>
      <c r="R20" s="5"/>
      <c r="S20" s="5">
        <v>109</v>
      </c>
      <c r="T20" s="5">
        <v>109</v>
      </c>
      <c r="U20" s="5">
        <v>109</v>
      </c>
    </row>
    <row r="21" spans="1:21" x14ac:dyDescent="0.25">
      <c r="A21" s="5" t="s">
        <v>3543</v>
      </c>
      <c r="B21" s="5" t="s">
        <v>3544</v>
      </c>
      <c r="C21" s="5"/>
      <c r="D21" s="5" t="s">
        <v>3481</v>
      </c>
      <c r="E21" s="5"/>
      <c r="F21" s="5" t="s">
        <v>3489</v>
      </c>
      <c r="G21" s="5"/>
      <c r="H21" s="5"/>
      <c r="I21" s="5" t="s">
        <v>3483</v>
      </c>
      <c r="J21" s="5" t="s">
        <v>3484</v>
      </c>
      <c r="K21" s="5" t="s">
        <v>3485</v>
      </c>
      <c r="L21" s="5">
        <v>70</v>
      </c>
      <c r="M21" s="5">
        <v>1</v>
      </c>
      <c r="N21" s="5" t="s">
        <v>3490</v>
      </c>
      <c r="O21" s="5"/>
      <c r="P21" s="5"/>
      <c r="Q21" s="5">
        <v>1</v>
      </c>
      <c r="R21" s="5"/>
      <c r="S21" s="5">
        <v>90</v>
      </c>
      <c r="T21" s="5">
        <v>90</v>
      </c>
      <c r="U21" s="5">
        <v>90</v>
      </c>
    </row>
    <row r="22" spans="1:21" x14ac:dyDescent="0.25">
      <c r="A22" s="5" t="s">
        <v>6896</v>
      </c>
      <c r="B22" s="5" t="s">
        <v>6897</v>
      </c>
      <c r="C22" s="5"/>
      <c r="D22" s="5" t="s">
        <v>6688</v>
      </c>
      <c r="E22" s="5"/>
      <c r="F22" s="5" t="s">
        <v>6882</v>
      </c>
      <c r="G22" s="5"/>
      <c r="H22" s="5"/>
      <c r="I22" s="5" t="s">
        <v>3483</v>
      </c>
      <c r="J22" s="5" t="s">
        <v>6690</v>
      </c>
      <c r="K22" s="5" t="s">
        <v>3485</v>
      </c>
      <c r="L22" s="5">
        <v>100</v>
      </c>
      <c r="M22" s="5">
        <v>1</v>
      </c>
      <c r="N22" s="5" t="s">
        <v>6883</v>
      </c>
      <c r="O22" s="5"/>
      <c r="P22" s="5"/>
      <c r="Q22" s="5">
        <v>1</v>
      </c>
      <c r="R22" s="5"/>
      <c r="S22" s="5">
        <v>112</v>
      </c>
      <c r="T22" s="5">
        <v>112</v>
      </c>
      <c r="U22" s="5">
        <v>112</v>
      </c>
    </row>
    <row r="23" spans="1:21" x14ac:dyDescent="0.25">
      <c r="A23" s="5" t="s">
        <v>3546</v>
      </c>
      <c r="B23" s="5" t="s">
        <v>3547</v>
      </c>
      <c r="C23" s="5" t="s">
        <v>3548</v>
      </c>
      <c r="D23" s="5" t="s">
        <v>3549</v>
      </c>
      <c r="E23" s="5"/>
      <c r="F23" s="5"/>
      <c r="G23" s="5"/>
      <c r="H23" s="5"/>
      <c r="I23" s="5" t="s">
        <v>3448</v>
      </c>
      <c r="J23" s="5" t="s">
        <v>3550</v>
      </c>
      <c r="K23" s="5" t="s">
        <v>3551</v>
      </c>
      <c r="L23" s="5">
        <v>13</v>
      </c>
      <c r="M23" s="5">
        <v>1</v>
      </c>
      <c r="N23" s="5"/>
      <c r="O23" s="5"/>
      <c r="P23" s="5"/>
      <c r="Q23" s="5"/>
      <c r="R23" s="5"/>
      <c r="S23" s="5">
        <v>13</v>
      </c>
      <c r="T23" s="5">
        <v>13</v>
      </c>
      <c r="U23" s="5">
        <v>13</v>
      </c>
    </row>
    <row r="24" spans="1:21" x14ac:dyDescent="0.25">
      <c r="A24" s="5" t="s">
        <v>3552</v>
      </c>
      <c r="B24" s="5" t="s">
        <v>3553</v>
      </c>
      <c r="C24" s="5" t="s">
        <v>3548</v>
      </c>
      <c r="D24" s="5" t="s">
        <v>3549</v>
      </c>
      <c r="E24" s="5"/>
      <c r="F24" s="5"/>
      <c r="G24" s="5"/>
      <c r="H24" s="5"/>
      <c r="I24" s="5" t="s">
        <v>3448</v>
      </c>
      <c r="J24" s="5" t="s">
        <v>3550</v>
      </c>
      <c r="K24" s="5" t="s">
        <v>3551</v>
      </c>
      <c r="L24" s="5">
        <v>18</v>
      </c>
      <c r="M24" s="5">
        <v>1</v>
      </c>
      <c r="N24" s="5"/>
      <c r="O24" s="5"/>
      <c r="P24" s="5"/>
      <c r="Q24" s="5"/>
      <c r="R24" s="5"/>
      <c r="S24" s="5">
        <v>18</v>
      </c>
      <c r="T24" s="5">
        <v>18</v>
      </c>
      <c r="U24" s="5">
        <v>18</v>
      </c>
    </row>
    <row r="25" spans="1:21" x14ac:dyDescent="0.25">
      <c r="A25" s="5" t="s">
        <v>3554</v>
      </c>
      <c r="B25" s="5" t="s">
        <v>3555</v>
      </c>
      <c r="C25" s="5" t="s">
        <v>3548</v>
      </c>
      <c r="D25" s="5" t="s">
        <v>3549</v>
      </c>
      <c r="E25" s="5"/>
      <c r="F25" s="5"/>
      <c r="G25" s="5"/>
      <c r="H25" s="5"/>
      <c r="I25" s="5" t="s">
        <v>3448</v>
      </c>
      <c r="J25" s="5" t="s">
        <v>3550</v>
      </c>
      <c r="K25" s="5" t="s">
        <v>3551</v>
      </c>
      <c r="L25" s="5">
        <v>3</v>
      </c>
      <c r="M25" s="5">
        <v>1</v>
      </c>
      <c r="N25" s="5"/>
      <c r="O25" s="5"/>
      <c r="P25" s="5"/>
      <c r="Q25" s="5"/>
      <c r="R25" s="5"/>
      <c r="S25" s="5">
        <v>3</v>
      </c>
      <c r="T25" s="5">
        <v>3</v>
      </c>
      <c r="U25" s="5">
        <v>3</v>
      </c>
    </row>
    <row r="26" spans="1:21" x14ac:dyDescent="0.25">
      <c r="A26" s="5" t="s">
        <v>3556</v>
      </c>
      <c r="B26" s="5" t="s">
        <v>3557</v>
      </c>
      <c r="C26" s="5" t="s">
        <v>3548</v>
      </c>
      <c r="D26" s="5" t="s">
        <v>3549</v>
      </c>
      <c r="E26" s="5"/>
      <c r="F26" s="5"/>
      <c r="G26" s="5"/>
      <c r="H26" s="5"/>
      <c r="I26" s="5" t="s">
        <v>3448</v>
      </c>
      <c r="J26" s="5" t="s">
        <v>3550</v>
      </c>
      <c r="K26" s="5" t="s">
        <v>3551</v>
      </c>
      <c r="L26" s="5">
        <v>5</v>
      </c>
      <c r="M26" s="5">
        <v>1</v>
      </c>
      <c r="N26" s="5"/>
      <c r="O26" s="5"/>
      <c r="P26" s="5"/>
      <c r="Q26" s="5"/>
      <c r="R26" s="5"/>
      <c r="S26" s="5">
        <v>5</v>
      </c>
      <c r="T26" s="5">
        <v>5</v>
      </c>
      <c r="U26" s="5">
        <v>5</v>
      </c>
    </row>
    <row r="27" spans="1:21" x14ac:dyDescent="0.25">
      <c r="A27" s="5" t="s">
        <v>3558</v>
      </c>
      <c r="B27" s="5" t="s">
        <v>3559</v>
      </c>
      <c r="C27" s="5" t="s">
        <v>3548</v>
      </c>
      <c r="D27" s="5" t="s">
        <v>3549</v>
      </c>
      <c r="E27" s="5"/>
      <c r="F27" s="5"/>
      <c r="G27" s="5"/>
      <c r="H27" s="5"/>
      <c r="I27" s="5" t="s">
        <v>3448</v>
      </c>
      <c r="J27" s="5" t="s">
        <v>3550</v>
      </c>
      <c r="K27" s="5" t="s">
        <v>3551</v>
      </c>
      <c r="L27" s="5">
        <v>8</v>
      </c>
      <c r="M27" s="5">
        <v>1</v>
      </c>
      <c r="N27" s="5"/>
      <c r="O27" s="5"/>
      <c r="P27" s="5"/>
      <c r="Q27" s="5"/>
      <c r="R27" s="5"/>
      <c r="S27" s="5">
        <v>8</v>
      </c>
      <c r="T27" s="5">
        <v>8</v>
      </c>
      <c r="U27" s="5">
        <v>8</v>
      </c>
    </row>
    <row r="28" spans="1:21" x14ac:dyDescent="0.25">
      <c r="A28" s="5" t="s">
        <v>3560</v>
      </c>
      <c r="B28" s="5" t="s">
        <v>3561</v>
      </c>
      <c r="C28" s="5" t="s">
        <v>3548</v>
      </c>
      <c r="D28" s="5" t="s">
        <v>3562</v>
      </c>
      <c r="E28" s="5" t="s">
        <v>3563</v>
      </c>
      <c r="F28" s="5" t="s">
        <v>3564</v>
      </c>
      <c r="G28" s="5"/>
      <c r="H28" s="5"/>
      <c r="I28" s="5" t="s">
        <v>3448</v>
      </c>
      <c r="J28" s="5" t="s">
        <v>3449</v>
      </c>
      <c r="K28" s="5" t="s">
        <v>3565</v>
      </c>
      <c r="L28" s="5">
        <v>5</v>
      </c>
      <c r="M28" s="5">
        <v>2</v>
      </c>
      <c r="N28" s="5" t="s">
        <v>3566</v>
      </c>
      <c r="O28" s="5"/>
      <c r="P28" s="5"/>
      <c r="Q28" s="5">
        <v>1</v>
      </c>
      <c r="R28" s="5"/>
      <c r="S28" s="5">
        <v>20</v>
      </c>
      <c r="T28" s="5">
        <v>20</v>
      </c>
      <c r="U28" s="5">
        <v>20</v>
      </c>
    </row>
    <row r="29" spans="1:21" x14ac:dyDescent="0.25">
      <c r="A29" s="5" t="s">
        <v>3567</v>
      </c>
      <c r="B29" s="5" t="s">
        <v>3568</v>
      </c>
      <c r="C29" s="5" t="s">
        <v>3548</v>
      </c>
      <c r="D29" s="5" t="s">
        <v>3562</v>
      </c>
      <c r="E29" s="5" t="s">
        <v>3563</v>
      </c>
      <c r="F29" s="5" t="s">
        <v>3564</v>
      </c>
      <c r="G29" s="5"/>
      <c r="H29" s="5"/>
      <c r="I29" s="5" t="s">
        <v>3448</v>
      </c>
      <c r="J29" s="5" t="s">
        <v>3449</v>
      </c>
      <c r="K29" s="5" t="s">
        <v>3565</v>
      </c>
      <c r="L29" s="5">
        <v>5</v>
      </c>
      <c r="M29" s="5">
        <v>1</v>
      </c>
      <c r="N29" s="5" t="s">
        <v>3566</v>
      </c>
      <c r="O29" s="5"/>
      <c r="P29" s="5"/>
      <c r="Q29" s="5">
        <v>1</v>
      </c>
      <c r="R29" s="5"/>
      <c r="S29" s="5">
        <v>9</v>
      </c>
      <c r="T29" s="5">
        <v>9</v>
      </c>
      <c r="U29" s="5">
        <v>9</v>
      </c>
    </row>
    <row r="30" spans="1:21" x14ac:dyDescent="0.25">
      <c r="A30" s="5" t="s">
        <v>3569</v>
      </c>
      <c r="B30" s="5" t="s">
        <v>3570</v>
      </c>
      <c r="C30" s="5" t="s">
        <v>3548</v>
      </c>
      <c r="D30" s="5" t="s">
        <v>3562</v>
      </c>
      <c r="E30" s="5" t="s">
        <v>3563</v>
      </c>
      <c r="F30" s="5" t="s">
        <v>3564</v>
      </c>
      <c r="G30" s="5"/>
      <c r="H30" s="5"/>
      <c r="I30" s="5" t="s">
        <v>3448</v>
      </c>
      <c r="J30" s="5" t="s">
        <v>3449</v>
      </c>
      <c r="K30" s="5" t="s">
        <v>3565</v>
      </c>
      <c r="L30" s="5">
        <v>6</v>
      </c>
      <c r="M30" s="5">
        <v>2</v>
      </c>
      <c r="N30" s="5" t="s">
        <v>3566</v>
      </c>
      <c r="O30" s="5"/>
      <c r="P30" s="5"/>
      <c r="Q30" s="5">
        <v>1</v>
      </c>
      <c r="R30" s="5"/>
      <c r="S30" s="5">
        <v>26</v>
      </c>
      <c r="T30" s="5">
        <v>26</v>
      </c>
      <c r="U30" s="5">
        <v>26</v>
      </c>
    </row>
    <row r="31" spans="1:21" x14ac:dyDescent="0.25">
      <c r="A31" s="5" t="s">
        <v>3571</v>
      </c>
      <c r="B31" s="5" t="s">
        <v>3572</v>
      </c>
      <c r="C31" s="5" t="s">
        <v>3548</v>
      </c>
      <c r="D31" s="5" t="s">
        <v>3562</v>
      </c>
      <c r="E31" s="5" t="s">
        <v>3563</v>
      </c>
      <c r="F31" s="5" t="s">
        <v>3564</v>
      </c>
      <c r="G31" s="5"/>
      <c r="H31" s="5"/>
      <c r="I31" s="5" t="s">
        <v>3448</v>
      </c>
      <c r="J31" s="5" t="s">
        <v>3449</v>
      </c>
      <c r="K31" s="5" t="s">
        <v>3565</v>
      </c>
      <c r="L31" s="5">
        <v>6</v>
      </c>
      <c r="M31" s="5">
        <v>1</v>
      </c>
      <c r="N31" s="5" t="s">
        <v>3566</v>
      </c>
      <c r="O31" s="5"/>
      <c r="P31" s="5"/>
      <c r="Q31" s="5">
        <v>1</v>
      </c>
      <c r="R31" s="5"/>
      <c r="S31" s="5">
        <v>13</v>
      </c>
      <c r="T31" s="5">
        <v>13</v>
      </c>
      <c r="U31" s="5">
        <v>13</v>
      </c>
    </row>
    <row r="32" spans="1:21" x14ac:dyDescent="0.25">
      <c r="A32" s="5" t="s">
        <v>3573</v>
      </c>
      <c r="B32" s="5" t="s">
        <v>3574</v>
      </c>
      <c r="C32" s="5" t="s">
        <v>3548</v>
      </c>
      <c r="D32" s="5" t="s">
        <v>3562</v>
      </c>
      <c r="E32" s="5" t="s">
        <v>3563</v>
      </c>
      <c r="F32" s="5" t="s">
        <v>3564</v>
      </c>
      <c r="G32" s="5"/>
      <c r="H32" s="5"/>
      <c r="I32" s="5" t="s">
        <v>3448</v>
      </c>
      <c r="J32" s="5" t="s">
        <v>3449</v>
      </c>
      <c r="K32" s="5" t="s">
        <v>3565</v>
      </c>
      <c r="L32" s="5">
        <v>7</v>
      </c>
      <c r="M32" s="5">
        <v>2</v>
      </c>
      <c r="N32" s="5" t="s">
        <v>3566</v>
      </c>
      <c r="O32" s="5"/>
      <c r="P32" s="5"/>
      <c r="Q32" s="5">
        <v>1</v>
      </c>
      <c r="R32" s="5"/>
      <c r="S32" s="5">
        <v>21</v>
      </c>
      <c r="T32" s="5">
        <v>21</v>
      </c>
      <c r="U32" s="5">
        <v>21</v>
      </c>
    </row>
    <row r="33" spans="1:21" x14ac:dyDescent="0.25">
      <c r="A33" s="5" t="s">
        <v>3575</v>
      </c>
      <c r="B33" s="5" t="s">
        <v>3576</v>
      </c>
      <c r="C33" s="5" t="s">
        <v>3548</v>
      </c>
      <c r="D33" s="5" t="s">
        <v>3562</v>
      </c>
      <c r="E33" s="5" t="s">
        <v>3563</v>
      </c>
      <c r="F33" s="5" t="s">
        <v>3564</v>
      </c>
      <c r="G33" s="5"/>
      <c r="H33" s="5"/>
      <c r="I33" s="5" t="s">
        <v>3448</v>
      </c>
      <c r="J33" s="5" t="s">
        <v>3449</v>
      </c>
      <c r="K33" s="5" t="s">
        <v>3565</v>
      </c>
      <c r="L33" s="5">
        <v>7</v>
      </c>
      <c r="M33" s="5">
        <v>1</v>
      </c>
      <c r="N33" s="5" t="s">
        <v>3566</v>
      </c>
      <c r="O33" s="5"/>
      <c r="P33" s="5"/>
      <c r="Q33" s="5">
        <v>1</v>
      </c>
      <c r="R33" s="5"/>
      <c r="S33" s="5">
        <v>10</v>
      </c>
      <c r="T33" s="5">
        <v>10</v>
      </c>
      <c r="U33" s="5">
        <v>10</v>
      </c>
    </row>
    <row r="34" spans="1:21" x14ac:dyDescent="0.25">
      <c r="A34" s="5" t="s">
        <v>3577</v>
      </c>
      <c r="B34" s="5" t="s">
        <v>3578</v>
      </c>
      <c r="C34" s="5" t="s">
        <v>3548</v>
      </c>
      <c r="D34" s="5" t="s">
        <v>3562</v>
      </c>
      <c r="E34" s="5" t="s">
        <v>3563</v>
      </c>
      <c r="F34" s="5" t="s">
        <v>3564</v>
      </c>
      <c r="G34" s="5"/>
      <c r="H34" s="5"/>
      <c r="I34" s="5" t="s">
        <v>3448</v>
      </c>
      <c r="J34" s="5" t="s">
        <v>3449</v>
      </c>
      <c r="K34" s="5" t="s">
        <v>3565</v>
      </c>
      <c r="L34" s="5">
        <v>9</v>
      </c>
      <c r="M34" s="5">
        <v>2</v>
      </c>
      <c r="N34" s="5" t="s">
        <v>3566</v>
      </c>
      <c r="O34" s="5"/>
      <c r="P34" s="5"/>
      <c r="Q34" s="5">
        <v>1</v>
      </c>
      <c r="R34" s="5"/>
      <c r="S34" s="5">
        <v>20</v>
      </c>
      <c r="T34" s="5">
        <v>20</v>
      </c>
      <c r="U34" s="5">
        <v>20</v>
      </c>
    </row>
    <row r="35" spans="1:21" x14ac:dyDescent="0.25">
      <c r="A35" s="5" t="s">
        <v>3579</v>
      </c>
      <c r="B35" s="5" t="s">
        <v>3580</v>
      </c>
      <c r="C35" s="5" t="s">
        <v>3548</v>
      </c>
      <c r="D35" s="5" t="s">
        <v>3562</v>
      </c>
      <c r="E35" s="5" t="s">
        <v>3563</v>
      </c>
      <c r="F35" s="5" t="s">
        <v>3564</v>
      </c>
      <c r="G35" s="5"/>
      <c r="H35" s="5"/>
      <c r="I35" s="5" t="s">
        <v>3448</v>
      </c>
      <c r="J35" s="5" t="s">
        <v>3449</v>
      </c>
      <c r="K35" s="5" t="s">
        <v>3565</v>
      </c>
      <c r="L35" s="5">
        <v>9</v>
      </c>
      <c r="M35" s="5">
        <v>1</v>
      </c>
      <c r="N35" s="5" t="s">
        <v>3566</v>
      </c>
      <c r="O35" s="5"/>
      <c r="P35" s="5"/>
      <c r="Q35" s="5">
        <v>1</v>
      </c>
      <c r="R35" s="5"/>
      <c r="S35" s="5">
        <v>12</v>
      </c>
      <c r="T35" s="5">
        <v>12</v>
      </c>
      <c r="U35" s="5">
        <v>12</v>
      </c>
    </row>
    <row r="36" spans="1:21" x14ac:dyDescent="0.25">
      <c r="A36" s="5" t="s">
        <v>3581</v>
      </c>
      <c r="B36" s="5" t="s">
        <v>3582</v>
      </c>
      <c r="C36" s="5" t="s">
        <v>3548</v>
      </c>
      <c r="D36" s="5" t="s">
        <v>3562</v>
      </c>
      <c r="E36" s="5" t="s">
        <v>3583</v>
      </c>
      <c r="F36" s="5" t="s">
        <v>3584</v>
      </c>
      <c r="G36" s="5" t="s">
        <v>3501</v>
      </c>
      <c r="H36" s="5"/>
      <c r="I36" s="5" t="s">
        <v>3448</v>
      </c>
      <c r="J36" s="5" t="s">
        <v>3449</v>
      </c>
      <c r="K36" s="5" t="s">
        <v>3583</v>
      </c>
      <c r="L36" s="5">
        <v>11</v>
      </c>
      <c r="M36" s="5">
        <v>1</v>
      </c>
      <c r="N36" s="5" t="s">
        <v>3585</v>
      </c>
      <c r="O36" s="5" t="s">
        <v>3502</v>
      </c>
      <c r="P36" s="5"/>
      <c r="Q36" s="5">
        <v>1</v>
      </c>
      <c r="R36" s="5"/>
      <c r="S36" s="5">
        <v>11</v>
      </c>
      <c r="T36" s="5">
        <v>11</v>
      </c>
      <c r="U36" s="5">
        <v>11</v>
      </c>
    </row>
    <row r="37" spans="1:21" x14ac:dyDescent="0.25">
      <c r="A37" s="5" t="s">
        <v>3586</v>
      </c>
      <c r="B37" s="5" t="s">
        <v>3587</v>
      </c>
      <c r="C37" s="5" t="s">
        <v>3548</v>
      </c>
      <c r="D37" s="5" t="s">
        <v>3562</v>
      </c>
      <c r="E37" s="5" t="s">
        <v>3583</v>
      </c>
      <c r="F37" s="5" t="s">
        <v>3584</v>
      </c>
      <c r="G37" s="5" t="s">
        <v>3501</v>
      </c>
      <c r="H37" s="5"/>
      <c r="I37" s="5" t="s">
        <v>3448</v>
      </c>
      <c r="J37" s="5" t="s">
        <v>3449</v>
      </c>
      <c r="K37" s="5" t="s">
        <v>3583</v>
      </c>
      <c r="L37" s="5">
        <v>13</v>
      </c>
      <c r="M37" s="5">
        <v>1</v>
      </c>
      <c r="N37" s="5" t="s">
        <v>3585</v>
      </c>
      <c r="O37" s="5" t="s">
        <v>3502</v>
      </c>
      <c r="P37" s="5"/>
      <c r="Q37" s="5">
        <v>1</v>
      </c>
      <c r="R37" s="5"/>
      <c r="S37" s="5">
        <v>13</v>
      </c>
      <c r="T37" s="5">
        <v>13</v>
      </c>
      <c r="U37" s="5">
        <v>13</v>
      </c>
    </row>
    <row r="38" spans="1:21" x14ac:dyDescent="0.25">
      <c r="A38" s="5" t="s">
        <v>3588</v>
      </c>
      <c r="B38" s="5" t="s">
        <v>3589</v>
      </c>
      <c r="C38" s="5" t="s">
        <v>3548</v>
      </c>
      <c r="D38" s="5" t="s">
        <v>3562</v>
      </c>
      <c r="E38" s="5" t="s">
        <v>3583</v>
      </c>
      <c r="F38" s="5" t="s">
        <v>3584</v>
      </c>
      <c r="G38" s="5" t="s">
        <v>3501</v>
      </c>
      <c r="H38" s="5"/>
      <c r="I38" s="5" t="s">
        <v>3448</v>
      </c>
      <c r="J38" s="5" t="s">
        <v>3449</v>
      </c>
      <c r="K38" s="5" t="s">
        <v>3583</v>
      </c>
      <c r="L38" s="5">
        <v>14</v>
      </c>
      <c r="M38" s="5">
        <v>1</v>
      </c>
      <c r="N38" s="5" t="s">
        <v>3585</v>
      </c>
      <c r="O38" s="5" t="s">
        <v>3502</v>
      </c>
      <c r="P38" s="5"/>
      <c r="Q38" s="5">
        <v>1</v>
      </c>
      <c r="R38" s="5"/>
      <c r="S38" s="5">
        <v>14</v>
      </c>
      <c r="T38" s="5">
        <v>14</v>
      </c>
      <c r="U38" s="5">
        <v>14</v>
      </c>
    </row>
    <row r="39" spans="1:21" x14ac:dyDescent="0.25">
      <c r="A39" s="5" t="s">
        <v>3590</v>
      </c>
      <c r="B39" s="5" t="s">
        <v>3591</v>
      </c>
      <c r="C39" s="5" t="s">
        <v>3548</v>
      </c>
      <c r="D39" s="5" t="s">
        <v>3562</v>
      </c>
      <c r="E39" s="5" t="s">
        <v>3583</v>
      </c>
      <c r="F39" s="5" t="s">
        <v>3584</v>
      </c>
      <c r="G39" s="5" t="s">
        <v>3501</v>
      </c>
      <c r="H39" s="5"/>
      <c r="I39" s="5" t="s">
        <v>3448</v>
      </c>
      <c r="J39" s="5" t="s">
        <v>3449</v>
      </c>
      <c r="K39" s="5" t="s">
        <v>3583</v>
      </c>
      <c r="L39" s="5">
        <v>15</v>
      </c>
      <c r="M39" s="5">
        <v>1</v>
      </c>
      <c r="N39" s="5" t="s">
        <v>3585</v>
      </c>
      <c r="O39" s="5" t="s">
        <v>3502</v>
      </c>
      <c r="P39" s="5"/>
      <c r="Q39" s="5">
        <v>1</v>
      </c>
      <c r="R39" s="5"/>
      <c r="S39" s="5">
        <v>15</v>
      </c>
      <c r="T39" s="5">
        <v>15</v>
      </c>
      <c r="U39" s="5">
        <v>15</v>
      </c>
    </row>
    <row r="40" spans="1:21" x14ac:dyDescent="0.25">
      <c r="A40" s="5" t="s">
        <v>3592</v>
      </c>
      <c r="B40" s="5" t="s">
        <v>3593</v>
      </c>
      <c r="C40" s="5" t="s">
        <v>3548</v>
      </c>
      <c r="D40" s="5" t="s">
        <v>3562</v>
      </c>
      <c r="E40" s="5" t="s">
        <v>3583</v>
      </c>
      <c r="F40" s="5" t="s">
        <v>3584</v>
      </c>
      <c r="G40" s="5" t="s">
        <v>3501</v>
      </c>
      <c r="H40" s="5"/>
      <c r="I40" s="5" t="s">
        <v>3448</v>
      </c>
      <c r="J40" s="5" t="s">
        <v>3449</v>
      </c>
      <c r="K40" s="5" t="s">
        <v>3583</v>
      </c>
      <c r="L40" s="5">
        <v>18</v>
      </c>
      <c r="M40" s="5">
        <v>1</v>
      </c>
      <c r="N40" s="5" t="s">
        <v>3585</v>
      </c>
      <c r="O40" s="5" t="s">
        <v>3502</v>
      </c>
      <c r="P40" s="5"/>
      <c r="Q40" s="5">
        <v>1</v>
      </c>
      <c r="R40" s="5"/>
      <c r="S40" s="5">
        <v>18</v>
      </c>
      <c r="T40" s="5">
        <v>18</v>
      </c>
      <c r="U40" s="5">
        <v>18</v>
      </c>
    </row>
    <row r="41" spans="1:21" x14ac:dyDescent="0.25">
      <c r="A41" s="5" t="s">
        <v>3594</v>
      </c>
      <c r="B41" s="5" t="s">
        <v>3595</v>
      </c>
      <c r="C41" s="5" t="s">
        <v>3548</v>
      </c>
      <c r="D41" s="5" t="s">
        <v>3562</v>
      </c>
      <c r="E41" s="5" t="s">
        <v>3583</v>
      </c>
      <c r="F41" s="5" t="s">
        <v>3584</v>
      </c>
      <c r="G41" s="5" t="s">
        <v>3501</v>
      </c>
      <c r="H41" s="5"/>
      <c r="I41" s="5" t="s">
        <v>3448</v>
      </c>
      <c r="J41" s="5" t="s">
        <v>3449</v>
      </c>
      <c r="K41" s="5" t="s">
        <v>3583</v>
      </c>
      <c r="L41" s="5">
        <v>19</v>
      </c>
      <c r="M41" s="5">
        <v>1</v>
      </c>
      <c r="N41" s="5" t="s">
        <v>3585</v>
      </c>
      <c r="O41" s="5" t="s">
        <v>3502</v>
      </c>
      <c r="P41" s="5"/>
      <c r="Q41" s="5">
        <v>1</v>
      </c>
      <c r="R41" s="5"/>
      <c r="S41" s="5">
        <v>19</v>
      </c>
      <c r="T41" s="5">
        <v>19</v>
      </c>
      <c r="U41" s="5">
        <v>19</v>
      </c>
    </row>
    <row r="42" spans="1:21" x14ac:dyDescent="0.25">
      <c r="A42" s="5" t="s">
        <v>3596</v>
      </c>
      <c r="B42" s="5" t="s">
        <v>3597</v>
      </c>
      <c r="C42" s="5" t="s">
        <v>3548</v>
      </c>
      <c r="D42" s="5" t="s">
        <v>3562</v>
      </c>
      <c r="E42" s="5" t="s">
        <v>3583</v>
      </c>
      <c r="F42" s="5" t="s">
        <v>3584</v>
      </c>
      <c r="G42" s="5" t="s">
        <v>3501</v>
      </c>
      <c r="H42" s="5"/>
      <c r="I42" s="5" t="s">
        <v>3448</v>
      </c>
      <c r="J42" s="5" t="s">
        <v>3449</v>
      </c>
      <c r="K42" s="5" t="s">
        <v>3583</v>
      </c>
      <c r="L42" s="5">
        <v>20</v>
      </c>
      <c r="M42" s="5">
        <v>1</v>
      </c>
      <c r="N42" s="5" t="s">
        <v>3585</v>
      </c>
      <c r="O42" s="5" t="s">
        <v>3502</v>
      </c>
      <c r="P42" s="5"/>
      <c r="Q42" s="5">
        <v>1</v>
      </c>
      <c r="R42" s="5"/>
      <c r="S42" s="5">
        <v>20</v>
      </c>
      <c r="T42" s="5">
        <v>20</v>
      </c>
      <c r="U42" s="5">
        <v>20</v>
      </c>
    </row>
    <row r="43" spans="1:21" x14ac:dyDescent="0.25">
      <c r="A43" s="5" t="s">
        <v>3598</v>
      </c>
      <c r="B43" s="5" t="s">
        <v>3599</v>
      </c>
      <c r="C43" s="5" t="s">
        <v>3548</v>
      </c>
      <c r="D43" s="5" t="s">
        <v>3562</v>
      </c>
      <c r="E43" s="5" t="s">
        <v>3583</v>
      </c>
      <c r="F43" s="5" t="s">
        <v>3584</v>
      </c>
      <c r="G43" s="5" t="s">
        <v>3501</v>
      </c>
      <c r="H43" s="5"/>
      <c r="I43" s="5" t="s">
        <v>3448</v>
      </c>
      <c r="J43" s="5" t="s">
        <v>3449</v>
      </c>
      <c r="K43" s="5" t="s">
        <v>3583</v>
      </c>
      <c r="L43" s="5">
        <v>23</v>
      </c>
      <c r="M43" s="5">
        <v>1</v>
      </c>
      <c r="N43" s="5" t="s">
        <v>3585</v>
      </c>
      <c r="O43" s="5" t="s">
        <v>3502</v>
      </c>
      <c r="P43" s="5"/>
      <c r="Q43" s="5">
        <v>1</v>
      </c>
      <c r="R43" s="5"/>
      <c r="S43" s="5">
        <v>23</v>
      </c>
      <c r="T43" s="5">
        <v>23</v>
      </c>
      <c r="U43" s="5">
        <v>23</v>
      </c>
    </row>
    <row r="44" spans="1:21" x14ac:dyDescent="0.25">
      <c r="A44" s="5" t="s">
        <v>3600</v>
      </c>
      <c r="B44" s="5" t="s">
        <v>3601</v>
      </c>
      <c r="C44" s="5" t="s">
        <v>3548</v>
      </c>
      <c r="D44" s="5" t="s">
        <v>3562</v>
      </c>
      <c r="E44" s="5" t="s">
        <v>3583</v>
      </c>
      <c r="F44" s="5" t="s">
        <v>3584</v>
      </c>
      <c r="G44" s="5" t="s">
        <v>3501</v>
      </c>
      <c r="H44" s="5"/>
      <c r="I44" s="5" t="s">
        <v>3448</v>
      </c>
      <c r="J44" s="5" t="s">
        <v>3449</v>
      </c>
      <c r="K44" s="5" t="s">
        <v>3583</v>
      </c>
      <c r="L44" s="5">
        <v>25</v>
      </c>
      <c r="M44" s="5">
        <v>1</v>
      </c>
      <c r="N44" s="5" t="s">
        <v>3585</v>
      </c>
      <c r="O44" s="5" t="s">
        <v>3502</v>
      </c>
      <c r="P44" s="5"/>
      <c r="Q44" s="5">
        <v>1</v>
      </c>
      <c r="R44" s="5"/>
      <c r="S44" s="5">
        <v>25</v>
      </c>
      <c r="T44" s="5">
        <v>25</v>
      </c>
      <c r="U44" s="5">
        <v>25</v>
      </c>
    </row>
    <row r="45" spans="1:21" x14ac:dyDescent="0.25">
      <c r="A45" s="5" t="s">
        <v>3602</v>
      </c>
      <c r="B45" s="5" t="s">
        <v>3603</v>
      </c>
      <c r="C45" s="5" t="s">
        <v>3548</v>
      </c>
      <c r="D45" s="5" t="s">
        <v>3562</v>
      </c>
      <c r="E45" s="5" t="s">
        <v>3583</v>
      </c>
      <c r="F45" s="5" t="s">
        <v>3584</v>
      </c>
      <c r="G45" s="5" t="s">
        <v>3501</v>
      </c>
      <c r="H45" s="5"/>
      <c r="I45" s="5" t="s">
        <v>3448</v>
      </c>
      <c r="J45" s="5" t="s">
        <v>3449</v>
      </c>
      <c r="K45" s="5" t="s">
        <v>3583</v>
      </c>
      <c r="L45" s="5">
        <v>26</v>
      </c>
      <c r="M45" s="5">
        <v>1</v>
      </c>
      <c r="N45" s="5" t="s">
        <v>3585</v>
      </c>
      <c r="O45" s="5" t="s">
        <v>3502</v>
      </c>
      <c r="P45" s="5"/>
      <c r="Q45" s="5">
        <v>1</v>
      </c>
      <c r="R45" s="5"/>
      <c r="S45" s="5">
        <v>26</v>
      </c>
      <c r="T45" s="5">
        <v>26</v>
      </c>
      <c r="U45" s="5">
        <v>26</v>
      </c>
    </row>
    <row r="46" spans="1:21" x14ac:dyDescent="0.25">
      <c r="A46" s="5" t="s">
        <v>3604</v>
      </c>
      <c r="B46" s="5" t="s">
        <v>3605</v>
      </c>
      <c r="C46" s="5" t="s">
        <v>3548</v>
      </c>
      <c r="D46" s="5" t="s">
        <v>3562</v>
      </c>
      <c r="E46" s="5" t="s">
        <v>3583</v>
      </c>
      <c r="F46" s="5" t="s">
        <v>3584</v>
      </c>
      <c r="G46" s="5" t="s">
        <v>3501</v>
      </c>
      <c r="H46" s="5"/>
      <c r="I46" s="5" t="s">
        <v>3448</v>
      </c>
      <c r="J46" s="5" t="s">
        <v>3449</v>
      </c>
      <c r="K46" s="5" t="s">
        <v>3583</v>
      </c>
      <c r="L46" s="5">
        <v>27</v>
      </c>
      <c r="M46" s="5">
        <v>1</v>
      </c>
      <c r="N46" s="5" t="s">
        <v>3585</v>
      </c>
      <c r="O46" s="5" t="s">
        <v>3502</v>
      </c>
      <c r="P46" s="5"/>
      <c r="Q46" s="5">
        <v>1</v>
      </c>
      <c r="R46" s="5"/>
      <c r="S46" s="5">
        <v>27</v>
      </c>
      <c r="T46" s="5">
        <v>27</v>
      </c>
      <c r="U46" s="5">
        <v>27</v>
      </c>
    </row>
    <row r="47" spans="1:21" x14ac:dyDescent="0.25">
      <c r="A47" s="5" t="s">
        <v>3606</v>
      </c>
      <c r="B47" s="5" t="s">
        <v>3607</v>
      </c>
      <c r="C47" s="5" t="s">
        <v>3548</v>
      </c>
      <c r="D47" s="5" t="s">
        <v>3562</v>
      </c>
      <c r="E47" s="5" t="s">
        <v>3583</v>
      </c>
      <c r="F47" s="5" t="s">
        <v>3584</v>
      </c>
      <c r="G47" s="5" t="s">
        <v>3501</v>
      </c>
      <c r="H47" s="5"/>
      <c r="I47" s="5" t="s">
        <v>3448</v>
      </c>
      <c r="J47" s="5" t="s">
        <v>3449</v>
      </c>
      <c r="K47" s="5" t="s">
        <v>3583</v>
      </c>
      <c r="L47" s="5">
        <v>32</v>
      </c>
      <c r="M47" s="5">
        <v>1</v>
      </c>
      <c r="N47" s="5" t="s">
        <v>3585</v>
      </c>
      <c r="O47" s="5" t="s">
        <v>3502</v>
      </c>
      <c r="P47" s="5"/>
      <c r="Q47" s="5">
        <v>1</v>
      </c>
      <c r="R47" s="5"/>
      <c r="S47" s="5">
        <v>32</v>
      </c>
      <c r="T47" s="5">
        <v>32</v>
      </c>
      <c r="U47" s="5">
        <v>32</v>
      </c>
    </row>
    <row r="48" spans="1:21" x14ac:dyDescent="0.25">
      <c r="A48" s="5" t="s">
        <v>3608</v>
      </c>
      <c r="B48" s="5" t="s">
        <v>3609</v>
      </c>
      <c r="C48" s="5" t="s">
        <v>3548</v>
      </c>
      <c r="D48" s="5" t="s">
        <v>3562</v>
      </c>
      <c r="E48" s="5" t="s">
        <v>3583</v>
      </c>
      <c r="F48" s="5" t="s">
        <v>3584</v>
      </c>
      <c r="G48" s="5" t="s">
        <v>3501</v>
      </c>
      <c r="H48" s="5"/>
      <c r="I48" s="5" t="s">
        <v>3448</v>
      </c>
      <c r="J48" s="5" t="s">
        <v>3449</v>
      </c>
      <c r="K48" s="5" t="s">
        <v>3583</v>
      </c>
      <c r="L48" s="5">
        <v>7</v>
      </c>
      <c r="M48" s="5">
        <v>1</v>
      </c>
      <c r="N48" s="5" t="s">
        <v>3585</v>
      </c>
      <c r="O48" s="5" t="s">
        <v>3502</v>
      </c>
      <c r="P48" s="5"/>
      <c r="Q48" s="5">
        <v>1</v>
      </c>
      <c r="R48" s="5"/>
      <c r="S48" s="5">
        <v>7</v>
      </c>
      <c r="T48" s="5">
        <v>7</v>
      </c>
      <c r="U48" s="5">
        <v>7</v>
      </c>
    </row>
    <row r="49" spans="1:21" x14ac:dyDescent="0.25">
      <c r="A49" s="5" t="s">
        <v>3610</v>
      </c>
      <c r="B49" s="5" t="s">
        <v>3611</v>
      </c>
      <c r="C49" s="5" t="s">
        <v>3548</v>
      </c>
      <c r="D49" s="5" t="s">
        <v>3562</v>
      </c>
      <c r="E49" s="5" t="s">
        <v>3583</v>
      </c>
      <c r="F49" s="5" t="s">
        <v>3584</v>
      </c>
      <c r="G49" s="5" t="s">
        <v>3501</v>
      </c>
      <c r="H49" s="5"/>
      <c r="I49" s="5" t="s">
        <v>3448</v>
      </c>
      <c r="J49" s="5" t="s">
        <v>3449</v>
      </c>
      <c r="K49" s="5" t="s">
        <v>3583</v>
      </c>
      <c r="L49" s="5">
        <v>9</v>
      </c>
      <c r="M49" s="5">
        <v>1</v>
      </c>
      <c r="N49" s="5" t="s">
        <v>3585</v>
      </c>
      <c r="O49" s="5" t="s">
        <v>3502</v>
      </c>
      <c r="P49" s="5"/>
      <c r="Q49" s="5">
        <v>1</v>
      </c>
      <c r="R49" s="5"/>
      <c r="S49" s="5">
        <v>9</v>
      </c>
      <c r="T49" s="5">
        <v>9</v>
      </c>
      <c r="U49" s="5">
        <v>9</v>
      </c>
    </row>
    <row r="50" spans="1:21" x14ac:dyDescent="0.25">
      <c r="A50" s="5" t="s">
        <v>3612</v>
      </c>
      <c r="B50" s="5" t="s">
        <v>3613</v>
      </c>
      <c r="C50" s="5" t="s">
        <v>3548</v>
      </c>
      <c r="D50" s="5" t="s">
        <v>3614</v>
      </c>
      <c r="E50" s="5" t="s">
        <v>3615</v>
      </c>
      <c r="F50" s="5" t="s">
        <v>3564</v>
      </c>
      <c r="G50" s="5"/>
      <c r="H50" s="5"/>
      <c r="I50" s="5" t="s">
        <v>3448</v>
      </c>
      <c r="J50" s="5" t="s">
        <v>3616</v>
      </c>
      <c r="K50" s="5" t="s">
        <v>3615</v>
      </c>
      <c r="L50" s="5">
        <v>20</v>
      </c>
      <c r="M50" s="5">
        <v>1</v>
      </c>
      <c r="N50" s="5" t="s">
        <v>3566</v>
      </c>
      <c r="O50" s="5"/>
      <c r="P50" s="5"/>
      <c r="Q50" s="5">
        <v>1</v>
      </c>
      <c r="R50" s="5"/>
      <c r="S50" s="5">
        <v>25</v>
      </c>
      <c r="T50" s="5">
        <v>25</v>
      </c>
      <c r="U50" s="5">
        <v>25</v>
      </c>
    </row>
    <row r="51" spans="1:21" x14ac:dyDescent="0.25">
      <c r="A51" s="5" t="s">
        <v>3617</v>
      </c>
      <c r="B51" s="5" t="s">
        <v>3618</v>
      </c>
      <c r="C51" s="5" t="s">
        <v>3548</v>
      </c>
      <c r="D51" s="5" t="s">
        <v>3614</v>
      </c>
      <c r="E51" s="5" t="s">
        <v>3615</v>
      </c>
      <c r="F51" s="5" t="s">
        <v>3619</v>
      </c>
      <c r="G51" s="5"/>
      <c r="H51" s="5"/>
      <c r="I51" s="5" t="s">
        <v>3448</v>
      </c>
      <c r="J51" s="5" t="s">
        <v>3616</v>
      </c>
      <c r="K51" s="5" t="s">
        <v>3615</v>
      </c>
      <c r="L51" s="5">
        <v>20</v>
      </c>
      <c r="M51" s="5">
        <v>1</v>
      </c>
      <c r="N51" s="5" t="s">
        <v>3620</v>
      </c>
      <c r="O51" s="5"/>
      <c r="P51" s="5"/>
      <c r="Q51" s="5">
        <v>1</v>
      </c>
      <c r="R51" s="5"/>
      <c r="S51" s="5">
        <v>20</v>
      </c>
      <c r="T51" s="5">
        <v>20</v>
      </c>
      <c r="U51" s="5">
        <v>20</v>
      </c>
    </row>
    <row r="52" spans="1:21" x14ac:dyDescent="0.25">
      <c r="A52" s="5" t="s">
        <v>3621</v>
      </c>
      <c r="B52" s="5" t="s">
        <v>3622</v>
      </c>
      <c r="C52" s="5" t="s">
        <v>3548</v>
      </c>
      <c r="D52" s="5" t="s">
        <v>3614</v>
      </c>
      <c r="E52" s="5" t="s">
        <v>3615</v>
      </c>
      <c r="F52" s="5" t="s">
        <v>3564</v>
      </c>
      <c r="G52" s="5"/>
      <c r="H52" s="5"/>
      <c r="I52" s="5" t="s">
        <v>3448</v>
      </c>
      <c r="J52" s="5" t="s">
        <v>3616</v>
      </c>
      <c r="K52" s="5" t="s">
        <v>3615</v>
      </c>
      <c r="L52" s="5">
        <v>22</v>
      </c>
      <c r="M52" s="5">
        <v>2</v>
      </c>
      <c r="N52" s="5" t="s">
        <v>3566</v>
      </c>
      <c r="O52" s="5"/>
      <c r="P52" s="5"/>
      <c r="Q52" s="5">
        <v>1</v>
      </c>
      <c r="R52" s="5"/>
      <c r="S52" s="5">
        <v>52</v>
      </c>
      <c r="T52" s="5">
        <v>52</v>
      </c>
      <c r="U52" s="5">
        <v>52</v>
      </c>
    </row>
    <row r="53" spans="1:21" x14ac:dyDescent="0.25">
      <c r="A53" s="5" t="s">
        <v>3623</v>
      </c>
      <c r="B53" s="5" t="s">
        <v>3624</v>
      </c>
      <c r="C53" s="5" t="s">
        <v>3548</v>
      </c>
      <c r="D53" s="5" t="s">
        <v>3614</v>
      </c>
      <c r="E53" s="5" t="s">
        <v>3615</v>
      </c>
      <c r="F53" s="5" t="s">
        <v>3564</v>
      </c>
      <c r="G53" s="5"/>
      <c r="H53" s="5"/>
      <c r="I53" s="5" t="s">
        <v>3448</v>
      </c>
      <c r="J53" s="5" t="s">
        <v>3616</v>
      </c>
      <c r="K53" s="5" t="s">
        <v>3615</v>
      </c>
      <c r="L53" s="5">
        <v>22</v>
      </c>
      <c r="M53" s="5">
        <v>1</v>
      </c>
      <c r="N53" s="5" t="s">
        <v>3566</v>
      </c>
      <c r="O53" s="5"/>
      <c r="P53" s="5"/>
      <c r="Q53" s="5">
        <v>1</v>
      </c>
      <c r="R53" s="5"/>
      <c r="S53" s="5">
        <v>26</v>
      </c>
      <c r="T53" s="5">
        <v>26</v>
      </c>
      <c r="U53" s="5">
        <v>26</v>
      </c>
    </row>
    <row r="54" spans="1:21" x14ac:dyDescent="0.25">
      <c r="A54" s="5" t="s">
        <v>3625</v>
      </c>
      <c r="B54" s="5" t="s">
        <v>3626</v>
      </c>
      <c r="C54" s="5" t="s">
        <v>3548</v>
      </c>
      <c r="D54" s="5" t="s">
        <v>3614</v>
      </c>
      <c r="E54" s="5" t="s">
        <v>3615</v>
      </c>
      <c r="F54" s="5" t="s">
        <v>3619</v>
      </c>
      <c r="G54" s="5"/>
      <c r="H54" s="5"/>
      <c r="I54" s="5" t="s">
        <v>3448</v>
      </c>
      <c r="J54" s="5" t="s">
        <v>3616</v>
      </c>
      <c r="K54" s="5" t="s">
        <v>3615</v>
      </c>
      <c r="L54" s="5">
        <v>22</v>
      </c>
      <c r="M54" s="5">
        <v>1</v>
      </c>
      <c r="N54" s="5" t="s">
        <v>3620</v>
      </c>
      <c r="O54" s="5"/>
      <c r="P54" s="5"/>
      <c r="Q54" s="5">
        <v>1</v>
      </c>
      <c r="R54" s="5"/>
      <c r="S54" s="5">
        <v>20</v>
      </c>
      <c r="T54" s="5">
        <v>20</v>
      </c>
      <c r="U54" s="5">
        <v>20</v>
      </c>
    </row>
    <row r="55" spans="1:21" x14ac:dyDescent="0.25">
      <c r="A55" s="5" t="s">
        <v>3627</v>
      </c>
      <c r="B55" s="5" t="s">
        <v>3628</v>
      </c>
      <c r="C55" s="5" t="s">
        <v>3548</v>
      </c>
      <c r="D55" s="5" t="s">
        <v>3614</v>
      </c>
      <c r="E55" s="5" t="s">
        <v>3615</v>
      </c>
      <c r="F55" s="5" t="s">
        <v>3564</v>
      </c>
      <c r="G55" s="5"/>
      <c r="H55" s="5"/>
      <c r="I55" s="5" t="s">
        <v>3448</v>
      </c>
      <c r="J55" s="5" t="s">
        <v>3616</v>
      </c>
      <c r="K55" s="5" t="s">
        <v>3615</v>
      </c>
      <c r="L55" s="5">
        <v>32</v>
      </c>
      <c r="M55" s="5">
        <v>2</v>
      </c>
      <c r="N55" s="5" t="s">
        <v>3566</v>
      </c>
      <c r="O55" s="5"/>
      <c r="P55" s="5"/>
      <c r="Q55" s="5">
        <v>1</v>
      </c>
      <c r="R55" s="5"/>
      <c r="S55" s="5">
        <v>62</v>
      </c>
      <c r="T55" s="5">
        <v>62</v>
      </c>
      <c r="U55" s="5">
        <v>62</v>
      </c>
    </row>
    <row r="56" spans="1:21" x14ac:dyDescent="0.25">
      <c r="A56" s="5" t="s">
        <v>3629</v>
      </c>
      <c r="B56" s="5" t="s">
        <v>3630</v>
      </c>
      <c r="C56" s="5" t="s">
        <v>3548</v>
      </c>
      <c r="D56" s="5" t="s">
        <v>3614</v>
      </c>
      <c r="E56" s="5" t="s">
        <v>3615</v>
      </c>
      <c r="F56" s="5" t="s">
        <v>3564</v>
      </c>
      <c r="G56" s="5"/>
      <c r="H56" s="5"/>
      <c r="I56" s="5" t="s">
        <v>3448</v>
      </c>
      <c r="J56" s="5" t="s">
        <v>3616</v>
      </c>
      <c r="K56" s="5" t="s">
        <v>3615</v>
      </c>
      <c r="L56" s="5">
        <v>32</v>
      </c>
      <c r="M56" s="5">
        <v>1</v>
      </c>
      <c r="N56" s="5" t="s">
        <v>3566</v>
      </c>
      <c r="O56" s="5"/>
      <c r="P56" s="5"/>
      <c r="Q56" s="5">
        <v>1</v>
      </c>
      <c r="R56" s="5"/>
      <c r="S56" s="5">
        <v>31</v>
      </c>
      <c r="T56" s="5">
        <v>31</v>
      </c>
      <c r="U56" s="5">
        <v>31</v>
      </c>
    </row>
    <row r="57" spans="1:21" x14ac:dyDescent="0.25">
      <c r="A57" s="5" t="s">
        <v>3631</v>
      </c>
      <c r="B57" s="5" t="s">
        <v>3632</v>
      </c>
      <c r="C57" s="5" t="s">
        <v>3548</v>
      </c>
      <c r="D57" s="5" t="s">
        <v>3614</v>
      </c>
      <c r="E57" s="5" t="s">
        <v>3615</v>
      </c>
      <c r="F57" s="5" t="s">
        <v>3619</v>
      </c>
      <c r="G57" s="5"/>
      <c r="H57" s="5"/>
      <c r="I57" s="5" t="s">
        <v>3448</v>
      </c>
      <c r="J57" s="5" t="s">
        <v>3616</v>
      </c>
      <c r="K57" s="5" t="s">
        <v>3615</v>
      </c>
      <c r="L57" s="5">
        <v>32</v>
      </c>
      <c r="M57" s="5">
        <v>1</v>
      </c>
      <c r="N57" s="5" t="s">
        <v>3620</v>
      </c>
      <c r="O57" s="5"/>
      <c r="P57" s="5"/>
      <c r="Q57" s="5">
        <v>1</v>
      </c>
      <c r="R57" s="5"/>
      <c r="S57" s="5">
        <v>40</v>
      </c>
      <c r="T57" s="5">
        <v>40</v>
      </c>
      <c r="U57" s="5">
        <v>40</v>
      </c>
    </row>
    <row r="58" spans="1:21" x14ac:dyDescent="0.25">
      <c r="A58" s="5" t="s">
        <v>3633</v>
      </c>
      <c r="B58" s="5" t="s">
        <v>3634</v>
      </c>
      <c r="C58" s="5" t="s">
        <v>3548</v>
      </c>
      <c r="D58" s="5" t="s">
        <v>3614</v>
      </c>
      <c r="E58" s="5" t="s">
        <v>3615</v>
      </c>
      <c r="F58" s="5" t="s">
        <v>3564</v>
      </c>
      <c r="G58" s="5"/>
      <c r="H58" s="5"/>
      <c r="I58" s="5" t="s">
        <v>3448</v>
      </c>
      <c r="J58" s="5" t="s">
        <v>3616</v>
      </c>
      <c r="K58" s="5" t="s">
        <v>3615</v>
      </c>
      <c r="L58" s="5">
        <v>40</v>
      </c>
      <c r="M58" s="5">
        <v>1</v>
      </c>
      <c r="N58" s="5" t="s">
        <v>3566</v>
      </c>
      <c r="O58" s="5"/>
      <c r="P58" s="5"/>
      <c r="Q58" s="5">
        <v>1</v>
      </c>
      <c r="R58" s="5"/>
      <c r="S58" s="5">
        <v>35</v>
      </c>
      <c r="T58" s="5">
        <v>35</v>
      </c>
      <c r="U58" s="5">
        <v>35</v>
      </c>
    </row>
    <row r="59" spans="1:21" x14ac:dyDescent="0.25">
      <c r="A59" s="5" t="s">
        <v>3635</v>
      </c>
      <c r="B59" s="5" t="s">
        <v>3636</v>
      </c>
      <c r="C59" s="5" t="s">
        <v>3548</v>
      </c>
      <c r="D59" s="5" t="s">
        <v>3614</v>
      </c>
      <c r="E59" s="5" t="s">
        <v>3615</v>
      </c>
      <c r="F59" s="5" t="s">
        <v>3619</v>
      </c>
      <c r="G59" s="5"/>
      <c r="H59" s="5"/>
      <c r="I59" s="5" t="s">
        <v>3448</v>
      </c>
      <c r="J59" s="5" t="s">
        <v>3616</v>
      </c>
      <c r="K59" s="5" t="s">
        <v>3615</v>
      </c>
      <c r="L59" s="5">
        <v>40</v>
      </c>
      <c r="M59" s="5">
        <v>1</v>
      </c>
      <c r="N59" s="5" t="s">
        <v>3620</v>
      </c>
      <c r="O59" s="5"/>
      <c r="P59" s="5"/>
      <c r="Q59" s="5">
        <v>1</v>
      </c>
      <c r="R59" s="5"/>
      <c r="S59" s="5">
        <v>42</v>
      </c>
      <c r="T59" s="5">
        <v>42</v>
      </c>
      <c r="U59" s="5">
        <v>42</v>
      </c>
    </row>
    <row r="60" spans="1:21" x14ac:dyDescent="0.25">
      <c r="A60" s="5" t="s">
        <v>3637</v>
      </c>
      <c r="B60" s="5" t="s">
        <v>3638</v>
      </c>
      <c r="C60" s="5" t="s">
        <v>3548</v>
      </c>
      <c r="D60" s="5" t="s">
        <v>3562</v>
      </c>
      <c r="E60" s="5" t="s">
        <v>3639</v>
      </c>
      <c r="F60" s="5" t="s">
        <v>3564</v>
      </c>
      <c r="G60" s="5"/>
      <c r="H60" s="5"/>
      <c r="I60" s="5" t="s">
        <v>3448</v>
      </c>
      <c r="J60" s="5" t="s">
        <v>3449</v>
      </c>
      <c r="K60" s="5" t="s">
        <v>3640</v>
      </c>
      <c r="L60" s="5">
        <v>10</v>
      </c>
      <c r="M60" s="5">
        <v>1</v>
      </c>
      <c r="N60" s="5" t="s">
        <v>3566</v>
      </c>
      <c r="O60" s="5"/>
      <c r="P60" s="5"/>
      <c r="Q60" s="5">
        <v>1</v>
      </c>
      <c r="R60" s="5"/>
      <c r="S60" s="5">
        <v>10</v>
      </c>
      <c r="T60" s="5">
        <v>10</v>
      </c>
      <c r="U60" s="5">
        <v>10</v>
      </c>
    </row>
    <row r="61" spans="1:21" x14ac:dyDescent="0.25">
      <c r="A61" s="5" t="s">
        <v>3641</v>
      </c>
      <c r="B61" s="5" t="s">
        <v>3642</v>
      </c>
      <c r="C61" s="5" t="s">
        <v>3548</v>
      </c>
      <c r="D61" s="5" t="s">
        <v>3562</v>
      </c>
      <c r="E61" s="5" t="s">
        <v>3639</v>
      </c>
      <c r="F61" s="5" t="s">
        <v>3564</v>
      </c>
      <c r="G61" s="5"/>
      <c r="H61" s="5"/>
      <c r="I61" s="5" t="s">
        <v>3448</v>
      </c>
      <c r="J61" s="5" t="s">
        <v>3449</v>
      </c>
      <c r="K61" s="5" t="s">
        <v>3640</v>
      </c>
      <c r="L61" s="5">
        <v>11</v>
      </c>
      <c r="M61" s="5">
        <v>1</v>
      </c>
      <c r="N61" s="5" t="s">
        <v>3566</v>
      </c>
      <c r="O61" s="5"/>
      <c r="P61" s="5"/>
      <c r="Q61" s="5">
        <v>1</v>
      </c>
      <c r="R61" s="5"/>
      <c r="S61" s="5">
        <v>11</v>
      </c>
      <c r="T61" s="5">
        <v>11</v>
      </c>
      <c r="U61" s="5">
        <v>11</v>
      </c>
    </row>
    <row r="62" spans="1:21" x14ac:dyDescent="0.25">
      <c r="A62" s="5" t="s">
        <v>3643</v>
      </c>
      <c r="B62" s="5" t="s">
        <v>3644</v>
      </c>
      <c r="C62" s="5" t="s">
        <v>3548</v>
      </c>
      <c r="D62" s="5" t="s">
        <v>3562</v>
      </c>
      <c r="E62" s="5" t="s">
        <v>3639</v>
      </c>
      <c r="F62" s="5" t="s">
        <v>3564</v>
      </c>
      <c r="G62" s="5"/>
      <c r="H62" s="5"/>
      <c r="I62" s="5" t="s">
        <v>3448</v>
      </c>
      <c r="J62" s="5" t="s">
        <v>3449</v>
      </c>
      <c r="K62" s="5" t="s">
        <v>3640</v>
      </c>
      <c r="L62" s="5">
        <v>12</v>
      </c>
      <c r="M62" s="5">
        <v>1</v>
      </c>
      <c r="N62" s="5" t="s">
        <v>3566</v>
      </c>
      <c r="O62" s="5"/>
      <c r="P62" s="5"/>
      <c r="Q62" s="5">
        <v>1</v>
      </c>
      <c r="R62" s="5"/>
      <c r="S62" s="5">
        <v>12</v>
      </c>
      <c r="T62" s="5">
        <v>12</v>
      </c>
      <c r="U62" s="5">
        <v>12</v>
      </c>
    </row>
    <row r="63" spans="1:21" x14ac:dyDescent="0.25">
      <c r="A63" s="5" t="s">
        <v>3645</v>
      </c>
      <c r="B63" s="5" t="s">
        <v>3646</v>
      </c>
      <c r="C63" s="5" t="s">
        <v>3548</v>
      </c>
      <c r="D63" s="5" t="s">
        <v>3562</v>
      </c>
      <c r="E63" s="5" t="s">
        <v>3639</v>
      </c>
      <c r="F63" s="5" t="s">
        <v>3564</v>
      </c>
      <c r="G63" s="5"/>
      <c r="H63" s="5"/>
      <c r="I63" s="5" t="s">
        <v>3448</v>
      </c>
      <c r="J63" s="5" t="s">
        <v>3449</v>
      </c>
      <c r="K63" s="5" t="s">
        <v>3640</v>
      </c>
      <c r="L63" s="5">
        <v>13</v>
      </c>
      <c r="M63" s="5">
        <v>1</v>
      </c>
      <c r="N63" s="5" t="s">
        <v>3566</v>
      </c>
      <c r="O63" s="5"/>
      <c r="P63" s="5"/>
      <c r="Q63" s="5">
        <v>1</v>
      </c>
      <c r="R63" s="5"/>
      <c r="S63" s="5">
        <v>13</v>
      </c>
      <c r="T63" s="5">
        <v>13</v>
      </c>
      <c r="U63" s="5">
        <v>13</v>
      </c>
    </row>
    <row r="64" spans="1:21" x14ac:dyDescent="0.25">
      <c r="A64" s="5" t="s">
        <v>3647</v>
      </c>
      <c r="B64" s="5" t="s">
        <v>3648</v>
      </c>
      <c r="C64" s="5" t="s">
        <v>3548</v>
      </c>
      <c r="D64" s="5" t="s">
        <v>3562</v>
      </c>
      <c r="E64" s="5" t="s">
        <v>3639</v>
      </c>
      <c r="F64" s="5" t="s">
        <v>3564</v>
      </c>
      <c r="G64" s="5"/>
      <c r="H64" s="5"/>
      <c r="I64" s="5" t="s">
        <v>3448</v>
      </c>
      <c r="J64" s="5" t="s">
        <v>3449</v>
      </c>
      <c r="K64" s="5" t="s">
        <v>3640</v>
      </c>
      <c r="L64" s="5">
        <v>14</v>
      </c>
      <c r="M64" s="5">
        <v>1</v>
      </c>
      <c r="N64" s="5" t="s">
        <v>3566</v>
      </c>
      <c r="O64" s="5"/>
      <c r="P64" s="5"/>
      <c r="Q64" s="5">
        <v>1</v>
      </c>
      <c r="R64" s="5"/>
      <c r="S64" s="5">
        <v>14</v>
      </c>
      <c r="T64" s="5">
        <v>14</v>
      </c>
      <c r="U64" s="5">
        <v>14</v>
      </c>
    </row>
    <row r="65" spans="1:21" x14ac:dyDescent="0.25">
      <c r="A65" s="5" t="s">
        <v>3649</v>
      </c>
      <c r="B65" s="5" t="s">
        <v>3650</v>
      </c>
      <c r="C65" s="5" t="s">
        <v>3548</v>
      </c>
      <c r="D65" s="5" t="s">
        <v>3562</v>
      </c>
      <c r="E65" s="5" t="s">
        <v>3639</v>
      </c>
      <c r="F65" s="5" t="s">
        <v>3564</v>
      </c>
      <c r="G65" s="5"/>
      <c r="H65" s="5"/>
      <c r="I65" s="5" t="s">
        <v>3448</v>
      </c>
      <c r="J65" s="5" t="s">
        <v>3449</v>
      </c>
      <c r="K65" s="5" t="s">
        <v>3640</v>
      </c>
      <c r="L65" s="5">
        <v>15</v>
      </c>
      <c r="M65" s="5">
        <v>2</v>
      </c>
      <c r="N65" s="5" t="s">
        <v>3566</v>
      </c>
      <c r="O65" s="5"/>
      <c r="P65" s="5"/>
      <c r="Q65" s="5">
        <v>1</v>
      </c>
      <c r="R65" s="5"/>
      <c r="S65" s="5">
        <v>30</v>
      </c>
      <c r="T65" s="5">
        <v>30</v>
      </c>
      <c r="U65" s="5">
        <v>30</v>
      </c>
    </row>
    <row r="66" spans="1:21" x14ac:dyDescent="0.25">
      <c r="A66" s="5" t="s">
        <v>3651</v>
      </c>
      <c r="B66" s="5" t="s">
        <v>3652</v>
      </c>
      <c r="C66" s="5" t="s">
        <v>3548</v>
      </c>
      <c r="D66" s="5" t="s">
        <v>3562</v>
      </c>
      <c r="E66" s="5" t="s">
        <v>3639</v>
      </c>
      <c r="F66" s="5" t="s">
        <v>3564</v>
      </c>
      <c r="G66" s="5"/>
      <c r="H66" s="5"/>
      <c r="I66" s="5" t="s">
        <v>3448</v>
      </c>
      <c r="J66" s="5" t="s">
        <v>3449</v>
      </c>
      <c r="K66" s="5" t="s">
        <v>3640</v>
      </c>
      <c r="L66" s="5">
        <v>15</v>
      </c>
      <c r="M66" s="5">
        <v>3</v>
      </c>
      <c r="N66" s="5" t="s">
        <v>3566</v>
      </c>
      <c r="O66" s="5"/>
      <c r="P66" s="5"/>
      <c r="Q66" s="5">
        <v>1</v>
      </c>
      <c r="R66" s="5"/>
      <c r="S66" s="5">
        <v>45</v>
      </c>
      <c r="T66" s="5">
        <v>45</v>
      </c>
      <c r="U66" s="5">
        <v>45</v>
      </c>
    </row>
    <row r="67" spans="1:21" x14ac:dyDescent="0.25">
      <c r="A67" s="5" t="s">
        <v>3653</v>
      </c>
      <c r="B67" s="5" t="s">
        <v>3654</v>
      </c>
      <c r="C67" s="5" t="s">
        <v>3548</v>
      </c>
      <c r="D67" s="5" t="s">
        <v>3562</v>
      </c>
      <c r="E67" s="5" t="s">
        <v>3639</v>
      </c>
      <c r="F67" s="5" t="s">
        <v>3564</v>
      </c>
      <c r="G67" s="5"/>
      <c r="H67" s="5"/>
      <c r="I67" s="5" t="s">
        <v>3448</v>
      </c>
      <c r="J67" s="5" t="s">
        <v>3449</v>
      </c>
      <c r="K67" s="5" t="s">
        <v>3640</v>
      </c>
      <c r="L67" s="5">
        <v>15</v>
      </c>
      <c r="M67" s="5">
        <v>4</v>
      </c>
      <c r="N67" s="5" t="s">
        <v>3566</v>
      </c>
      <c r="O67" s="5"/>
      <c r="P67" s="5"/>
      <c r="Q67" s="5">
        <v>1</v>
      </c>
      <c r="R67" s="5"/>
      <c r="S67" s="5">
        <v>60</v>
      </c>
      <c r="T67" s="5">
        <v>60</v>
      </c>
      <c r="U67" s="5">
        <v>60</v>
      </c>
    </row>
    <row r="68" spans="1:21" x14ac:dyDescent="0.25">
      <c r="A68" s="5" t="s">
        <v>3655</v>
      </c>
      <c r="B68" s="5" t="s">
        <v>3656</v>
      </c>
      <c r="C68" s="5" t="s">
        <v>3548</v>
      </c>
      <c r="D68" s="5" t="s">
        <v>3562</v>
      </c>
      <c r="E68" s="5" t="s">
        <v>3639</v>
      </c>
      <c r="F68" s="5" t="s">
        <v>3564</v>
      </c>
      <c r="G68" s="5"/>
      <c r="H68" s="5"/>
      <c r="I68" s="5" t="s">
        <v>3448</v>
      </c>
      <c r="J68" s="5" t="s">
        <v>3449</v>
      </c>
      <c r="K68" s="5" t="s">
        <v>3640</v>
      </c>
      <c r="L68" s="5">
        <v>15</v>
      </c>
      <c r="M68" s="5">
        <v>1</v>
      </c>
      <c r="N68" s="5" t="s">
        <v>3566</v>
      </c>
      <c r="O68" s="5"/>
      <c r="P68" s="5"/>
      <c r="Q68" s="5">
        <v>1</v>
      </c>
      <c r="R68" s="5"/>
      <c r="S68" s="5">
        <v>15</v>
      </c>
      <c r="T68" s="5">
        <v>15</v>
      </c>
      <c r="U68" s="5">
        <v>15</v>
      </c>
    </row>
    <row r="69" spans="1:21" x14ac:dyDescent="0.25">
      <c r="A69" s="5" t="s">
        <v>3657</v>
      </c>
      <c r="B69" s="5" t="s">
        <v>3658</v>
      </c>
      <c r="C69" s="5" t="s">
        <v>3548</v>
      </c>
      <c r="D69" s="5" t="s">
        <v>3562</v>
      </c>
      <c r="E69" s="5" t="s">
        <v>3639</v>
      </c>
      <c r="F69" s="5" t="s">
        <v>3564</v>
      </c>
      <c r="G69" s="5"/>
      <c r="H69" s="5"/>
      <c r="I69" s="5" t="s">
        <v>3448</v>
      </c>
      <c r="J69" s="5" t="s">
        <v>3449</v>
      </c>
      <c r="K69" s="5" t="s">
        <v>3640</v>
      </c>
      <c r="L69" s="5">
        <v>16</v>
      </c>
      <c r="M69" s="5">
        <v>1</v>
      </c>
      <c r="N69" s="5" t="s">
        <v>3566</v>
      </c>
      <c r="O69" s="5"/>
      <c r="P69" s="5"/>
      <c r="Q69" s="5">
        <v>1</v>
      </c>
      <c r="R69" s="5"/>
      <c r="S69" s="5">
        <v>16</v>
      </c>
      <c r="T69" s="5">
        <v>16</v>
      </c>
      <c r="U69" s="5">
        <v>16</v>
      </c>
    </row>
    <row r="70" spans="1:21" x14ac:dyDescent="0.25">
      <c r="A70" s="5" t="s">
        <v>3659</v>
      </c>
      <c r="B70" s="5" t="s">
        <v>3660</v>
      </c>
      <c r="C70" s="5" t="s">
        <v>3548</v>
      </c>
      <c r="D70" s="5" t="s">
        <v>3562</v>
      </c>
      <c r="E70" s="5" t="s">
        <v>3639</v>
      </c>
      <c r="F70" s="5" t="s">
        <v>3564</v>
      </c>
      <c r="G70" s="5"/>
      <c r="H70" s="5"/>
      <c r="I70" s="5" t="s">
        <v>3448</v>
      </c>
      <c r="J70" s="5" t="s">
        <v>3449</v>
      </c>
      <c r="K70" s="5" t="s">
        <v>3640</v>
      </c>
      <c r="L70" s="5">
        <v>17</v>
      </c>
      <c r="M70" s="5">
        <v>1</v>
      </c>
      <c r="N70" s="5" t="s">
        <v>3566</v>
      </c>
      <c r="O70" s="5"/>
      <c r="P70" s="5"/>
      <c r="Q70" s="5">
        <v>1</v>
      </c>
      <c r="R70" s="5"/>
      <c r="S70" s="5">
        <v>17</v>
      </c>
      <c r="T70" s="5">
        <v>17</v>
      </c>
      <c r="U70" s="5">
        <v>17</v>
      </c>
    </row>
    <row r="71" spans="1:21" x14ac:dyDescent="0.25">
      <c r="A71" s="5" t="s">
        <v>3661</v>
      </c>
      <c r="B71" s="5" t="s">
        <v>3662</v>
      </c>
      <c r="C71" s="5" t="s">
        <v>3548</v>
      </c>
      <c r="D71" s="5" t="s">
        <v>3562</v>
      </c>
      <c r="E71" s="5" t="s">
        <v>3639</v>
      </c>
      <c r="F71" s="5" t="s">
        <v>3584</v>
      </c>
      <c r="G71" s="5" t="s">
        <v>3493</v>
      </c>
      <c r="H71" s="5"/>
      <c r="I71" s="5" t="s">
        <v>3448</v>
      </c>
      <c r="J71" s="5" t="s">
        <v>3449</v>
      </c>
      <c r="K71" s="5" t="s">
        <v>3640</v>
      </c>
      <c r="L71" s="5">
        <v>18</v>
      </c>
      <c r="M71" s="5">
        <v>1</v>
      </c>
      <c r="N71" s="5" t="s">
        <v>3585</v>
      </c>
      <c r="O71" s="5" t="s">
        <v>3494</v>
      </c>
      <c r="P71" s="5"/>
      <c r="Q71" s="5">
        <v>1</v>
      </c>
      <c r="R71" s="5"/>
      <c r="S71" s="5">
        <v>18</v>
      </c>
      <c r="T71" s="5">
        <v>18</v>
      </c>
      <c r="U71" s="5">
        <v>18</v>
      </c>
    </row>
    <row r="72" spans="1:21" x14ac:dyDescent="0.25">
      <c r="A72" s="5" t="s">
        <v>3663</v>
      </c>
      <c r="B72" s="5" t="s">
        <v>3664</v>
      </c>
      <c r="C72" s="5" t="s">
        <v>3548</v>
      </c>
      <c r="D72" s="5" t="s">
        <v>3562</v>
      </c>
      <c r="E72" s="5" t="s">
        <v>3639</v>
      </c>
      <c r="F72" s="5" t="s">
        <v>3564</v>
      </c>
      <c r="G72" s="5"/>
      <c r="H72" s="5"/>
      <c r="I72" s="5" t="s">
        <v>3448</v>
      </c>
      <c r="J72" s="5" t="s">
        <v>3449</v>
      </c>
      <c r="K72" s="5" t="s">
        <v>3640</v>
      </c>
      <c r="L72" s="5">
        <v>18</v>
      </c>
      <c r="M72" s="5">
        <v>1</v>
      </c>
      <c r="N72" s="5" t="s">
        <v>3566</v>
      </c>
      <c r="O72" s="5"/>
      <c r="P72" s="5"/>
      <c r="Q72" s="5">
        <v>1</v>
      </c>
      <c r="R72" s="5"/>
      <c r="S72" s="5">
        <v>18</v>
      </c>
      <c r="T72" s="5">
        <v>18</v>
      </c>
      <c r="U72" s="5">
        <v>18</v>
      </c>
    </row>
    <row r="73" spans="1:21" x14ac:dyDescent="0.25">
      <c r="A73" s="5" t="s">
        <v>3665</v>
      </c>
      <c r="B73" s="5" t="s">
        <v>3666</v>
      </c>
      <c r="C73" s="5" t="s">
        <v>3548</v>
      </c>
      <c r="D73" s="5" t="s">
        <v>3562</v>
      </c>
      <c r="E73" s="5" t="s">
        <v>3639</v>
      </c>
      <c r="F73" s="5" t="s">
        <v>3564</v>
      </c>
      <c r="G73" s="5"/>
      <c r="H73" s="5"/>
      <c r="I73" s="5" t="s">
        <v>3448</v>
      </c>
      <c r="J73" s="5" t="s">
        <v>3449</v>
      </c>
      <c r="K73" s="5" t="s">
        <v>3640</v>
      </c>
      <c r="L73" s="5">
        <v>19</v>
      </c>
      <c r="M73" s="5">
        <v>1</v>
      </c>
      <c r="N73" s="5" t="s">
        <v>3566</v>
      </c>
      <c r="O73" s="5"/>
      <c r="P73" s="5"/>
      <c r="Q73" s="5">
        <v>1</v>
      </c>
      <c r="R73" s="5"/>
      <c r="S73" s="5">
        <v>19</v>
      </c>
      <c r="T73" s="5">
        <v>19</v>
      </c>
      <c r="U73" s="5">
        <v>19</v>
      </c>
    </row>
    <row r="74" spans="1:21" x14ac:dyDescent="0.25">
      <c r="A74" s="5" t="s">
        <v>3667</v>
      </c>
      <c r="B74" s="5" t="s">
        <v>3668</v>
      </c>
      <c r="C74" s="5" t="s">
        <v>3548</v>
      </c>
      <c r="D74" s="5" t="s">
        <v>3562</v>
      </c>
      <c r="E74" s="5" t="s">
        <v>3639</v>
      </c>
      <c r="F74" s="5" t="s">
        <v>3564</v>
      </c>
      <c r="G74" s="5"/>
      <c r="H74" s="5"/>
      <c r="I74" s="5" t="s">
        <v>3448</v>
      </c>
      <c r="J74" s="5" t="s">
        <v>3449</v>
      </c>
      <c r="K74" s="5" t="s">
        <v>3640</v>
      </c>
      <c r="L74" s="5">
        <v>20</v>
      </c>
      <c r="M74" s="5">
        <v>2</v>
      </c>
      <c r="N74" s="5" t="s">
        <v>3566</v>
      </c>
      <c r="O74" s="5"/>
      <c r="P74" s="5"/>
      <c r="Q74" s="5">
        <v>1</v>
      </c>
      <c r="R74" s="5"/>
      <c r="S74" s="5">
        <v>40</v>
      </c>
      <c r="T74" s="5">
        <v>40</v>
      </c>
      <c r="U74" s="5">
        <v>40</v>
      </c>
    </row>
    <row r="75" spans="1:21" x14ac:dyDescent="0.25">
      <c r="A75" s="5" t="s">
        <v>3669</v>
      </c>
      <c r="B75" s="5" t="s">
        <v>3670</v>
      </c>
      <c r="C75" s="5" t="s">
        <v>3548</v>
      </c>
      <c r="D75" s="5" t="s">
        <v>3562</v>
      </c>
      <c r="E75" s="5" t="s">
        <v>3639</v>
      </c>
      <c r="F75" s="5" t="s">
        <v>3564</v>
      </c>
      <c r="G75" s="5"/>
      <c r="H75" s="5"/>
      <c r="I75" s="5" t="s">
        <v>3448</v>
      </c>
      <c r="J75" s="5" t="s">
        <v>3449</v>
      </c>
      <c r="K75" s="5" t="s">
        <v>3640</v>
      </c>
      <c r="L75" s="5">
        <v>20</v>
      </c>
      <c r="M75" s="5">
        <v>1</v>
      </c>
      <c r="N75" s="5" t="s">
        <v>3566</v>
      </c>
      <c r="O75" s="5"/>
      <c r="P75" s="5"/>
      <c r="Q75" s="5">
        <v>1</v>
      </c>
      <c r="R75" s="5"/>
      <c r="S75" s="5">
        <v>20</v>
      </c>
      <c r="T75" s="5">
        <v>20</v>
      </c>
      <c r="U75" s="5">
        <v>20</v>
      </c>
    </row>
    <row r="76" spans="1:21" x14ac:dyDescent="0.25">
      <c r="A76" s="5" t="s">
        <v>3671</v>
      </c>
      <c r="B76" s="5" t="s">
        <v>3672</v>
      </c>
      <c r="C76" s="5" t="s">
        <v>3548</v>
      </c>
      <c r="D76" s="5" t="s">
        <v>3562</v>
      </c>
      <c r="E76" s="5" t="s">
        <v>3639</v>
      </c>
      <c r="F76" s="5" t="s">
        <v>3564</v>
      </c>
      <c r="G76" s="5"/>
      <c r="H76" s="5"/>
      <c r="I76" s="5" t="s">
        <v>3448</v>
      </c>
      <c r="J76" s="5" t="s">
        <v>3449</v>
      </c>
      <c r="K76" s="5" t="s">
        <v>3640</v>
      </c>
      <c r="L76" s="5">
        <v>22</v>
      </c>
      <c r="M76" s="5">
        <v>1</v>
      </c>
      <c r="N76" s="5" t="s">
        <v>3566</v>
      </c>
      <c r="O76" s="5"/>
      <c r="P76" s="5"/>
      <c r="Q76" s="5">
        <v>1</v>
      </c>
      <c r="R76" s="5"/>
      <c r="S76" s="5">
        <v>22</v>
      </c>
      <c r="T76" s="5">
        <v>22</v>
      </c>
      <c r="U76" s="5">
        <v>22</v>
      </c>
    </row>
    <row r="77" spans="1:21" x14ac:dyDescent="0.25">
      <c r="A77" s="5" t="s">
        <v>3673</v>
      </c>
      <c r="B77" s="5" t="s">
        <v>3674</v>
      </c>
      <c r="C77" s="5" t="s">
        <v>3548</v>
      </c>
      <c r="D77" s="5" t="s">
        <v>3562</v>
      </c>
      <c r="E77" s="5" t="s">
        <v>3639</v>
      </c>
      <c r="F77" s="5" t="s">
        <v>3564</v>
      </c>
      <c r="G77" s="5"/>
      <c r="H77" s="5"/>
      <c r="I77" s="5" t="s">
        <v>3448</v>
      </c>
      <c r="J77" s="5" t="s">
        <v>3449</v>
      </c>
      <c r="K77" s="5" t="s">
        <v>3640</v>
      </c>
      <c r="L77" s="5">
        <v>23</v>
      </c>
      <c r="M77" s="5">
        <v>2</v>
      </c>
      <c r="N77" s="5" t="s">
        <v>3566</v>
      </c>
      <c r="O77" s="5"/>
      <c r="P77" s="5"/>
      <c r="Q77" s="5">
        <v>1</v>
      </c>
      <c r="R77" s="5"/>
      <c r="S77" s="5">
        <v>46</v>
      </c>
      <c r="T77" s="5">
        <v>46</v>
      </c>
      <c r="U77" s="5">
        <v>46</v>
      </c>
    </row>
    <row r="78" spans="1:21" x14ac:dyDescent="0.25">
      <c r="A78" s="5" t="s">
        <v>3675</v>
      </c>
      <c r="B78" s="5" t="s">
        <v>3676</v>
      </c>
      <c r="C78" s="5" t="s">
        <v>3548</v>
      </c>
      <c r="D78" s="5" t="s">
        <v>3562</v>
      </c>
      <c r="E78" s="5" t="s">
        <v>3639</v>
      </c>
      <c r="F78" s="5" t="s">
        <v>3584</v>
      </c>
      <c r="G78" s="5" t="s">
        <v>3493</v>
      </c>
      <c r="H78" s="5"/>
      <c r="I78" s="5" t="s">
        <v>3448</v>
      </c>
      <c r="J78" s="5" t="s">
        <v>3449</v>
      </c>
      <c r="K78" s="5" t="s">
        <v>3640</v>
      </c>
      <c r="L78" s="5">
        <v>23</v>
      </c>
      <c r="M78" s="5">
        <v>1</v>
      </c>
      <c r="N78" s="5" t="s">
        <v>3585</v>
      </c>
      <c r="O78" s="5" t="s">
        <v>3494</v>
      </c>
      <c r="P78" s="5"/>
      <c r="Q78" s="5">
        <v>1</v>
      </c>
      <c r="R78" s="5"/>
      <c r="S78" s="5">
        <v>23</v>
      </c>
      <c r="T78" s="5">
        <v>23</v>
      </c>
      <c r="U78" s="5">
        <v>23</v>
      </c>
    </row>
    <row r="79" spans="1:21" x14ac:dyDescent="0.25">
      <c r="A79" s="5" t="s">
        <v>3677</v>
      </c>
      <c r="B79" s="5" t="s">
        <v>3678</v>
      </c>
      <c r="C79" s="5" t="s">
        <v>3548</v>
      </c>
      <c r="D79" s="5" t="s">
        <v>3562</v>
      </c>
      <c r="E79" s="5" t="s">
        <v>3639</v>
      </c>
      <c r="F79" s="5" t="s">
        <v>3564</v>
      </c>
      <c r="G79" s="5"/>
      <c r="H79" s="5"/>
      <c r="I79" s="5" t="s">
        <v>3448</v>
      </c>
      <c r="J79" s="5" t="s">
        <v>3449</v>
      </c>
      <c r="K79" s="5" t="s">
        <v>3640</v>
      </c>
      <c r="L79" s="5">
        <v>23</v>
      </c>
      <c r="M79" s="5">
        <v>1</v>
      </c>
      <c r="N79" s="5" t="s">
        <v>3566</v>
      </c>
      <c r="O79" s="5"/>
      <c r="P79" s="5"/>
      <c r="Q79" s="5">
        <v>1</v>
      </c>
      <c r="R79" s="5"/>
      <c r="S79" s="5">
        <v>23</v>
      </c>
      <c r="T79" s="5">
        <v>23</v>
      </c>
      <c r="U79" s="5">
        <v>23</v>
      </c>
    </row>
    <row r="80" spans="1:21" x14ac:dyDescent="0.25">
      <c r="A80" s="5" t="s">
        <v>3679</v>
      </c>
      <c r="B80" s="5" t="s">
        <v>3680</v>
      </c>
      <c r="C80" s="5" t="s">
        <v>3548</v>
      </c>
      <c r="D80" s="5" t="s">
        <v>3562</v>
      </c>
      <c r="E80" s="5" t="s">
        <v>3639</v>
      </c>
      <c r="F80" s="5" t="s">
        <v>3564</v>
      </c>
      <c r="G80" s="5"/>
      <c r="H80" s="5"/>
      <c r="I80" s="5" t="s">
        <v>3448</v>
      </c>
      <c r="J80" s="5" t="s">
        <v>3449</v>
      </c>
      <c r="K80" s="5" t="s">
        <v>3640</v>
      </c>
      <c r="L80" s="5">
        <v>25</v>
      </c>
      <c r="M80" s="5">
        <v>1</v>
      </c>
      <c r="N80" s="5" t="s">
        <v>3566</v>
      </c>
      <c r="O80" s="5"/>
      <c r="P80" s="5"/>
      <c r="Q80" s="5">
        <v>1</v>
      </c>
      <c r="R80" s="5"/>
      <c r="S80" s="5">
        <v>25</v>
      </c>
      <c r="T80" s="5">
        <v>25</v>
      </c>
      <c r="U80" s="5">
        <v>25</v>
      </c>
    </row>
    <row r="81" spans="1:21" x14ac:dyDescent="0.25">
      <c r="A81" s="5" t="s">
        <v>3681</v>
      </c>
      <c r="B81" s="5" t="s">
        <v>3682</v>
      </c>
      <c r="C81" s="5" t="s">
        <v>3548</v>
      </c>
      <c r="D81" s="5" t="s">
        <v>3562</v>
      </c>
      <c r="E81" s="5" t="s">
        <v>3639</v>
      </c>
      <c r="F81" s="5" t="s">
        <v>3584</v>
      </c>
      <c r="G81" s="5" t="s">
        <v>3493</v>
      </c>
      <c r="H81" s="5"/>
      <c r="I81" s="5" t="s">
        <v>3448</v>
      </c>
      <c r="J81" s="5" t="s">
        <v>3449</v>
      </c>
      <c r="K81" s="5" t="s">
        <v>3640</v>
      </c>
      <c r="L81" s="5">
        <v>26</v>
      </c>
      <c r="M81" s="5">
        <v>1</v>
      </c>
      <c r="N81" s="5" t="s">
        <v>3585</v>
      </c>
      <c r="O81" s="5" t="s">
        <v>3494</v>
      </c>
      <c r="P81" s="5"/>
      <c r="Q81" s="5">
        <v>1</v>
      </c>
      <c r="R81" s="5"/>
      <c r="S81" s="5">
        <v>26</v>
      </c>
      <c r="T81" s="5">
        <v>26</v>
      </c>
      <c r="U81" s="5">
        <v>26</v>
      </c>
    </row>
    <row r="82" spans="1:21" x14ac:dyDescent="0.25">
      <c r="A82" s="5" t="s">
        <v>3683</v>
      </c>
      <c r="B82" s="5" t="s">
        <v>3684</v>
      </c>
      <c r="C82" s="5" t="s">
        <v>3548</v>
      </c>
      <c r="D82" s="5" t="s">
        <v>3562</v>
      </c>
      <c r="E82" s="5" t="s">
        <v>3639</v>
      </c>
      <c r="F82" s="5" t="s">
        <v>3564</v>
      </c>
      <c r="G82" s="5"/>
      <c r="H82" s="5"/>
      <c r="I82" s="5" t="s">
        <v>3448</v>
      </c>
      <c r="J82" s="5" t="s">
        <v>3449</v>
      </c>
      <c r="K82" s="5" t="s">
        <v>3640</v>
      </c>
      <c r="L82" s="5">
        <v>26</v>
      </c>
      <c r="M82" s="5">
        <v>1</v>
      </c>
      <c r="N82" s="5" t="s">
        <v>3566</v>
      </c>
      <c r="O82" s="5"/>
      <c r="P82" s="5"/>
      <c r="Q82" s="5">
        <v>1</v>
      </c>
      <c r="R82" s="5"/>
      <c r="S82" s="5">
        <v>26</v>
      </c>
      <c r="T82" s="5">
        <v>26</v>
      </c>
      <c r="U82" s="5">
        <v>26</v>
      </c>
    </row>
    <row r="83" spans="1:21" x14ac:dyDescent="0.25">
      <c r="A83" s="5" t="s">
        <v>3685</v>
      </c>
      <c r="B83" s="5" t="s">
        <v>3686</v>
      </c>
      <c r="C83" s="5" t="s">
        <v>3548</v>
      </c>
      <c r="D83" s="5" t="s">
        <v>3562</v>
      </c>
      <c r="E83" s="5" t="s">
        <v>3639</v>
      </c>
      <c r="F83" s="5" t="s">
        <v>3584</v>
      </c>
      <c r="G83" s="5" t="s">
        <v>3493</v>
      </c>
      <c r="H83" s="5"/>
      <c r="I83" s="5" t="s">
        <v>3448</v>
      </c>
      <c r="J83" s="5" t="s">
        <v>3449</v>
      </c>
      <c r="K83" s="5" t="s">
        <v>3640</v>
      </c>
      <c r="L83" s="5">
        <v>27</v>
      </c>
      <c r="M83" s="5">
        <v>1</v>
      </c>
      <c r="N83" s="5" t="s">
        <v>3585</v>
      </c>
      <c r="O83" s="5" t="s">
        <v>3494</v>
      </c>
      <c r="P83" s="5"/>
      <c r="Q83" s="5">
        <v>1</v>
      </c>
      <c r="R83" s="5"/>
      <c r="S83" s="5">
        <v>27</v>
      </c>
      <c r="T83" s="5">
        <v>27</v>
      </c>
      <c r="U83" s="5">
        <v>27</v>
      </c>
    </row>
    <row r="84" spans="1:21" x14ac:dyDescent="0.25">
      <c r="A84" s="5" t="s">
        <v>3687</v>
      </c>
      <c r="B84" s="5" t="s">
        <v>3688</v>
      </c>
      <c r="C84" s="5" t="s">
        <v>3548</v>
      </c>
      <c r="D84" s="5" t="s">
        <v>3562</v>
      </c>
      <c r="E84" s="5" t="s">
        <v>3639</v>
      </c>
      <c r="F84" s="5" t="s">
        <v>3564</v>
      </c>
      <c r="G84" s="5"/>
      <c r="H84" s="5"/>
      <c r="I84" s="5" t="s">
        <v>3448</v>
      </c>
      <c r="J84" s="5" t="s">
        <v>3449</v>
      </c>
      <c r="K84" s="5" t="s">
        <v>3640</v>
      </c>
      <c r="L84" s="5">
        <v>28</v>
      </c>
      <c r="M84" s="5">
        <v>1</v>
      </c>
      <c r="N84" s="5" t="s">
        <v>3566</v>
      </c>
      <c r="O84" s="5"/>
      <c r="P84" s="5"/>
      <c r="Q84" s="5">
        <v>1</v>
      </c>
      <c r="R84" s="5"/>
      <c r="S84" s="5">
        <v>28</v>
      </c>
      <c r="T84" s="5">
        <v>28</v>
      </c>
      <c r="U84" s="5">
        <v>28</v>
      </c>
    </row>
    <row r="85" spans="1:21" x14ac:dyDescent="0.25">
      <c r="A85" s="5" t="s">
        <v>3689</v>
      </c>
      <c r="B85" s="5" t="s">
        <v>3690</v>
      </c>
      <c r="C85" s="5" t="s">
        <v>3548</v>
      </c>
      <c r="D85" s="5" t="s">
        <v>3562</v>
      </c>
      <c r="E85" s="5" t="s">
        <v>3639</v>
      </c>
      <c r="F85" s="5" t="s">
        <v>3564</v>
      </c>
      <c r="G85" s="5"/>
      <c r="H85" s="5"/>
      <c r="I85" s="5" t="s">
        <v>3448</v>
      </c>
      <c r="J85" s="5" t="s">
        <v>3449</v>
      </c>
      <c r="K85" s="5" t="s">
        <v>3640</v>
      </c>
      <c r="L85" s="5">
        <v>2</v>
      </c>
      <c r="M85" s="5">
        <v>1</v>
      </c>
      <c r="N85" s="5" t="s">
        <v>3566</v>
      </c>
      <c r="O85" s="5"/>
      <c r="P85" s="5"/>
      <c r="Q85" s="5">
        <v>1</v>
      </c>
      <c r="R85" s="5"/>
      <c r="S85" s="5">
        <v>2</v>
      </c>
      <c r="T85" s="5">
        <v>2</v>
      </c>
      <c r="U85" s="5">
        <v>2</v>
      </c>
    </row>
    <row r="86" spans="1:21" x14ac:dyDescent="0.25">
      <c r="A86" s="5" t="s">
        <v>6898</v>
      </c>
      <c r="B86" s="5" t="s">
        <v>6899</v>
      </c>
      <c r="C86" s="5" t="s">
        <v>3548</v>
      </c>
      <c r="D86" s="5" t="s">
        <v>3562</v>
      </c>
      <c r="E86" s="5" t="s">
        <v>3639</v>
      </c>
      <c r="F86" s="5" t="s">
        <v>3584</v>
      </c>
      <c r="G86" s="5" t="s">
        <v>3493</v>
      </c>
      <c r="H86" s="5"/>
      <c r="I86" s="5" t="s">
        <v>3448</v>
      </c>
      <c r="J86" s="5" t="s">
        <v>3449</v>
      </c>
      <c r="K86" s="5" t="s">
        <v>3640</v>
      </c>
      <c r="L86" s="5">
        <v>16</v>
      </c>
      <c r="M86" s="5">
        <v>1</v>
      </c>
      <c r="N86" s="5" t="s">
        <v>3585</v>
      </c>
      <c r="O86" s="5" t="s">
        <v>3494</v>
      </c>
      <c r="P86" s="5"/>
      <c r="Q86" s="5">
        <v>1</v>
      </c>
      <c r="R86" s="5"/>
      <c r="S86" s="5">
        <v>16</v>
      </c>
      <c r="T86" s="5">
        <v>16</v>
      </c>
      <c r="U86" s="5">
        <v>16</v>
      </c>
    </row>
    <row r="87" spans="1:21" x14ac:dyDescent="0.25">
      <c r="A87" s="5" t="s">
        <v>3691</v>
      </c>
      <c r="B87" s="5" t="s">
        <v>3692</v>
      </c>
      <c r="C87" s="5" t="s">
        <v>3548</v>
      </c>
      <c r="D87" s="5" t="s">
        <v>3562</v>
      </c>
      <c r="E87" s="5" t="s">
        <v>3639</v>
      </c>
      <c r="F87" s="5" t="s">
        <v>3584</v>
      </c>
      <c r="G87" s="5" t="s">
        <v>3493</v>
      </c>
      <c r="H87" s="5"/>
      <c r="I87" s="5" t="s">
        <v>3448</v>
      </c>
      <c r="J87" s="5" t="s">
        <v>3449</v>
      </c>
      <c r="K87" s="5" t="s">
        <v>3640</v>
      </c>
      <c r="L87" s="5">
        <v>30</v>
      </c>
      <c r="M87" s="5">
        <v>1</v>
      </c>
      <c r="N87" s="5" t="s">
        <v>3585</v>
      </c>
      <c r="O87" s="5" t="s">
        <v>3494</v>
      </c>
      <c r="P87" s="5"/>
      <c r="Q87" s="5">
        <v>1</v>
      </c>
      <c r="R87" s="5"/>
      <c r="S87" s="5">
        <v>30</v>
      </c>
      <c r="T87" s="5">
        <v>30</v>
      </c>
      <c r="U87" s="5">
        <v>30</v>
      </c>
    </row>
    <row r="88" spans="1:21" x14ac:dyDescent="0.25">
      <c r="A88" s="5" t="s">
        <v>3693</v>
      </c>
      <c r="B88" s="5" t="s">
        <v>3694</v>
      </c>
      <c r="C88" s="5" t="s">
        <v>3548</v>
      </c>
      <c r="D88" s="5" t="s">
        <v>3562</v>
      </c>
      <c r="E88" s="5" t="s">
        <v>3639</v>
      </c>
      <c r="F88" s="5" t="s">
        <v>3584</v>
      </c>
      <c r="G88" s="5" t="s">
        <v>3493</v>
      </c>
      <c r="H88" s="5"/>
      <c r="I88" s="5" t="s">
        <v>3448</v>
      </c>
      <c r="J88" s="5" t="s">
        <v>3449</v>
      </c>
      <c r="K88" s="5" t="s">
        <v>3640</v>
      </c>
      <c r="L88" s="5">
        <v>36</v>
      </c>
      <c r="M88" s="5">
        <v>1</v>
      </c>
      <c r="N88" s="5" t="s">
        <v>3585</v>
      </c>
      <c r="O88" s="5" t="s">
        <v>3494</v>
      </c>
      <c r="P88" s="5"/>
      <c r="Q88" s="5">
        <v>1</v>
      </c>
      <c r="R88" s="5"/>
      <c r="S88" s="5">
        <v>36</v>
      </c>
      <c r="T88" s="5">
        <v>36</v>
      </c>
      <c r="U88" s="5">
        <v>36</v>
      </c>
    </row>
    <row r="89" spans="1:21" x14ac:dyDescent="0.25">
      <c r="A89" s="5" t="s">
        <v>3695</v>
      </c>
      <c r="B89" s="5" t="s">
        <v>3696</v>
      </c>
      <c r="C89" s="5" t="s">
        <v>3548</v>
      </c>
      <c r="D89" s="5" t="s">
        <v>3562</v>
      </c>
      <c r="E89" s="5" t="s">
        <v>3639</v>
      </c>
      <c r="F89" s="5" t="s">
        <v>3584</v>
      </c>
      <c r="G89" s="5" t="s">
        <v>3493</v>
      </c>
      <c r="H89" s="5"/>
      <c r="I89" s="5" t="s">
        <v>3448</v>
      </c>
      <c r="J89" s="5" t="s">
        <v>3449</v>
      </c>
      <c r="K89" s="5" t="s">
        <v>3640</v>
      </c>
      <c r="L89" s="5">
        <v>42</v>
      </c>
      <c r="M89" s="5">
        <v>1</v>
      </c>
      <c r="N89" s="5" t="s">
        <v>3585</v>
      </c>
      <c r="O89" s="5" t="s">
        <v>3494</v>
      </c>
      <c r="P89" s="5"/>
      <c r="Q89" s="5">
        <v>1</v>
      </c>
      <c r="R89" s="5"/>
      <c r="S89" s="5">
        <v>42</v>
      </c>
      <c r="T89" s="5">
        <v>42</v>
      </c>
      <c r="U89" s="5">
        <v>42</v>
      </c>
    </row>
    <row r="90" spans="1:21" x14ac:dyDescent="0.25">
      <c r="A90" s="5" t="s">
        <v>3697</v>
      </c>
      <c r="B90" s="5" t="s">
        <v>3698</v>
      </c>
      <c r="C90" s="5" t="s">
        <v>3548</v>
      </c>
      <c r="D90" s="5" t="s">
        <v>3562</v>
      </c>
      <c r="E90" s="5" t="s">
        <v>3639</v>
      </c>
      <c r="F90" s="5" t="s">
        <v>3584</v>
      </c>
      <c r="G90" s="5" t="s">
        <v>3493</v>
      </c>
      <c r="H90" s="5"/>
      <c r="I90" s="5" t="s">
        <v>3448</v>
      </c>
      <c r="J90" s="5" t="s">
        <v>3449</v>
      </c>
      <c r="K90" s="5" t="s">
        <v>3640</v>
      </c>
      <c r="L90" s="5">
        <v>44</v>
      </c>
      <c r="M90" s="5">
        <v>1</v>
      </c>
      <c r="N90" s="5" t="s">
        <v>3585</v>
      </c>
      <c r="O90" s="5" t="s">
        <v>3494</v>
      </c>
      <c r="P90" s="5"/>
      <c r="Q90" s="5">
        <v>1</v>
      </c>
      <c r="R90" s="5"/>
      <c r="S90" s="5">
        <v>44</v>
      </c>
      <c r="T90" s="5">
        <v>44</v>
      </c>
      <c r="U90" s="5">
        <v>44</v>
      </c>
    </row>
    <row r="91" spans="1:21" x14ac:dyDescent="0.25">
      <c r="A91" s="5" t="s">
        <v>3697</v>
      </c>
      <c r="B91" s="5" t="s">
        <v>3698</v>
      </c>
      <c r="C91" s="5" t="s">
        <v>3548</v>
      </c>
      <c r="D91" s="5" t="s">
        <v>3562</v>
      </c>
      <c r="E91" s="5" t="s">
        <v>3639</v>
      </c>
      <c r="F91" s="5" t="s">
        <v>3584</v>
      </c>
      <c r="G91" s="5" t="s">
        <v>3493</v>
      </c>
      <c r="H91" s="5"/>
      <c r="I91" s="5" t="s">
        <v>3448</v>
      </c>
      <c r="J91" s="5" t="s">
        <v>3449</v>
      </c>
      <c r="K91" s="5" t="s">
        <v>3640</v>
      </c>
      <c r="L91" s="5">
        <v>44</v>
      </c>
      <c r="M91" s="5">
        <v>1</v>
      </c>
      <c r="N91" s="5" t="s">
        <v>3585</v>
      </c>
      <c r="O91" s="5" t="s">
        <v>3494</v>
      </c>
      <c r="P91" s="5"/>
      <c r="Q91" s="5">
        <v>1</v>
      </c>
      <c r="R91" s="5"/>
      <c r="S91" s="5">
        <v>68</v>
      </c>
      <c r="T91" s="5">
        <v>68</v>
      </c>
      <c r="U91" s="5">
        <v>68</v>
      </c>
    </row>
    <row r="92" spans="1:21" x14ac:dyDescent="0.25">
      <c r="A92" s="5" t="s">
        <v>3699</v>
      </c>
      <c r="B92" s="5" t="s">
        <v>3700</v>
      </c>
      <c r="C92" s="5" t="s">
        <v>3548</v>
      </c>
      <c r="D92" s="5" t="s">
        <v>3562</v>
      </c>
      <c r="E92" s="5" t="s">
        <v>3639</v>
      </c>
      <c r="F92" s="5" t="s">
        <v>3564</v>
      </c>
      <c r="G92" s="5"/>
      <c r="H92" s="5"/>
      <c r="I92" s="5" t="s">
        <v>3448</v>
      </c>
      <c r="J92" s="5" t="s">
        <v>3449</v>
      </c>
      <c r="K92" s="5" t="s">
        <v>3640</v>
      </c>
      <c r="L92" s="5">
        <v>5</v>
      </c>
      <c r="M92" s="5">
        <v>1</v>
      </c>
      <c r="N92" s="5" t="s">
        <v>3566</v>
      </c>
      <c r="O92" s="5"/>
      <c r="P92" s="5"/>
      <c r="Q92" s="5">
        <v>1</v>
      </c>
      <c r="R92" s="5"/>
      <c r="S92" s="5">
        <v>5</v>
      </c>
      <c r="T92" s="5">
        <v>5</v>
      </c>
      <c r="U92" s="5">
        <v>5</v>
      </c>
    </row>
    <row r="93" spans="1:21" x14ac:dyDescent="0.25">
      <c r="A93" s="5" t="s">
        <v>3701</v>
      </c>
      <c r="B93" s="5" t="s">
        <v>3702</v>
      </c>
      <c r="C93" s="5" t="s">
        <v>3548</v>
      </c>
      <c r="D93" s="5" t="s">
        <v>3562</v>
      </c>
      <c r="E93" s="5" t="s">
        <v>3639</v>
      </c>
      <c r="F93" s="5" t="s">
        <v>3564</v>
      </c>
      <c r="G93" s="5"/>
      <c r="H93" s="5"/>
      <c r="I93" s="5" t="s">
        <v>3448</v>
      </c>
      <c r="J93" s="5" t="s">
        <v>3449</v>
      </c>
      <c r="K93" s="5" t="s">
        <v>3640</v>
      </c>
      <c r="L93" s="5">
        <v>7</v>
      </c>
      <c r="M93" s="5">
        <v>1</v>
      </c>
      <c r="N93" s="5" t="s">
        <v>3566</v>
      </c>
      <c r="O93" s="5"/>
      <c r="P93" s="5"/>
      <c r="Q93" s="5">
        <v>1</v>
      </c>
      <c r="R93" s="5"/>
      <c r="S93" s="5">
        <v>7</v>
      </c>
      <c r="T93" s="5">
        <v>7</v>
      </c>
      <c r="U93" s="5">
        <v>7</v>
      </c>
    </row>
    <row r="94" spans="1:21" x14ac:dyDescent="0.25">
      <c r="A94" s="5" t="s">
        <v>3703</v>
      </c>
      <c r="B94" s="5" t="s">
        <v>3704</v>
      </c>
      <c r="C94" s="5" t="s">
        <v>3548</v>
      </c>
      <c r="D94" s="5" t="s">
        <v>3562</v>
      </c>
      <c r="E94" s="5" t="s">
        <v>3639</v>
      </c>
      <c r="F94" s="5" t="s">
        <v>3564</v>
      </c>
      <c r="G94" s="5"/>
      <c r="H94" s="5"/>
      <c r="I94" s="5" t="s">
        <v>3448</v>
      </c>
      <c r="J94" s="5" t="s">
        <v>3449</v>
      </c>
      <c r="K94" s="5" t="s">
        <v>3640</v>
      </c>
      <c r="L94" s="5">
        <v>9</v>
      </c>
      <c r="M94" s="5">
        <v>1</v>
      </c>
      <c r="N94" s="5" t="s">
        <v>3566</v>
      </c>
      <c r="O94" s="5"/>
      <c r="P94" s="5"/>
      <c r="Q94" s="5">
        <v>1</v>
      </c>
      <c r="R94" s="5"/>
      <c r="S94" s="5">
        <v>9</v>
      </c>
      <c r="T94" s="5">
        <v>9</v>
      </c>
      <c r="U94" s="5">
        <v>9</v>
      </c>
    </row>
    <row r="95" spans="1:21" x14ac:dyDescent="0.25">
      <c r="A95" s="5" t="s">
        <v>3705</v>
      </c>
      <c r="B95" s="5" t="s">
        <v>6900</v>
      </c>
      <c r="C95" s="5" t="s">
        <v>3548</v>
      </c>
      <c r="D95" s="5" t="s">
        <v>3562</v>
      </c>
      <c r="E95" s="5" t="s">
        <v>3706</v>
      </c>
      <c r="F95" s="5" t="s">
        <v>3564</v>
      </c>
      <c r="G95" s="5"/>
      <c r="H95" s="5"/>
      <c r="I95" s="5" t="s">
        <v>3448</v>
      </c>
      <c r="J95" s="5" t="s">
        <v>3449</v>
      </c>
      <c r="K95" s="5" t="s">
        <v>6901</v>
      </c>
      <c r="L95" s="5">
        <v>10</v>
      </c>
      <c r="M95" s="5">
        <v>1</v>
      </c>
      <c r="N95" s="5" t="s">
        <v>3566</v>
      </c>
      <c r="O95" s="5"/>
      <c r="P95" s="5"/>
      <c r="Q95" s="5">
        <v>1</v>
      </c>
      <c r="R95" s="5"/>
      <c r="S95" s="5">
        <v>15</v>
      </c>
      <c r="T95" s="5">
        <v>15</v>
      </c>
      <c r="U95" s="5">
        <v>15</v>
      </c>
    </row>
    <row r="96" spans="1:21" x14ac:dyDescent="0.25">
      <c r="A96" s="5" t="s">
        <v>3707</v>
      </c>
      <c r="B96" s="5" t="s">
        <v>6902</v>
      </c>
      <c r="C96" s="5" t="s">
        <v>3548</v>
      </c>
      <c r="D96" s="5" t="s">
        <v>3562</v>
      </c>
      <c r="E96" s="5" t="s">
        <v>3706</v>
      </c>
      <c r="F96" s="5" t="s">
        <v>3564</v>
      </c>
      <c r="G96" s="5"/>
      <c r="H96" s="5"/>
      <c r="I96" s="5" t="s">
        <v>3448</v>
      </c>
      <c r="J96" s="5" t="s">
        <v>3449</v>
      </c>
      <c r="K96" s="5" t="s">
        <v>6901</v>
      </c>
      <c r="L96" s="5">
        <v>12</v>
      </c>
      <c r="M96" s="5">
        <v>1</v>
      </c>
      <c r="N96" s="5" t="s">
        <v>3566</v>
      </c>
      <c r="O96" s="5"/>
      <c r="P96" s="5"/>
      <c r="Q96" s="5">
        <v>1</v>
      </c>
      <c r="R96" s="5"/>
      <c r="S96" s="5">
        <v>16</v>
      </c>
      <c r="T96" s="5">
        <v>16</v>
      </c>
      <c r="U96" s="5">
        <v>16</v>
      </c>
    </row>
    <row r="97" spans="1:21" x14ac:dyDescent="0.25">
      <c r="A97" s="5" t="s">
        <v>3708</v>
      </c>
      <c r="B97" s="5" t="s">
        <v>6903</v>
      </c>
      <c r="C97" s="5" t="s">
        <v>3548</v>
      </c>
      <c r="D97" s="5" t="s">
        <v>3562</v>
      </c>
      <c r="E97" s="5" t="s">
        <v>3706</v>
      </c>
      <c r="F97" s="5" t="s">
        <v>3584</v>
      </c>
      <c r="G97" s="5" t="s">
        <v>3501</v>
      </c>
      <c r="H97" s="5"/>
      <c r="I97" s="5" t="s">
        <v>3448</v>
      </c>
      <c r="J97" s="5" t="s">
        <v>3449</v>
      </c>
      <c r="K97" s="5" t="s">
        <v>6901</v>
      </c>
      <c r="L97" s="5">
        <v>13</v>
      </c>
      <c r="M97" s="5">
        <v>2</v>
      </c>
      <c r="N97" s="5" t="s">
        <v>3585</v>
      </c>
      <c r="O97" s="5" t="s">
        <v>3502</v>
      </c>
      <c r="P97" s="5"/>
      <c r="Q97" s="5">
        <v>1</v>
      </c>
      <c r="R97" s="5"/>
      <c r="S97" s="5">
        <v>28</v>
      </c>
      <c r="T97" s="5">
        <v>28</v>
      </c>
      <c r="U97" s="5">
        <v>28</v>
      </c>
    </row>
    <row r="98" spans="1:21" x14ac:dyDescent="0.25">
      <c r="A98" s="5" t="s">
        <v>3709</v>
      </c>
      <c r="B98" s="5" t="s">
        <v>6904</v>
      </c>
      <c r="C98" s="5" t="s">
        <v>3548</v>
      </c>
      <c r="D98" s="5" t="s">
        <v>3562</v>
      </c>
      <c r="E98" s="5" t="s">
        <v>3706</v>
      </c>
      <c r="F98" s="5" t="s">
        <v>3584</v>
      </c>
      <c r="G98" s="5" t="s">
        <v>3493</v>
      </c>
      <c r="H98" s="5"/>
      <c r="I98" s="5" t="s">
        <v>3448</v>
      </c>
      <c r="J98" s="5" t="s">
        <v>3449</v>
      </c>
      <c r="K98" s="5" t="s">
        <v>6901</v>
      </c>
      <c r="L98" s="5">
        <v>13</v>
      </c>
      <c r="M98" s="5">
        <v>2</v>
      </c>
      <c r="N98" s="5" t="s">
        <v>3585</v>
      </c>
      <c r="O98" s="5" t="s">
        <v>3494</v>
      </c>
      <c r="P98" s="5"/>
      <c r="Q98" s="5">
        <v>1</v>
      </c>
      <c r="R98" s="5"/>
      <c r="S98" s="5">
        <v>30</v>
      </c>
      <c r="T98" s="5">
        <v>30</v>
      </c>
      <c r="U98" s="5">
        <v>30</v>
      </c>
    </row>
    <row r="99" spans="1:21" x14ac:dyDescent="0.25">
      <c r="A99" s="5" t="s">
        <v>3710</v>
      </c>
      <c r="B99" s="5" t="s">
        <v>6905</v>
      </c>
      <c r="C99" s="5" t="s">
        <v>3548</v>
      </c>
      <c r="D99" s="5" t="s">
        <v>3562</v>
      </c>
      <c r="E99" s="5" t="s">
        <v>3706</v>
      </c>
      <c r="F99" s="5" t="s">
        <v>3564</v>
      </c>
      <c r="G99" s="5"/>
      <c r="H99" s="5"/>
      <c r="I99" s="5" t="s">
        <v>3448</v>
      </c>
      <c r="J99" s="5" t="s">
        <v>3449</v>
      </c>
      <c r="K99" s="5" t="s">
        <v>6901</v>
      </c>
      <c r="L99" s="5">
        <v>13</v>
      </c>
      <c r="M99" s="5">
        <v>2</v>
      </c>
      <c r="N99" s="5" t="s">
        <v>3566</v>
      </c>
      <c r="O99" s="5"/>
      <c r="P99" s="5"/>
      <c r="Q99" s="5">
        <v>1</v>
      </c>
      <c r="R99" s="5"/>
      <c r="S99" s="5">
        <v>31</v>
      </c>
      <c r="T99" s="5">
        <v>31</v>
      </c>
      <c r="U99" s="5">
        <v>31</v>
      </c>
    </row>
    <row r="100" spans="1:21" x14ac:dyDescent="0.25">
      <c r="A100" s="5" t="s">
        <v>3711</v>
      </c>
      <c r="B100" s="5" t="s">
        <v>6906</v>
      </c>
      <c r="C100" s="5" t="s">
        <v>3548</v>
      </c>
      <c r="D100" s="5" t="s">
        <v>3562</v>
      </c>
      <c r="E100" s="5" t="s">
        <v>3706</v>
      </c>
      <c r="F100" s="5" t="s">
        <v>3564</v>
      </c>
      <c r="G100" s="5"/>
      <c r="H100" s="5"/>
      <c r="I100" s="5" t="s">
        <v>3448</v>
      </c>
      <c r="J100" s="5" t="s">
        <v>3449</v>
      </c>
      <c r="K100" s="5" t="s">
        <v>6901</v>
      </c>
      <c r="L100" s="5">
        <v>13</v>
      </c>
      <c r="M100" s="5">
        <v>3</v>
      </c>
      <c r="N100" s="5" t="s">
        <v>3566</v>
      </c>
      <c r="O100" s="5"/>
      <c r="P100" s="5"/>
      <c r="Q100" s="5">
        <v>1</v>
      </c>
      <c r="R100" s="5"/>
      <c r="S100" s="5">
        <v>48</v>
      </c>
      <c r="T100" s="5">
        <v>48</v>
      </c>
      <c r="U100" s="5">
        <v>48</v>
      </c>
    </row>
    <row r="101" spans="1:21" x14ac:dyDescent="0.25">
      <c r="A101" s="5" t="s">
        <v>3712</v>
      </c>
      <c r="B101" s="5" t="s">
        <v>6907</v>
      </c>
      <c r="C101" s="5" t="s">
        <v>3548</v>
      </c>
      <c r="D101" s="5" t="s">
        <v>3562</v>
      </c>
      <c r="E101" s="5" t="s">
        <v>3706</v>
      </c>
      <c r="F101" s="5" t="s">
        <v>3584</v>
      </c>
      <c r="G101" s="5" t="s">
        <v>3501</v>
      </c>
      <c r="H101" s="5"/>
      <c r="I101" s="5" t="s">
        <v>3448</v>
      </c>
      <c r="J101" s="5" t="s">
        <v>3449</v>
      </c>
      <c r="K101" s="5" t="s">
        <v>6901</v>
      </c>
      <c r="L101" s="5">
        <v>13</v>
      </c>
      <c r="M101" s="5">
        <v>1</v>
      </c>
      <c r="N101" s="5" t="s">
        <v>3585</v>
      </c>
      <c r="O101" s="5" t="s">
        <v>3502</v>
      </c>
      <c r="P101" s="5"/>
      <c r="Q101" s="5">
        <v>1</v>
      </c>
      <c r="R101" s="5"/>
      <c r="S101" s="5">
        <v>15</v>
      </c>
      <c r="T101" s="5">
        <v>15</v>
      </c>
      <c r="U101" s="5">
        <v>15</v>
      </c>
    </row>
    <row r="102" spans="1:21" x14ac:dyDescent="0.25">
      <c r="A102" s="5" t="s">
        <v>3713</v>
      </c>
      <c r="B102" s="5" t="s">
        <v>6908</v>
      </c>
      <c r="C102" s="5" t="s">
        <v>3548</v>
      </c>
      <c r="D102" s="5" t="s">
        <v>3562</v>
      </c>
      <c r="E102" s="5" t="s">
        <v>3706</v>
      </c>
      <c r="F102" s="5" t="s">
        <v>3584</v>
      </c>
      <c r="G102" s="5" t="s">
        <v>3493</v>
      </c>
      <c r="H102" s="5"/>
      <c r="I102" s="5" t="s">
        <v>3448</v>
      </c>
      <c r="J102" s="5" t="s">
        <v>3449</v>
      </c>
      <c r="K102" s="5" t="s">
        <v>6901</v>
      </c>
      <c r="L102" s="5">
        <v>13</v>
      </c>
      <c r="M102" s="5">
        <v>1</v>
      </c>
      <c r="N102" s="5" t="s">
        <v>3585</v>
      </c>
      <c r="O102" s="5" t="s">
        <v>3494</v>
      </c>
      <c r="P102" s="5"/>
      <c r="Q102" s="5">
        <v>1</v>
      </c>
      <c r="R102" s="5"/>
      <c r="S102" s="5">
        <v>16</v>
      </c>
      <c r="T102" s="5">
        <v>16</v>
      </c>
      <c r="U102" s="5">
        <v>16</v>
      </c>
    </row>
    <row r="103" spans="1:21" x14ac:dyDescent="0.25">
      <c r="A103" s="5" t="s">
        <v>3714</v>
      </c>
      <c r="B103" s="5" t="s">
        <v>6909</v>
      </c>
      <c r="C103" s="5" t="s">
        <v>3548</v>
      </c>
      <c r="D103" s="5" t="s">
        <v>3562</v>
      </c>
      <c r="E103" s="5" t="s">
        <v>3706</v>
      </c>
      <c r="F103" s="5" t="s">
        <v>3564</v>
      </c>
      <c r="G103" s="5"/>
      <c r="H103" s="5"/>
      <c r="I103" s="5" t="s">
        <v>3448</v>
      </c>
      <c r="J103" s="5" t="s">
        <v>3449</v>
      </c>
      <c r="K103" s="5" t="s">
        <v>6901</v>
      </c>
      <c r="L103" s="5">
        <v>13</v>
      </c>
      <c r="M103" s="5">
        <v>1</v>
      </c>
      <c r="N103" s="5" t="s">
        <v>3566</v>
      </c>
      <c r="O103" s="5"/>
      <c r="P103" s="5"/>
      <c r="Q103" s="5">
        <v>1</v>
      </c>
      <c r="R103" s="5"/>
      <c r="S103" s="5">
        <v>17</v>
      </c>
      <c r="T103" s="5">
        <v>17</v>
      </c>
      <c r="U103" s="5">
        <v>17</v>
      </c>
    </row>
    <row r="104" spans="1:21" x14ac:dyDescent="0.25">
      <c r="A104" s="5" t="s">
        <v>3715</v>
      </c>
      <c r="B104" s="5" t="s">
        <v>6910</v>
      </c>
      <c r="C104" s="5" t="s">
        <v>3548</v>
      </c>
      <c r="D104" s="5" t="s">
        <v>3562</v>
      </c>
      <c r="E104" s="5" t="s">
        <v>3706</v>
      </c>
      <c r="F104" s="5" t="s">
        <v>3564</v>
      </c>
      <c r="G104" s="5"/>
      <c r="H104" s="5"/>
      <c r="I104" s="5" t="s">
        <v>3448</v>
      </c>
      <c r="J104" s="5" t="s">
        <v>3449</v>
      </c>
      <c r="K104" s="5" t="s">
        <v>6901</v>
      </c>
      <c r="L104" s="5">
        <v>14</v>
      </c>
      <c r="M104" s="5">
        <v>1</v>
      </c>
      <c r="N104" s="5" t="s">
        <v>3566</v>
      </c>
      <c r="O104" s="5"/>
      <c r="P104" s="5"/>
      <c r="Q104" s="5">
        <v>1</v>
      </c>
      <c r="R104" s="5"/>
      <c r="S104" s="5">
        <v>18</v>
      </c>
      <c r="T104" s="5">
        <v>18</v>
      </c>
      <c r="U104" s="5">
        <v>18</v>
      </c>
    </row>
    <row r="105" spans="1:21" x14ac:dyDescent="0.25">
      <c r="A105" s="5" t="s">
        <v>3716</v>
      </c>
      <c r="B105" s="5" t="s">
        <v>6911</v>
      </c>
      <c r="C105" s="5" t="s">
        <v>3548</v>
      </c>
      <c r="D105" s="5" t="s">
        <v>3562</v>
      </c>
      <c r="E105" s="5" t="s">
        <v>3706</v>
      </c>
      <c r="F105" s="5" t="s">
        <v>3564</v>
      </c>
      <c r="G105" s="5"/>
      <c r="H105" s="5"/>
      <c r="I105" s="5" t="s">
        <v>3448</v>
      </c>
      <c r="J105" s="5" t="s">
        <v>3449</v>
      </c>
      <c r="K105" s="5" t="s">
        <v>6901</v>
      </c>
      <c r="L105" s="5">
        <v>15</v>
      </c>
      <c r="M105" s="5">
        <v>1</v>
      </c>
      <c r="N105" s="5" t="s">
        <v>3566</v>
      </c>
      <c r="O105" s="5"/>
      <c r="P105" s="5"/>
      <c r="Q105" s="5">
        <v>1</v>
      </c>
      <c r="R105" s="5"/>
      <c r="S105" s="5">
        <v>19</v>
      </c>
      <c r="T105" s="5">
        <v>19</v>
      </c>
      <c r="U105" s="5">
        <v>19</v>
      </c>
    </row>
    <row r="106" spans="1:21" x14ac:dyDescent="0.25">
      <c r="A106" s="5" t="s">
        <v>3717</v>
      </c>
      <c r="B106" s="5" t="s">
        <v>6912</v>
      </c>
      <c r="C106" s="5" t="s">
        <v>3548</v>
      </c>
      <c r="D106" s="5" t="s">
        <v>3562</v>
      </c>
      <c r="E106" s="5" t="s">
        <v>3706</v>
      </c>
      <c r="F106" s="5" t="s">
        <v>3564</v>
      </c>
      <c r="G106" s="5"/>
      <c r="H106" s="5"/>
      <c r="I106" s="5" t="s">
        <v>3448</v>
      </c>
      <c r="J106" s="5" t="s">
        <v>3449</v>
      </c>
      <c r="K106" s="5" t="s">
        <v>6901</v>
      </c>
      <c r="L106" s="5">
        <v>16</v>
      </c>
      <c r="M106" s="5">
        <v>1</v>
      </c>
      <c r="N106" s="5" t="s">
        <v>3566</v>
      </c>
      <c r="O106" s="5"/>
      <c r="P106" s="5"/>
      <c r="Q106" s="5">
        <v>1</v>
      </c>
      <c r="R106" s="5"/>
      <c r="S106" s="5">
        <v>26</v>
      </c>
      <c r="T106" s="5">
        <v>26</v>
      </c>
      <c r="U106" s="5">
        <v>26</v>
      </c>
    </row>
    <row r="107" spans="1:21" x14ac:dyDescent="0.25">
      <c r="A107" s="5" t="s">
        <v>3718</v>
      </c>
      <c r="B107" s="5" t="s">
        <v>6913</v>
      </c>
      <c r="C107" s="5" t="s">
        <v>3548</v>
      </c>
      <c r="D107" s="5" t="s">
        <v>3562</v>
      </c>
      <c r="E107" s="5" t="s">
        <v>3706</v>
      </c>
      <c r="F107" s="5" t="s">
        <v>3564</v>
      </c>
      <c r="G107" s="5"/>
      <c r="H107" s="5"/>
      <c r="I107" s="5" t="s">
        <v>3448</v>
      </c>
      <c r="J107" s="5" t="s">
        <v>3449</v>
      </c>
      <c r="K107" s="5" t="s">
        <v>6901</v>
      </c>
      <c r="L107" s="5">
        <v>17</v>
      </c>
      <c r="M107" s="5">
        <v>2</v>
      </c>
      <c r="N107" s="5" t="s">
        <v>3566</v>
      </c>
      <c r="O107" s="5"/>
      <c r="P107" s="5"/>
      <c r="Q107" s="5">
        <v>1</v>
      </c>
      <c r="R107" s="5"/>
      <c r="S107" s="5">
        <v>48</v>
      </c>
      <c r="T107" s="5">
        <v>48</v>
      </c>
      <c r="U107" s="5">
        <v>48</v>
      </c>
    </row>
    <row r="108" spans="1:21" x14ac:dyDescent="0.25">
      <c r="A108" s="5" t="s">
        <v>3719</v>
      </c>
      <c r="B108" s="5" t="s">
        <v>6914</v>
      </c>
      <c r="C108" s="5" t="s">
        <v>3548</v>
      </c>
      <c r="D108" s="5" t="s">
        <v>3562</v>
      </c>
      <c r="E108" s="5" t="s">
        <v>3706</v>
      </c>
      <c r="F108" s="5" t="s">
        <v>3564</v>
      </c>
      <c r="G108" s="5"/>
      <c r="H108" s="5"/>
      <c r="I108" s="5" t="s">
        <v>3448</v>
      </c>
      <c r="J108" s="5" t="s">
        <v>3449</v>
      </c>
      <c r="K108" s="5" t="s">
        <v>6901</v>
      </c>
      <c r="L108" s="5">
        <v>17</v>
      </c>
      <c r="M108" s="5">
        <v>1</v>
      </c>
      <c r="N108" s="5" t="s">
        <v>3566</v>
      </c>
      <c r="O108" s="5"/>
      <c r="P108" s="5"/>
      <c r="Q108" s="5">
        <v>1</v>
      </c>
      <c r="R108" s="5"/>
      <c r="S108" s="5">
        <v>21</v>
      </c>
      <c r="T108" s="5">
        <v>21</v>
      </c>
      <c r="U108" s="5">
        <v>21</v>
      </c>
    </row>
    <row r="109" spans="1:21" x14ac:dyDescent="0.25">
      <c r="A109" s="5" t="s">
        <v>3720</v>
      </c>
      <c r="B109" s="5" t="s">
        <v>6915</v>
      </c>
      <c r="C109" s="5" t="s">
        <v>3548</v>
      </c>
      <c r="D109" s="5" t="s">
        <v>3562</v>
      </c>
      <c r="E109" s="5" t="s">
        <v>3706</v>
      </c>
      <c r="F109" s="5" t="s">
        <v>3584</v>
      </c>
      <c r="G109" s="5" t="s">
        <v>3501</v>
      </c>
      <c r="H109" s="5"/>
      <c r="I109" s="5" t="s">
        <v>3448</v>
      </c>
      <c r="J109" s="5" t="s">
        <v>3449</v>
      </c>
      <c r="K109" s="5" t="s">
        <v>6901</v>
      </c>
      <c r="L109" s="5">
        <v>18</v>
      </c>
      <c r="M109" s="5">
        <v>2</v>
      </c>
      <c r="N109" s="5" t="s">
        <v>3585</v>
      </c>
      <c r="O109" s="5" t="s">
        <v>3502</v>
      </c>
      <c r="P109" s="5"/>
      <c r="Q109" s="5">
        <v>1</v>
      </c>
      <c r="R109" s="5"/>
      <c r="S109" s="5">
        <v>38</v>
      </c>
      <c r="T109" s="5">
        <v>38</v>
      </c>
      <c r="U109" s="5">
        <v>38</v>
      </c>
    </row>
    <row r="110" spans="1:21" x14ac:dyDescent="0.25">
      <c r="A110" s="5" t="s">
        <v>3721</v>
      </c>
      <c r="B110" s="5" t="s">
        <v>6916</v>
      </c>
      <c r="C110" s="5" t="s">
        <v>3548</v>
      </c>
      <c r="D110" s="5" t="s">
        <v>3562</v>
      </c>
      <c r="E110" s="5" t="s">
        <v>3706</v>
      </c>
      <c r="F110" s="5" t="s">
        <v>3584</v>
      </c>
      <c r="G110" s="5" t="s">
        <v>3493</v>
      </c>
      <c r="H110" s="5"/>
      <c r="I110" s="5" t="s">
        <v>3448</v>
      </c>
      <c r="J110" s="5" t="s">
        <v>3449</v>
      </c>
      <c r="K110" s="5" t="s">
        <v>6901</v>
      </c>
      <c r="L110" s="5">
        <v>18</v>
      </c>
      <c r="M110" s="5">
        <v>2</v>
      </c>
      <c r="N110" s="5" t="s">
        <v>3585</v>
      </c>
      <c r="O110" s="5" t="s">
        <v>3494</v>
      </c>
      <c r="P110" s="5"/>
      <c r="Q110" s="5">
        <v>1</v>
      </c>
      <c r="R110" s="5"/>
      <c r="S110" s="5">
        <v>38</v>
      </c>
      <c r="T110" s="5">
        <v>38</v>
      </c>
      <c r="U110" s="5">
        <v>38</v>
      </c>
    </row>
    <row r="111" spans="1:21" x14ac:dyDescent="0.25">
      <c r="A111" s="5" t="s">
        <v>3722</v>
      </c>
      <c r="B111" s="5" t="s">
        <v>6917</v>
      </c>
      <c r="C111" s="5" t="s">
        <v>3548</v>
      </c>
      <c r="D111" s="5" t="s">
        <v>3562</v>
      </c>
      <c r="E111" s="5" t="s">
        <v>3706</v>
      </c>
      <c r="F111" s="5" t="s">
        <v>3564</v>
      </c>
      <c r="G111" s="5"/>
      <c r="H111" s="5"/>
      <c r="I111" s="5" t="s">
        <v>3448</v>
      </c>
      <c r="J111" s="5" t="s">
        <v>3449</v>
      </c>
      <c r="K111" s="5" t="s">
        <v>6901</v>
      </c>
      <c r="L111" s="5">
        <v>18</v>
      </c>
      <c r="M111" s="5">
        <v>2</v>
      </c>
      <c r="N111" s="5" t="s">
        <v>3566</v>
      </c>
      <c r="O111" s="5"/>
      <c r="P111" s="5"/>
      <c r="Q111" s="5">
        <v>1</v>
      </c>
      <c r="R111" s="5"/>
      <c r="S111" s="5">
        <v>45</v>
      </c>
      <c r="T111" s="5">
        <v>45</v>
      </c>
      <c r="U111" s="5">
        <v>45</v>
      </c>
    </row>
    <row r="112" spans="1:21" x14ac:dyDescent="0.25">
      <c r="A112" s="5" t="s">
        <v>3723</v>
      </c>
      <c r="B112" s="5" t="s">
        <v>6918</v>
      </c>
      <c r="C112" s="5" t="s">
        <v>3548</v>
      </c>
      <c r="D112" s="5" t="s">
        <v>3562</v>
      </c>
      <c r="E112" s="5" t="s">
        <v>3706</v>
      </c>
      <c r="F112" s="5" t="s">
        <v>3564</v>
      </c>
      <c r="G112" s="5"/>
      <c r="H112" s="5"/>
      <c r="I112" s="5" t="s">
        <v>3448</v>
      </c>
      <c r="J112" s="5" t="s">
        <v>3449</v>
      </c>
      <c r="K112" s="5" t="s">
        <v>6901</v>
      </c>
      <c r="L112" s="5">
        <v>18</v>
      </c>
      <c r="M112" s="5">
        <v>4</v>
      </c>
      <c r="N112" s="5" t="s">
        <v>3566</v>
      </c>
      <c r="O112" s="5"/>
      <c r="P112" s="5"/>
      <c r="Q112" s="5">
        <v>1</v>
      </c>
      <c r="R112" s="5"/>
      <c r="S112" s="5">
        <v>90</v>
      </c>
      <c r="T112" s="5">
        <v>90</v>
      </c>
      <c r="U112" s="5">
        <v>90</v>
      </c>
    </row>
    <row r="113" spans="1:21" x14ac:dyDescent="0.25">
      <c r="A113" s="5" t="s">
        <v>3724</v>
      </c>
      <c r="B113" s="5" t="s">
        <v>6919</v>
      </c>
      <c r="C113" s="5" t="s">
        <v>3548</v>
      </c>
      <c r="D113" s="5" t="s">
        <v>3562</v>
      </c>
      <c r="E113" s="5" t="s">
        <v>3706</v>
      </c>
      <c r="F113" s="5" t="s">
        <v>3584</v>
      </c>
      <c r="G113" s="5" t="s">
        <v>3501</v>
      </c>
      <c r="H113" s="5"/>
      <c r="I113" s="5" t="s">
        <v>3448</v>
      </c>
      <c r="J113" s="5" t="s">
        <v>3449</v>
      </c>
      <c r="K113" s="5" t="s">
        <v>6901</v>
      </c>
      <c r="L113" s="5">
        <v>18</v>
      </c>
      <c r="M113" s="5">
        <v>1</v>
      </c>
      <c r="N113" s="5" t="s">
        <v>3585</v>
      </c>
      <c r="O113" s="5" t="s">
        <v>3502</v>
      </c>
      <c r="P113" s="5"/>
      <c r="Q113" s="5">
        <v>1</v>
      </c>
      <c r="R113" s="5"/>
      <c r="S113" s="5">
        <v>20</v>
      </c>
      <c r="T113" s="5">
        <v>20</v>
      </c>
      <c r="U113" s="5">
        <v>20</v>
      </c>
    </row>
    <row r="114" spans="1:21" x14ac:dyDescent="0.25">
      <c r="A114" s="5" t="s">
        <v>3725</v>
      </c>
      <c r="B114" s="5" t="s">
        <v>6920</v>
      </c>
      <c r="C114" s="5" t="s">
        <v>3548</v>
      </c>
      <c r="D114" s="5" t="s">
        <v>3562</v>
      </c>
      <c r="E114" s="5" t="s">
        <v>3706</v>
      </c>
      <c r="F114" s="5" t="s">
        <v>3584</v>
      </c>
      <c r="G114" s="5" t="s">
        <v>3493</v>
      </c>
      <c r="H114" s="5"/>
      <c r="I114" s="5" t="s">
        <v>3448</v>
      </c>
      <c r="J114" s="5" t="s">
        <v>3449</v>
      </c>
      <c r="K114" s="5" t="s">
        <v>6901</v>
      </c>
      <c r="L114" s="5">
        <v>18</v>
      </c>
      <c r="M114" s="5">
        <v>1</v>
      </c>
      <c r="N114" s="5" t="s">
        <v>3585</v>
      </c>
      <c r="O114" s="5" t="s">
        <v>3494</v>
      </c>
      <c r="P114" s="5"/>
      <c r="Q114" s="5">
        <v>1</v>
      </c>
      <c r="R114" s="5"/>
      <c r="S114" s="5">
        <v>20</v>
      </c>
      <c r="T114" s="5">
        <v>20</v>
      </c>
      <c r="U114" s="5">
        <v>20</v>
      </c>
    </row>
    <row r="115" spans="1:21" x14ac:dyDescent="0.25">
      <c r="A115" s="5" t="s">
        <v>3726</v>
      </c>
      <c r="B115" s="5" t="s">
        <v>6921</v>
      </c>
      <c r="C115" s="5" t="s">
        <v>3548</v>
      </c>
      <c r="D115" s="5" t="s">
        <v>3562</v>
      </c>
      <c r="E115" s="5" t="s">
        <v>3706</v>
      </c>
      <c r="F115" s="5" t="s">
        <v>3564</v>
      </c>
      <c r="G115" s="5"/>
      <c r="H115" s="5"/>
      <c r="I115" s="5" t="s">
        <v>3448</v>
      </c>
      <c r="J115" s="5" t="s">
        <v>3449</v>
      </c>
      <c r="K115" s="5" t="s">
        <v>6901</v>
      </c>
      <c r="L115" s="5">
        <v>18</v>
      </c>
      <c r="M115" s="5">
        <v>1</v>
      </c>
      <c r="N115" s="5" t="s">
        <v>3566</v>
      </c>
      <c r="O115" s="5"/>
      <c r="P115" s="5"/>
      <c r="Q115" s="5">
        <v>1</v>
      </c>
      <c r="R115" s="5"/>
      <c r="S115" s="5">
        <v>26</v>
      </c>
      <c r="T115" s="5">
        <v>26</v>
      </c>
      <c r="U115" s="5">
        <v>26</v>
      </c>
    </row>
    <row r="116" spans="1:21" x14ac:dyDescent="0.25">
      <c r="A116" s="5" t="s">
        <v>3727</v>
      </c>
      <c r="B116" s="5" t="s">
        <v>6922</v>
      </c>
      <c r="C116" s="5" t="s">
        <v>3548</v>
      </c>
      <c r="D116" s="5" t="s">
        <v>3562</v>
      </c>
      <c r="E116" s="5" t="s">
        <v>3706</v>
      </c>
      <c r="F116" s="5" t="s">
        <v>3564</v>
      </c>
      <c r="G116" s="5"/>
      <c r="H116" s="5"/>
      <c r="I116" s="5" t="s">
        <v>3448</v>
      </c>
      <c r="J116" s="5" t="s">
        <v>3449</v>
      </c>
      <c r="K116" s="5" t="s">
        <v>6901</v>
      </c>
      <c r="L116" s="5">
        <v>19</v>
      </c>
      <c r="M116" s="5">
        <v>1</v>
      </c>
      <c r="N116" s="5" t="s">
        <v>3566</v>
      </c>
      <c r="O116" s="5"/>
      <c r="P116" s="5"/>
      <c r="Q116" s="5">
        <v>1</v>
      </c>
      <c r="R116" s="5"/>
      <c r="S116" s="5">
        <v>24</v>
      </c>
      <c r="T116" s="5">
        <v>24</v>
      </c>
      <c r="U116" s="5">
        <v>24</v>
      </c>
    </row>
    <row r="117" spans="1:21" x14ac:dyDescent="0.25">
      <c r="A117" s="5" t="s">
        <v>3728</v>
      </c>
      <c r="B117" s="5" t="s">
        <v>6923</v>
      </c>
      <c r="C117" s="5" t="s">
        <v>3548</v>
      </c>
      <c r="D117" s="5" t="s">
        <v>3562</v>
      </c>
      <c r="E117" s="5" t="s">
        <v>3706</v>
      </c>
      <c r="F117" s="5" t="s">
        <v>3564</v>
      </c>
      <c r="G117" s="5"/>
      <c r="H117" s="5"/>
      <c r="I117" s="5" t="s">
        <v>3448</v>
      </c>
      <c r="J117" s="5" t="s">
        <v>3449</v>
      </c>
      <c r="K117" s="5" t="s">
        <v>6901</v>
      </c>
      <c r="L117" s="5">
        <v>20</v>
      </c>
      <c r="M117" s="5">
        <v>2</v>
      </c>
      <c r="N117" s="5" t="s">
        <v>3566</v>
      </c>
      <c r="O117" s="5"/>
      <c r="P117" s="5"/>
      <c r="Q117" s="5">
        <v>1</v>
      </c>
      <c r="R117" s="5"/>
      <c r="S117" s="5">
        <v>46</v>
      </c>
      <c r="T117" s="5">
        <v>46</v>
      </c>
      <c r="U117" s="5">
        <v>46</v>
      </c>
    </row>
    <row r="118" spans="1:21" x14ac:dyDescent="0.25">
      <c r="A118" s="5" t="s">
        <v>3729</v>
      </c>
      <c r="B118" s="5" t="s">
        <v>6924</v>
      </c>
      <c r="C118" s="5" t="s">
        <v>3548</v>
      </c>
      <c r="D118" s="5" t="s">
        <v>3562</v>
      </c>
      <c r="E118" s="5" t="s">
        <v>3706</v>
      </c>
      <c r="F118" s="5" t="s">
        <v>3564</v>
      </c>
      <c r="G118" s="5"/>
      <c r="H118" s="5"/>
      <c r="I118" s="5" t="s">
        <v>3448</v>
      </c>
      <c r="J118" s="5" t="s">
        <v>3449</v>
      </c>
      <c r="K118" s="5" t="s">
        <v>6901</v>
      </c>
      <c r="L118" s="5">
        <v>20</v>
      </c>
      <c r="M118" s="5">
        <v>1</v>
      </c>
      <c r="N118" s="5" t="s">
        <v>3566</v>
      </c>
      <c r="O118" s="5"/>
      <c r="P118" s="5"/>
      <c r="Q118" s="5">
        <v>1</v>
      </c>
      <c r="R118" s="5"/>
      <c r="S118" s="5">
        <v>25</v>
      </c>
      <c r="T118" s="5">
        <v>25</v>
      </c>
      <c r="U118" s="5">
        <v>25</v>
      </c>
    </row>
    <row r="119" spans="1:21" x14ac:dyDescent="0.25">
      <c r="A119" s="5" t="s">
        <v>3730</v>
      </c>
      <c r="B119" s="5" t="s">
        <v>6925</v>
      </c>
      <c r="C119" s="5" t="s">
        <v>3548</v>
      </c>
      <c r="D119" s="5" t="s">
        <v>3562</v>
      </c>
      <c r="E119" s="5" t="s">
        <v>3706</v>
      </c>
      <c r="F119" s="5" t="s">
        <v>3564</v>
      </c>
      <c r="G119" s="5"/>
      <c r="H119" s="5"/>
      <c r="I119" s="5" t="s">
        <v>3448</v>
      </c>
      <c r="J119" s="5" t="s">
        <v>3449</v>
      </c>
      <c r="K119" s="5" t="s">
        <v>6901</v>
      </c>
      <c r="L119" s="5">
        <v>21</v>
      </c>
      <c r="M119" s="5">
        <v>1</v>
      </c>
      <c r="N119" s="5" t="s">
        <v>3566</v>
      </c>
      <c r="O119" s="5"/>
      <c r="P119" s="5"/>
      <c r="Q119" s="5">
        <v>1</v>
      </c>
      <c r="R119" s="5"/>
      <c r="S119" s="5">
        <v>26</v>
      </c>
      <c r="T119" s="5">
        <v>26</v>
      </c>
      <c r="U119" s="5">
        <v>26</v>
      </c>
    </row>
    <row r="120" spans="1:21" x14ac:dyDescent="0.25">
      <c r="A120" s="5" t="s">
        <v>3731</v>
      </c>
      <c r="B120" s="5" t="s">
        <v>6926</v>
      </c>
      <c r="C120" s="5" t="s">
        <v>3548</v>
      </c>
      <c r="D120" s="5" t="s">
        <v>3562</v>
      </c>
      <c r="E120" s="5" t="s">
        <v>3706</v>
      </c>
      <c r="F120" s="5" t="s">
        <v>3564</v>
      </c>
      <c r="G120" s="5"/>
      <c r="H120" s="5"/>
      <c r="I120" s="5" t="s">
        <v>3448</v>
      </c>
      <c r="J120" s="5" t="s">
        <v>3449</v>
      </c>
      <c r="K120" s="5" t="s">
        <v>6901</v>
      </c>
      <c r="L120" s="5">
        <v>22</v>
      </c>
      <c r="M120" s="5">
        <v>2</v>
      </c>
      <c r="N120" s="5" t="s">
        <v>3566</v>
      </c>
      <c r="O120" s="5"/>
      <c r="P120" s="5"/>
      <c r="Q120" s="5">
        <v>1</v>
      </c>
      <c r="R120" s="5"/>
      <c r="S120" s="5">
        <v>48</v>
      </c>
      <c r="T120" s="5">
        <v>48</v>
      </c>
      <c r="U120" s="5">
        <v>48</v>
      </c>
    </row>
    <row r="121" spans="1:21" x14ac:dyDescent="0.25">
      <c r="A121" s="5" t="s">
        <v>3732</v>
      </c>
      <c r="B121" s="5" t="s">
        <v>6927</v>
      </c>
      <c r="C121" s="5" t="s">
        <v>3548</v>
      </c>
      <c r="D121" s="5" t="s">
        <v>3562</v>
      </c>
      <c r="E121" s="5" t="s">
        <v>3706</v>
      </c>
      <c r="F121" s="5" t="s">
        <v>3564</v>
      </c>
      <c r="G121" s="5"/>
      <c r="H121" s="5"/>
      <c r="I121" s="5" t="s">
        <v>3448</v>
      </c>
      <c r="J121" s="5" t="s">
        <v>3449</v>
      </c>
      <c r="K121" s="5" t="s">
        <v>6901</v>
      </c>
      <c r="L121" s="5">
        <v>22</v>
      </c>
      <c r="M121" s="5">
        <v>3</v>
      </c>
      <c r="N121" s="5" t="s">
        <v>3566</v>
      </c>
      <c r="O121" s="5"/>
      <c r="P121" s="5"/>
      <c r="Q121" s="5">
        <v>1</v>
      </c>
      <c r="R121" s="5"/>
      <c r="S121" s="5">
        <v>72</v>
      </c>
      <c r="T121" s="5">
        <v>72</v>
      </c>
      <c r="U121" s="5">
        <v>72</v>
      </c>
    </row>
    <row r="122" spans="1:21" x14ac:dyDescent="0.25">
      <c r="A122" s="5" t="s">
        <v>3733</v>
      </c>
      <c r="B122" s="5" t="s">
        <v>6928</v>
      </c>
      <c r="C122" s="5" t="s">
        <v>3548</v>
      </c>
      <c r="D122" s="5" t="s">
        <v>3562</v>
      </c>
      <c r="E122" s="5" t="s">
        <v>3706</v>
      </c>
      <c r="F122" s="5" t="s">
        <v>3564</v>
      </c>
      <c r="G122" s="5"/>
      <c r="H122" s="5"/>
      <c r="I122" s="5" t="s">
        <v>3448</v>
      </c>
      <c r="J122" s="5" t="s">
        <v>3449</v>
      </c>
      <c r="K122" s="5" t="s">
        <v>6901</v>
      </c>
      <c r="L122" s="5">
        <v>22</v>
      </c>
      <c r="M122" s="5">
        <v>4</v>
      </c>
      <c r="N122" s="5" t="s">
        <v>3566</v>
      </c>
      <c r="O122" s="5"/>
      <c r="P122" s="5"/>
      <c r="Q122" s="5">
        <v>1</v>
      </c>
      <c r="R122" s="5"/>
      <c r="S122" s="5">
        <v>108</v>
      </c>
      <c r="T122" s="5">
        <v>108</v>
      </c>
      <c r="U122" s="5">
        <v>108</v>
      </c>
    </row>
    <row r="123" spans="1:21" x14ac:dyDescent="0.25">
      <c r="A123" s="5" t="s">
        <v>3734</v>
      </c>
      <c r="B123" s="5" t="s">
        <v>6929</v>
      </c>
      <c r="C123" s="5" t="s">
        <v>3548</v>
      </c>
      <c r="D123" s="5" t="s">
        <v>3562</v>
      </c>
      <c r="E123" s="5" t="s">
        <v>3706</v>
      </c>
      <c r="F123" s="5" t="s">
        <v>3564</v>
      </c>
      <c r="G123" s="5"/>
      <c r="H123" s="5"/>
      <c r="I123" s="5" t="s">
        <v>3448</v>
      </c>
      <c r="J123" s="5" t="s">
        <v>3449</v>
      </c>
      <c r="K123" s="5" t="s">
        <v>6901</v>
      </c>
      <c r="L123" s="5">
        <v>22</v>
      </c>
      <c r="M123" s="5">
        <v>1</v>
      </c>
      <c r="N123" s="5" t="s">
        <v>3566</v>
      </c>
      <c r="O123" s="5"/>
      <c r="P123" s="5"/>
      <c r="Q123" s="5">
        <v>1</v>
      </c>
      <c r="R123" s="5"/>
      <c r="S123" s="5">
        <v>26</v>
      </c>
      <c r="T123" s="5">
        <v>26</v>
      </c>
      <c r="U123" s="5">
        <v>26</v>
      </c>
    </row>
    <row r="124" spans="1:21" x14ac:dyDescent="0.25">
      <c r="A124" s="5" t="s">
        <v>3735</v>
      </c>
      <c r="B124" s="5" t="s">
        <v>6930</v>
      </c>
      <c r="C124" s="5" t="s">
        <v>3548</v>
      </c>
      <c r="D124" s="5" t="s">
        <v>3562</v>
      </c>
      <c r="E124" s="5" t="s">
        <v>3706</v>
      </c>
      <c r="F124" s="5" t="s">
        <v>3564</v>
      </c>
      <c r="G124" s="5"/>
      <c r="H124" s="5"/>
      <c r="I124" s="5" t="s">
        <v>3448</v>
      </c>
      <c r="J124" s="5" t="s">
        <v>3449</v>
      </c>
      <c r="K124" s="5" t="s">
        <v>6901</v>
      </c>
      <c r="L124" s="5">
        <v>23</v>
      </c>
      <c r="M124" s="5">
        <v>1</v>
      </c>
      <c r="N124" s="5" t="s">
        <v>3566</v>
      </c>
      <c r="O124" s="5"/>
      <c r="P124" s="5"/>
      <c r="Q124" s="5">
        <v>1</v>
      </c>
      <c r="R124" s="5"/>
      <c r="S124" s="5">
        <v>27</v>
      </c>
      <c r="T124" s="5">
        <v>27</v>
      </c>
      <c r="U124" s="5">
        <v>27</v>
      </c>
    </row>
    <row r="125" spans="1:21" x14ac:dyDescent="0.25">
      <c r="A125" s="5" t="s">
        <v>3736</v>
      </c>
      <c r="B125" s="5" t="s">
        <v>6931</v>
      </c>
      <c r="C125" s="5" t="s">
        <v>3548</v>
      </c>
      <c r="D125" s="5" t="s">
        <v>3562</v>
      </c>
      <c r="E125" s="5" t="s">
        <v>3706</v>
      </c>
      <c r="F125" s="5" t="s">
        <v>3564</v>
      </c>
      <c r="G125" s="5"/>
      <c r="H125" s="5"/>
      <c r="I125" s="5" t="s">
        <v>3448</v>
      </c>
      <c r="J125" s="5" t="s">
        <v>3449</v>
      </c>
      <c r="K125" s="5" t="s">
        <v>6901</v>
      </c>
      <c r="L125" s="5">
        <v>24</v>
      </c>
      <c r="M125" s="5">
        <v>1</v>
      </c>
      <c r="N125" s="5" t="s">
        <v>3566</v>
      </c>
      <c r="O125" s="5"/>
      <c r="P125" s="5"/>
      <c r="Q125" s="5">
        <v>1</v>
      </c>
      <c r="R125" s="5"/>
      <c r="S125" s="5">
        <v>32</v>
      </c>
      <c r="T125" s="5">
        <v>32</v>
      </c>
      <c r="U125" s="5">
        <v>32</v>
      </c>
    </row>
    <row r="126" spans="1:21" x14ac:dyDescent="0.25">
      <c r="A126" s="5" t="s">
        <v>3737</v>
      </c>
      <c r="B126" s="5" t="s">
        <v>6932</v>
      </c>
      <c r="C126" s="5" t="s">
        <v>3548</v>
      </c>
      <c r="D126" s="5" t="s">
        <v>3562</v>
      </c>
      <c r="E126" s="5" t="s">
        <v>3706</v>
      </c>
      <c r="F126" s="5" t="s">
        <v>3564</v>
      </c>
      <c r="G126" s="5"/>
      <c r="H126" s="5"/>
      <c r="I126" s="5" t="s">
        <v>3448</v>
      </c>
      <c r="J126" s="5" t="s">
        <v>3449</v>
      </c>
      <c r="K126" s="5" t="s">
        <v>6901</v>
      </c>
      <c r="L126" s="5">
        <v>25</v>
      </c>
      <c r="M126" s="5">
        <v>2</v>
      </c>
      <c r="N126" s="5" t="s">
        <v>3566</v>
      </c>
      <c r="O126" s="5"/>
      <c r="P126" s="5"/>
      <c r="Q126" s="5">
        <v>1</v>
      </c>
      <c r="R126" s="5"/>
      <c r="S126" s="5">
        <v>66</v>
      </c>
      <c r="T126" s="5">
        <v>66</v>
      </c>
      <c r="U126" s="5">
        <v>66</v>
      </c>
    </row>
    <row r="127" spans="1:21" x14ac:dyDescent="0.25">
      <c r="A127" s="5" t="s">
        <v>3738</v>
      </c>
      <c r="B127" s="5" t="s">
        <v>6933</v>
      </c>
      <c r="C127" s="5" t="s">
        <v>3548</v>
      </c>
      <c r="D127" s="5" t="s">
        <v>3562</v>
      </c>
      <c r="E127" s="5" t="s">
        <v>3706</v>
      </c>
      <c r="F127" s="5" t="s">
        <v>3564</v>
      </c>
      <c r="G127" s="5"/>
      <c r="H127" s="5"/>
      <c r="I127" s="5" t="s">
        <v>3448</v>
      </c>
      <c r="J127" s="5" t="s">
        <v>3449</v>
      </c>
      <c r="K127" s="5" t="s">
        <v>6901</v>
      </c>
      <c r="L127" s="5">
        <v>25</v>
      </c>
      <c r="M127" s="5">
        <v>1</v>
      </c>
      <c r="N127" s="5" t="s">
        <v>3566</v>
      </c>
      <c r="O127" s="5"/>
      <c r="P127" s="5"/>
      <c r="Q127" s="5">
        <v>1</v>
      </c>
      <c r="R127" s="5"/>
      <c r="S127" s="5">
        <v>29</v>
      </c>
      <c r="T127" s="5">
        <v>29</v>
      </c>
      <c r="U127" s="5">
        <v>29</v>
      </c>
    </row>
    <row r="128" spans="1:21" x14ac:dyDescent="0.25">
      <c r="A128" s="5" t="s">
        <v>3739</v>
      </c>
      <c r="B128" s="5" t="s">
        <v>6934</v>
      </c>
      <c r="C128" s="5" t="s">
        <v>3548</v>
      </c>
      <c r="D128" s="5" t="s">
        <v>3562</v>
      </c>
      <c r="E128" s="5" t="s">
        <v>3706</v>
      </c>
      <c r="F128" s="5" t="s">
        <v>3584</v>
      </c>
      <c r="G128" s="5" t="s">
        <v>3501</v>
      </c>
      <c r="H128" s="5"/>
      <c r="I128" s="5" t="s">
        <v>3448</v>
      </c>
      <c r="J128" s="5" t="s">
        <v>3449</v>
      </c>
      <c r="K128" s="5" t="s">
        <v>6901</v>
      </c>
      <c r="L128" s="5">
        <v>26</v>
      </c>
      <c r="M128" s="5">
        <v>2</v>
      </c>
      <c r="N128" s="5" t="s">
        <v>3585</v>
      </c>
      <c r="O128" s="5" t="s">
        <v>3502</v>
      </c>
      <c r="P128" s="5"/>
      <c r="Q128" s="5">
        <v>1</v>
      </c>
      <c r="R128" s="5"/>
      <c r="S128" s="5">
        <v>50</v>
      </c>
      <c r="T128" s="5">
        <v>50</v>
      </c>
      <c r="U128" s="5">
        <v>50</v>
      </c>
    </row>
    <row r="129" spans="1:21" x14ac:dyDescent="0.25">
      <c r="A129" s="5" t="s">
        <v>3740</v>
      </c>
      <c r="B129" s="5" t="s">
        <v>6935</v>
      </c>
      <c r="C129" s="5" t="s">
        <v>3548</v>
      </c>
      <c r="D129" s="5" t="s">
        <v>3562</v>
      </c>
      <c r="E129" s="5" t="s">
        <v>3706</v>
      </c>
      <c r="F129" s="5" t="s">
        <v>3584</v>
      </c>
      <c r="G129" s="5" t="s">
        <v>3493</v>
      </c>
      <c r="H129" s="5"/>
      <c r="I129" s="5" t="s">
        <v>3448</v>
      </c>
      <c r="J129" s="5" t="s">
        <v>3449</v>
      </c>
      <c r="K129" s="5" t="s">
        <v>6901</v>
      </c>
      <c r="L129" s="5">
        <v>26</v>
      </c>
      <c r="M129" s="5">
        <v>2</v>
      </c>
      <c r="N129" s="5" t="s">
        <v>3585</v>
      </c>
      <c r="O129" s="5" t="s">
        <v>3494</v>
      </c>
      <c r="P129" s="5"/>
      <c r="Q129" s="5">
        <v>1</v>
      </c>
      <c r="R129" s="5"/>
      <c r="S129" s="5">
        <v>54</v>
      </c>
      <c r="T129" s="5">
        <v>54</v>
      </c>
      <c r="U129" s="5">
        <v>54</v>
      </c>
    </row>
    <row r="130" spans="1:21" x14ac:dyDescent="0.25">
      <c r="A130" s="5" t="s">
        <v>3741</v>
      </c>
      <c r="B130" s="5" t="s">
        <v>6936</v>
      </c>
      <c r="C130" s="5" t="s">
        <v>3548</v>
      </c>
      <c r="D130" s="5" t="s">
        <v>3562</v>
      </c>
      <c r="E130" s="5" t="s">
        <v>3706</v>
      </c>
      <c r="F130" s="5" t="s">
        <v>3564</v>
      </c>
      <c r="G130" s="5"/>
      <c r="H130" s="5"/>
      <c r="I130" s="5" t="s">
        <v>3448</v>
      </c>
      <c r="J130" s="5" t="s">
        <v>3449</v>
      </c>
      <c r="K130" s="5" t="s">
        <v>6901</v>
      </c>
      <c r="L130" s="5">
        <v>26</v>
      </c>
      <c r="M130" s="5">
        <v>2</v>
      </c>
      <c r="N130" s="5" t="s">
        <v>3566</v>
      </c>
      <c r="O130" s="5"/>
      <c r="P130" s="5"/>
      <c r="Q130" s="5">
        <v>1</v>
      </c>
      <c r="R130" s="5"/>
      <c r="S130" s="5">
        <v>66</v>
      </c>
      <c r="T130" s="5">
        <v>66</v>
      </c>
      <c r="U130" s="5">
        <v>66</v>
      </c>
    </row>
    <row r="131" spans="1:21" x14ac:dyDescent="0.25">
      <c r="A131" s="5" t="s">
        <v>3742</v>
      </c>
      <c r="B131" s="5" t="s">
        <v>6937</v>
      </c>
      <c r="C131" s="5" t="s">
        <v>3548</v>
      </c>
      <c r="D131" s="5" t="s">
        <v>3562</v>
      </c>
      <c r="E131" s="5" t="s">
        <v>3706</v>
      </c>
      <c r="F131" s="5" t="s">
        <v>3564</v>
      </c>
      <c r="G131" s="5"/>
      <c r="H131" s="5"/>
      <c r="I131" s="5" t="s">
        <v>3448</v>
      </c>
      <c r="J131" s="5" t="s">
        <v>3449</v>
      </c>
      <c r="K131" s="5" t="s">
        <v>6901</v>
      </c>
      <c r="L131" s="5">
        <v>26</v>
      </c>
      <c r="M131" s="5">
        <v>3</v>
      </c>
      <c r="N131" s="5" t="s">
        <v>3566</v>
      </c>
      <c r="O131" s="5"/>
      <c r="P131" s="5"/>
      <c r="Q131" s="5">
        <v>1</v>
      </c>
      <c r="R131" s="5"/>
      <c r="S131" s="5">
        <v>99</v>
      </c>
      <c r="T131" s="5">
        <v>99</v>
      </c>
      <c r="U131" s="5">
        <v>99</v>
      </c>
    </row>
    <row r="132" spans="1:21" x14ac:dyDescent="0.25">
      <c r="A132" s="5" t="s">
        <v>3743</v>
      </c>
      <c r="B132" s="5" t="s">
        <v>6938</v>
      </c>
      <c r="C132" s="5" t="s">
        <v>3548</v>
      </c>
      <c r="D132" s="5" t="s">
        <v>3562</v>
      </c>
      <c r="E132" s="5" t="s">
        <v>3706</v>
      </c>
      <c r="F132" s="5" t="s">
        <v>3584</v>
      </c>
      <c r="G132" s="5" t="s">
        <v>3501</v>
      </c>
      <c r="H132" s="5"/>
      <c r="I132" s="5" t="s">
        <v>3448</v>
      </c>
      <c r="J132" s="5" t="s">
        <v>3449</v>
      </c>
      <c r="K132" s="5" t="s">
        <v>6901</v>
      </c>
      <c r="L132" s="5">
        <v>26</v>
      </c>
      <c r="M132" s="5">
        <v>6</v>
      </c>
      <c r="N132" s="5" t="s">
        <v>3585</v>
      </c>
      <c r="O132" s="5" t="s">
        <v>3502</v>
      </c>
      <c r="P132" s="5"/>
      <c r="Q132" s="5">
        <v>1</v>
      </c>
      <c r="R132" s="5"/>
      <c r="S132" s="5">
        <v>150</v>
      </c>
      <c r="T132" s="5">
        <v>150</v>
      </c>
      <c r="U132" s="5">
        <v>150</v>
      </c>
    </row>
    <row r="133" spans="1:21" x14ac:dyDescent="0.25">
      <c r="A133" s="5" t="s">
        <v>3744</v>
      </c>
      <c r="B133" s="5" t="s">
        <v>6939</v>
      </c>
      <c r="C133" s="5" t="s">
        <v>3548</v>
      </c>
      <c r="D133" s="5" t="s">
        <v>3562</v>
      </c>
      <c r="E133" s="5" t="s">
        <v>3706</v>
      </c>
      <c r="F133" s="5" t="s">
        <v>3584</v>
      </c>
      <c r="G133" s="5" t="s">
        <v>3501</v>
      </c>
      <c r="H133" s="5"/>
      <c r="I133" s="5" t="s">
        <v>3448</v>
      </c>
      <c r="J133" s="5" t="s">
        <v>3449</v>
      </c>
      <c r="K133" s="5" t="s">
        <v>6901</v>
      </c>
      <c r="L133" s="5">
        <v>26</v>
      </c>
      <c r="M133" s="5">
        <v>1</v>
      </c>
      <c r="N133" s="5" t="s">
        <v>3585</v>
      </c>
      <c r="O133" s="5" t="s">
        <v>3502</v>
      </c>
      <c r="P133" s="5"/>
      <c r="Q133" s="5">
        <v>1</v>
      </c>
      <c r="R133" s="5"/>
      <c r="S133" s="5">
        <v>27</v>
      </c>
      <c r="T133" s="5">
        <v>27</v>
      </c>
      <c r="U133" s="5">
        <v>27</v>
      </c>
    </row>
    <row r="134" spans="1:21" x14ac:dyDescent="0.25">
      <c r="A134" s="5" t="s">
        <v>3745</v>
      </c>
      <c r="B134" s="5" t="s">
        <v>6940</v>
      </c>
      <c r="C134" s="5" t="s">
        <v>3548</v>
      </c>
      <c r="D134" s="5" t="s">
        <v>3562</v>
      </c>
      <c r="E134" s="5" t="s">
        <v>3706</v>
      </c>
      <c r="F134" s="5" t="s">
        <v>3584</v>
      </c>
      <c r="G134" s="5" t="s">
        <v>3493</v>
      </c>
      <c r="H134" s="5"/>
      <c r="I134" s="5" t="s">
        <v>3448</v>
      </c>
      <c r="J134" s="5" t="s">
        <v>3449</v>
      </c>
      <c r="K134" s="5" t="s">
        <v>6901</v>
      </c>
      <c r="L134" s="5">
        <v>26</v>
      </c>
      <c r="M134" s="5">
        <v>1</v>
      </c>
      <c r="N134" s="5" t="s">
        <v>3585</v>
      </c>
      <c r="O134" s="5" t="s">
        <v>3494</v>
      </c>
      <c r="P134" s="5"/>
      <c r="Q134" s="5">
        <v>1</v>
      </c>
      <c r="R134" s="5"/>
      <c r="S134" s="5">
        <v>28</v>
      </c>
      <c r="T134" s="5">
        <v>28</v>
      </c>
      <c r="U134" s="5">
        <v>28</v>
      </c>
    </row>
    <row r="135" spans="1:21" x14ac:dyDescent="0.25">
      <c r="A135" s="5" t="s">
        <v>3746</v>
      </c>
      <c r="B135" s="5" t="s">
        <v>6941</v>
      </c>
      <c r="C135" s="5" t="s">
        <v>3548</v>
      </c>
      <c r="D135" s="5" t="s">
        <v>3562</v>
      </c>
      <c r="E135" s="5" t="s">
        <v>3706</v>
      </c>
      <c r="F135" s="5" t="s">
        <v>3564</v>
      </c>
      <c r="G135" s="5"/>
      <c r="H135" s="5"/>
      <c r="I135" s="5" t="s">
        <v>3448</v>
      </c>
      <c r="J135" s="5" t="s">
        <v>3449</v>
      </c>
      <c r="K135" s="5" t="s">
        <v>6901</v>
      </c>
      <c r="L135" s="5">
        <v>26</v>
      </c>
      <c r="M135" s="5">
        <v>1</v>
      </c>
      <c r="N135" s="5" t="s">
        <v>3566</v>
      </c>
      <c r="O135" s="5"/>
      <c r="P135" s="5"/>
      <c r="Q135" s="5">
        <v>1</v>
      </c>
      <c r="R135" s="5"/>
      <c r="S135" s="5">
        <v>30</v>
      </c>
      <c r="T135" s="5">
        <v>30</v>
      </c>
      <c r="U135" s="5">
        <v>30</v>
      </c>
    </row>
    <row r="136" spans="1:21" x14ac:dyDescent="0.25">
      <c r="A136" s="5" t="s">
        <v>3747</v>
      </c>
      <c r="B136" s="5" t="s">
        <v>6942</v>
      </c>
      <c r="C136" s="5" t="s">
        <v>3548</v>
      </c>
      <c r="D136" s="5" t="s">
        <v>3562</v>
      </c>
      <c r="E136" s="5" t="s">
        <v>3706</v>
      </c>
      <c r="F136" s="5" t="s">
        <v>3564</v>
      </c>
      <c r="G136" s="5"/>
      <c r="H136" s="5"/>
      <c r="I136" s="5" t="s">
        <v>3448</v>
      </c>
      <c r="J136" s="5" t="s">
        <v>3449</v>
      </c>
      <c r="K136" s="5" t="s">
        <v>6901</v>
      </c>
      <c r="L136" s="5">
        <v>27</v>
      </c>
      <c r="M136" s="5">
        <v>1</v>
      </c>
      <c r="N136" s="5" t="s">
        <v>3566</v>
      </c>
      <c r="O136" s="5"/>
      <c r="P136" s="5"/>
      <c r="Q136" s="5">
        <v>1</v>
      </c>
      <c r="R136" s="5"/>
      <c r="S136" s="5">
        <v>31</v>
      </c>
      <c r="T136" s="5">
        <v>31</v>
      </c>
      <c r="U136" s="5">
        <v>31</v>
      </c>
    </row>
    <row r="137" spans="1:21" x14ac:dyDescent="0.25">
      <c r="A137" s="5" t="s">
        <v>3748</v>
      </c>
      <c r="B137" s="5" t="s">
        <v>6943</v>
      </c>
      <c r="C137" s="5" t="s">
        <v>3548</v>
      </c>
      <c r="D137" s="5" t="s">
        <v>3562</v>
      </c>
      <c r="E137" s="5" t="s">
        <v>3706</v>
      </c>
      <c r="F137" s="5" t="s">
        <v>3584</v>
      </c>
      <c r="G137" s="5" t="s">
        <v>3493</v>
      </c>
      <c r="H137" s="5"/>
      <c r="I137" s="5" t="s">
        <v>3448</v>
      </c>
      <c r="J137" s="5" t="s">
        <v>3449</v>
      </c>
      <c r="K137" s="5" t="s">
        <v>6901</v>
      </c>
      <c r="L137" s="5">
        <v>28</v>
      </c>
      <c r="M137" s="5">
        <v>2</v>
      </c>
      <c r="N137" s="5" t="s">
        <v>3585</v>
      </c>
      <c r="O137" s="5" t="s">
        <v>3494</v>
      </c>
      <c r="P137" s="5"/>
      <c r="Q137" s="5">
        <v>1</v>
      </c>
      <c r="R137" s="5"/>
      <c r="S137" s="5">
        <v>60</v>
      </c>
      <c r="T137" s="5">
        <v>60</v>
      </c>
      <c r="U137" s="5">
        <v>60</v>
      </c>
    </row>
    <row r="138" spans="1:21" x14ac:dyDescent="0.25">
      <c r="A138" s="5" t="s">
        <v>3749</v>
      </c>
      <c r="B138" s="5" t="s">
        <v>6944</v>
      </c>
      <c r="C138" s="5" t="s">
        <v>3548</v>
      </c>
      <c r="D138" s="5" t="s">
        <v>3562</v>
      </c>
      <c r="E138" s="5" t="s">
        <v>3706</v>
      </c>
      <c r="F138" s="5" t="s">
        <v>3564</v>
      </c>
      <c r="G138" s="5"/>
      <c r="H138" s="5"/>
      <c r="I138" s="5" t="s">
        <v>3448</v>
      </c>
      <c r="J138" s="5" t="s">
        <v>3449</v>
      </c>
      <c r="K138" s="5" t="s">
        <v>6901</v>
      </c>
      <c r="L138" s="5">
        <v>28</v>
      </c>
      <c r="M138" s="5">
        <v>2</v>
      </c>
      <c r="N138" s="5" t="s">
        <v>3566</v>
      </c>
      <c r="O138" s="5"/>
      <c r="P138" s="5"/>
      <c r="Q138" s="5">
        <v>1</v>
      </c>
      <c r="R138" s="5"/>
      <c r="S138" s="5">
        <v>66</v>
      </c>
      <c r="T138" s="5">
        <v>66</v>
      </c>
      <c r="U138" s="5">
        <v>66</v>
      </c>
    </row>
    <row r="139" spans="1:21" x14ac:dyDescent="0.25">
      <c r="A139" s="5" t="s">
        <v>3750</v>
      </c>
      <c r="B139" s="5" t="s">
        <v>6945</v>
      </c>
      <c r="C139" s="5" t="s">
        <v>3548</v>
      </c>
      <c r="D139" s="5" t="s">
        <v>3562</v>
      </c>
      <c r="E139" s="5" t="s">
        <v>3706</v>
      </c>
      <c r="F139" s="5" t="s">
        <v>3584</v>
      </c>
      <c r="G139" s="5" t="s">
        <v>3493</v>
      </c>
      <c r="H139" s="5"/>
      <c r="I139" s="5" t="s">
        <v>3448</v>
      </c>
      <c r="J139" s="5" t="s">
        <v>3449</v>
      </c>
      <c r="K139" s="5" t="s">
        <v>6901</v>
      </c>
      <c r="L139" s="5">
        <v>28</v>
      </c>
      <c r="M139" s="5">
        <v>1</v>
      </c>
      <c r="N139" s="5" t="s">
        <v>3585</v>
      </c>
      <c r="O139" s="5" t="s">
        <v>3494</v>
      </c>
      <c r="P139" s="5"/>
      <c r="Q139" s="5">
        <v>1</v>
      </c>
      <c r="R139" s="5"/>
      <c r="S139" s="5">
        <v>31</v>
      </c>
      <c r="T139" s="5">
        <v>31</v>
      </c>
      <c r="U139" s="5">
        <v>31</v>
      </c>
    </row>
    <row r="140" spans="1:21" x14ac:dyDescent="0.25">
      <c r="A140" s="5" t="s">
        <v>3751</v>
      </c>
      <c r="B140" s="5" t="s">
        <v>6946</v>
      </c>
      <c r="C140" s="5" t="s">
        <v>3548</v>
      </c>
      <c r="D140" s="5" t="s">
        <v>3562</v>
      </c>
      <c r="E140" s="5" t="s">
        <v>3706</v>
      </c>
      <c r="F140" s="5" t="s">
        <v>3564</v>
      </c>
      <c r="G140" s="5"/>
      <c r="H140" s="5"/>
      <c r="I140" s="5" t="s">
        <v>3448</v>
      </c>
      <c r="J140" s="5" t="s">
        <v>3449</v>
      </c>
      <c r="K140" s="5" t="s">
        <v>6901</v>
      </c>
      <c r="L140" s="5">
        <v>28</v>
      </c>
      <c r="M140" s="5">
        <v>1</v>
      </c>
      <c r="N140" s="5" t="s">
        <v>3566</v>
      </c>
      <c r="O140" s="5"/>
      <c r="P140" s="5"/>
      <c r="Q140" s="5">
        <v>1</v>
      </c>
      <c r="R140" s="5"/>
      <c r="S140" s="5">
        <v>35</v>
      </c>
      <c r="T140" s="5">
        <v>35</v>
      </c>
      <c r="U140" s="5">
        <v>35</v>
      </c>
    </row>
    <row r="141" spans="1:21" x14ac:dyDescent="0.25">
      <c r="A141" s="5" t="s">
        <v>3752</v>
      </c>
      <c r="B141" s="5" t="s">
        <v>6947</v>
      </c>
      <c r="C141" s="5" t="s">
        <v>3548</v>
      </c>
      <c r="D141" s="5" t="s">
        <v>3562</v>
      </c>
      <c r="E141" s="5" t="s">
        <v>3706</v>
      </c>
      <c r="F141" s="5" t="s">
        <v>3564</v>
      </c>
      <c r="G141" s="5"/>
      <c r="H141" s="5"/>
      <c r="I141" s="5" t="s">
        <v>3448</v>
      </c>
      <c r="J141" s="5" t="s">
        <v>3449</v>
      </c>
      <c r="K141" s="5" t="s">
        <v>6901</v>
      </c>
      <c r="L141" s="5">
        <v>2</v>
      </c>
      <c r="M141" s="5">
        <v>1</v>
      </c>
      <c r="N141" s="5" t="s">
        <v>3566</v>
      </c>
      <c r="O141" s="5"/>
      <c r="P141" s="5"/>
      <c r="Q141" s="5">
        <v>1</v>
      </c>
      <c r="R141" s="5"/>
      <c r="S141" s="5">
        <v>6</v>
      </c>
      <c r="T141" s="5">
        <v>6</v>
      </c>
      <c r="U141" s="5">
        <v>6</v>
      </c>
    </row>
    <row r="142" spans="1:21" x14ac:dyDescent="0.25">
      <c r="A142" s="5" t="s">
        <v>3753</v>
      </c>
      <c r="B142" s="5" t="s">
        <v>6948</v>
      </c>
      <c r="C142" s="5" t="s">
        <v>3548</v>
      </c>
      <c r="D142" s="5" t="s">
        <v>3562</v>
      </c>
      <c r="E142" s="5" t="s">
        <v>3706</v>
      </c>
      <c r="F142" s="5" t="s">
        <v>3564</v>
      </c>
      <c r="G142" s="5"/>
      <c r="H142" s="5"/>
      <c r="I142" s="5" t="s">
        <v>3448</v>
      </c>
      <c r="J142" s="5" t="s">
        <v>3449</v>
      </c>
      <c r="K142" s="5" t="s">
        <v>6901</v>
      </c>
      <c r="L142" s="5">
        <v>30</v>
      </c>
      <c r="M142" s="5">
        <v>1</v>
      </c>
      <c r="N142" s="5" t="s">
        <v>3566</v>
      </c>
      <c r="O142" s="5"/>
      <c r="P142" s="5"/>
      <c r="Q142" s="5">
        <v>1</v>
      </c>
      <c r="R142" s="5"/>
      <c r="S142" s="5">
        <v>34</v>
      </c>
      <c r="T142" s="5">
        <v>34</v>
      </c>
      <c r="U142" s="5">
        <v>34</v>
      </c>
    </row>
    <row r="143" spans="1:21" x14ac:dyDescent="0.25">
      <c r="A143" s="5" t="s">
        <v>3754</v>
      </c>
      <c r="B143" s="5" t="s">
        <v>6949</v>
      </c>
      <c r="C143" s="5" t="s">
        <v>3548</v>
      </c>
      <c r="D143" s="5" t="s">
        <v>3562</v>
      </c>
      <c r="E143" s="5" t="s">
        <v>3706</v>
      </c>
      <c r="F143" s="5" t="s">
        <v>3584</v>
      </c>
      <c r="G143" s="5" t="s">
        <v>3493</v>
      </c>
      <c r="H143" s="5"/>
      <c r="I143" s="5" t="s">
        <v>3448</v>
      </c>
      <c r="J143" s="5" t="s">
        <v>3449</v>
      </c>
      <c r="K143" s="5" t="s">
        <v>6901</v>
      </c>
      <c r="L143" s="5">
        <v>32</v>
      </c>
      <c r="M143" s="5">
        <v>2</v>
      </c>
      <c r="N143" s="5" t="s">
        <v>3585</v>
      </c>
      <c r="O143" s="5" t="s">
        <v>3494</v>
      </c>
      <c r="P143" s="5"/>
      <c r="Q143" s="5">
        <v>1</v>
      </c>
      <c r="R143" s="5"/>
      <c r="S143" s="5">
        <v>69</v>
      </c>
      <c r="T143" s="5">
        <v>69</v>
      </c>
      <c r="U143" s="5">
        <v>69</v>
      </c>
    </row>
    <row r="144" spans="1:21" x14ac:dyDescent="0.25">
      <c r="A144" s="5" t="s">
        <v>3755</v>
      </c>
      <c r="B144" s="5" t="s">
        <v>6950</v>
      </c>
      <c r="C144" s="5" t="s">
        <v>3548</v>
      </c>
      <c r="D144" s="5" t="s">
        <v>3562</v>
      </c>
      <c r="E144" s="5" t="s">
        <v>3706</v>
      </c>
      <c r="F144" s="5" t="s">
        <v>3584</v>
      </c>
      <c r="G144" s="5" t="s">
        <v>3493</v>
      </c>
      <c r="H144" s="5"/>
      <c r="I144" s="5" t="s">
        <v>3448</v>
      </c>
      <c r="J144" s="5" t="s">
        <v>3449</v>
      </c>
      <c r="K144" s="5" t="s">
        <v>6901</v>
      </c>
      <c r="L144" s="5">
        <v>32</v>
      </c>
      <c r="M144" s="5">
        <v>6</v>
      </c>
      <c r="N144" s="5" t="s">
        <v>3585</v>
      </c>
      <c r="O144" s="5" t="s">
        <v>3494</v>
      </c>
      <c r="P144" s="5"/>
      <c r="Q144" s="5">
        <v>1</v>
      </c>
      <c r="R144" s="5"/>
      <c r="S144" s="5">
        <v>186</v>
      </c>
      <c r="T144" s="5">
        <v>186</v>
      </c>
      <c r="U144" s="5">
        <v>186</v>
      </c>
    </row>
    <row r="145" spans="1:21" x14ac:dyDescent="0.25">
      <c r="A145" s="5" t="s">
        <v>3756</v>
      </c>
      <c r="B145" s="5" t="s">
        <v>6951</v>
      </c>
      <c r="C145" s="5" t="s">
        <v>3548</v>
      </c>
      <c r="D145" s="5" t="s">
        <v>3562</v>
      </c>
      <c r="E145" s="5" t="s">
        <v>3706</v>
      </c>
      <c r="F145" s="5" t="s">
        <v>3584</v>
      </c>
      <c r="G145" s="5" t="s">
        <v>3493</v>
      </c>
      <c r="H145" s="5"/>
      <c r="I145" s="5" t="s">
        <v>3448</v>
      </c>
      <c r="J145" s="5" t="s">
        <v>3449</v>
      </c>
      <c r="K145" s="5" t="s">
        <v>6901</v>
      </c>
      <c r="L145" s="5">
        <v>32</v>
      </c>
      <c r="M145" s="5">
        <v>1</v>
      </c>
      <c r="N145" s="5" t="s">
        <v>3585</v>
      </c>
      <c r="O145" s="5" t="s">
        <v>3494</v>
      </c>
      <c r="P145" s="5"/>
      <c r="Q145" s="5">
        <v>1</v>
      </c>
      <c r="R145" s="5"/>
      <c r="S145" s="5">
        <v>35</v>
      </c>
      <c r="T145" s="5">
        <v>35</v>
      </c>
      <c r="U145" s="5">
        <v>35</v>
      </c>
    </row>
    <row r="146" spans="1:21" x14ac:dyDescent="0.25">
      <c r="A146" s="5" t="s">
        <v>3757</v>
      </c>
      <c r="B146" s="5" t="s">
        <v>6952</v>
      </c>
      <c r="C146" s="5" t="s">
        <v>3548</v>
      </c>
      <c r="D146" s="5" t="s">
        <v>3562</v>
      </c>
      <c r="E146" s="5" t="s">
        <v>3706</v>
      </c>
      <c r="F146" s="5" t="s">
        <v>3564</v>
      </c>
      <c r="G146" s="5"/>
      <c r="H146" s="5"/>
      <c r="I146" s="5" t="s">
        <v>3448</v>
      </c>
      <c r="J146" s="5" t="s">
        <v>3449</v>
      </c>
      <c r="K146" s="5" t="s">
        <v>6901</v>
      </c>
      <c r="L146" s="5">
        <v>36</v>
      </c>
      <c r="M146" s="5">
        <v>1</v>
      </c>
      <c r="N146" s="5" t="s">
        <v>3566</v>
      </c>
      <c r="O146" s="5"/>
      <c r="P146" s="5"/>
      <c r="Q146" s="5">
        <v>1</v>
      </c>
      <c r="R146" s="5"/>
      <c r="S146" s="5">
        <v>40</v>
      </c>
      <c r="T146" s="5">
        <v>40</v>
      </c>
      <c r="U146" s="5">
        <v>40</v>
      </c>
    </row>
    <row r="147" spans="1:21" x14ac:dyDescent="0.25">
      <c r="A147" s="5" t="s">
        <v>3758</v>
      </c>
      <c r="B147" s="5" t="s">
        <v>6953</v>
      </c>
      <c r="C147" s="5" t="s">
        <v>3548</v>
      </c>
      <c r="D147" s="5" t="s">
        <v>3562</v>
      </c>
      <c r="E147" s="5" t="s">
        <v>3706</v>
      </c>
      <c r="F147" s="5" t="s">
        <v>3564</v>
      </c>
      <c r="G147" s="5"/>
      <c r="H147" s="5"/>
      <c r="I147" s="5" t="s">
        <v>3448</v>
      </c>
      <c r="J147" s="5" t="s">
        <v>3449</v>
      </c>
      <c r="K147" s="5" t="s">
        <v>6901</v>
      </c>
      <c r="L147" s="5">
        <v>38</v>
      </c>
      <c r="M147" s="5">
        <v>1</v>
      </c>
      <c r="N147" s="5" t="s">
        <v>3566</v>
      </c>
      <c r="O147" s="5"/>
      <c r="P147" s="5"/>
      <c r="Q147" s="5">
        <v>1</v>
      </c>
      <c r="R147" s="5"/>
      <c r="S147" s="5">
        <v>46</v>
      </c>
      <c r="T147" s="5">
        <v>46</v>
      </c>
      <c r="U147" s="5">
        <v>46</v>
      </c>
    </row>
    <row r="148" spans="1:21" x14ac:dyDescent="0.25">
      <c r="A148" s="5" t="s">
        <v>3759</v>
      </c>
      <c r="B148" s="5" t="s">
        <v>6954</v>
      </c>
      <c r="C148" s="5" t="s">
        <v>3548</v>
      </c>
      <c r="D148" s="5" t="s">
        <v>3562</v>
      </c>
      <c r="E148" s="5" t="s">
        <v>3706</v>
      </c>
      <c r="F148" s="5" t="s">
        <v>3584</v>
      </c>
      <c r="G148" s="5" t="s">
        <v>3493</v>
      </c>
      <c r="H148" s="5"/>
      <c r="I148" s="5" t="s">
        <v>3448</v>
      </c>
      <c r="J148" s="5" t="s">
        <v>3449</v>
      </c>
      <c r="K148" s="5" t="s">
        <v>6901</v>
      </c>
      <c r="L148" s="5">
        <v>40</v>
      </c>
      <c r="M148" s="5">
        <v>2</v>
      </c>
      <c r="N148" s="5" t="s">
        <v>3585</v>
      </c>
      <c r="O148" s="5" t="s">
        <v>3494</v>
      </c>
      <c r="P148" s="5"/>
      <c r="Q148" s="5">
        <v>1</v>
      </c>
      <c r="R148" s="5"/>
      <c r="S148" s="5">
        <v>72</v>
      </c>
      <c r="T148" s="5">
        <v>72</v>
      </c>
      <c r="U148" s="5">
        <v>72</v>
      </c>
    </row>
    <row r="149" spans="1:21" x14ac:dyDescent="0.25">
      <c r="A149" s="5" t="s">
        <v>3760</v>
      </c>
      <c r="B149" s="5" t="s">
        <v>6955</v>
      </c>
      <c r="C149" s="5" t="s">
        <v>3548</v>
      </c>
      <c r="D149" s="5" t="s">
        <v>3562</v>
      </c>
      <c r="E149" s="5" t="s">
        <v>3706</v>
      </c>
      <c r="F149" s="5" t="s">
        <v>3564</v>
      </c>
      <c r="G149" s="5"/>
      <c r="H149" s="5"/>
      <c r="I149" s="5" t="s">
        <v>3448</v>
      </c>
      <c r="J149" s="5" t="s">
        <v>3449</v>
      </c>
      <c r="K149" s="5" t="s">
        <v>6901</v>
      </c>
      <c r="L149" s="5">
        <v>40</v>
      </c>
      <c r="M149" s="5">
        <v>2</v>
      </c>
      <c r="N149" s="5" t="s">
        <v>3566</v>
      </c>
      <c r="O149" s="5"/>
      <c r="P149" s="5"/>
      <c r="Q149" s="5">
        <v>1</v>
      </c>
      <c r="R149" s="5"/>
      <c r="S149" s="5">
        <v>85</v>
      </c>
      <c r="T149" s="5">
        <v>85</v>
      </c>
      <c r="U149" s="5">
        <v>85</v>
      </c>
    </row>
    <row r="150" spans="1:21" x14ac:dyDescent="0.25">
      <c r="A150" s="5" t="s">
        <v>3761</v>
      </c>
      <c r="B150" s="5" t="s">
        <v>6956</v>
      </c>
      <c r="C150" s="5" t="s">
        <v>3548</v>
      </c>
      <c r="D150" s="5" t="s">
        <v>3562</v>
      </c>
      <c r="E150" s="5" t="s">
        <v>3706</v>
      </c>
      <c r="F150" s="5" t="s">
        <v>3584</v>
      </c>
      <c r="G150" s="5" t="s">
        <v>3493</v>
      </c>
      <c r="H150" s="5"/>
      <c r="I150" s="5" t="s">
        <v>3448</v>
      </c>
      <c r="J150" s="5" t="s">
        <v>3449</v>
      </c>
      <c r="K150" s="5" t="s">
        <v>6901</v>
      </c>
      <c r="L150" s="5">
        <v>40</v>
      </c>
      <c r="M150" s="5">
        <v>3</v>
      </c>
      <c r="N150" s="5" t="s">
        <v>3585</v>
      </c>
      <c r="O150" s="5" t="s">
        <v>3494</v>
      </c>
      <c r="P150" s="5"/>
      <c r="Q150" s="5">
        <v>1</v>
      </c>
      <c r="R150" s="5"/>
      <c r="S150" s="5">
        <v>105</v>
      </c>
      <c r="T150" s="5">
        <v>105</v>
      </c>
      <c r="U150" s="5">
        <v>105</v>
      </c>
    </row>
    <row r="151" spans="1:21" x14ac:dyDescent="0.25">
      <c r="A151" s="5" t="s">
        <v>3762</v>
      </c>
      <c r="B151" s="5" t="s">
        <v>6957</v>
      </c>
      <c r="C151" s="5" t="s">
        <v>3548</v>
      </c>
      <c r="D151" s="5" t="s">
        <v>3562</v>
      </c>
      <c r="E151" s="5" t="s">
        <v>3706</v>
      </c>
      <c r="F151" s="5" t="s">
        <v>3564</v>
      </c>
      <c r="G151" s="5"/>
      <c r="H151" s="5"/>
      <c r="I151" s="5" t="s">
        <v>3448</v>
      </c>
      <c r="J151" s="5" t="s">
        <v>3449</v>
      </c>
      <c r="K151" s="5" t="s">
        <v>6901</v>
      </c>
      <c r="L151" s="5">
        <v>40</v>
      </c>
      <c r="M151" s="5">
        <v>3</v>
      </c>
      <c r="N151" s="5" t="s">
        <v>3566</v>
      </c>
      <c r="O151" s="5"/>
      <c r="P151" s="5"/>
      <c r="Q151" s="5">
        <v>1</v>
      </c>
      <c r="R151" s="5"/>
      <c r="S151" s="5">
        <v>133</v>
      </c>
      <c r="T151" s="5">
        <v>133</v>
      </c>
      <c r="U151" s="5">
        <v>133</v>
      </c>
    </row>
    <row r="152" spans="1:21" x14ac:dyDescent="0.25">
      <c r="A152" s="5" t="s">
        <v>3763</v>
      </c>
      <c r="B152" s="5" t="s">
        <v>6958</v>
      </c>
      <c r="C152" s="5" t="s">
        <v>3548</v>
      </c>
      <c r="D152" s="5" t="s">
        <v>3562</v>
      </c>
      <c r="E152" s="5" t="s">
        <v>3706</v>
      </c>
      <c r="F152" s="5" t="s">
        <v>3584</v>
      </c>
      <c r="G152" s="5" t="s">
        <v>3493</v>
      </c>
      <c r="H152" s="5"/>
      <c r="I152" s="5" t="s">
        <v>3448</v>
      </c>
      <c r="J152" s="5" t="s">
        <v>3449</v>
      </c>
      <c r="K152" s="5" t="s">
        <v>6901</v>
      </c>
      <c r="L152" s="5">
        <v>40</v>
      </c>
      <c r="M152" s="5">
        <v>1</v>
      </c>
      <c r="N152" s="5" t="s">
        <v>3585</v>
      </c>
      <c r="O152" s="5" t="s">
        <v>3494</v>
      </c>
      <c r="P152" s="5"/>
      <c r="Q152" s="5">
        <v>1</v>
      </c>
      <c r="R152" s="5"/>
      <c r="S152" s="5">
        <v>43</v>
      </c>
      <c r="T152" s="5">
        <v>43</v>
      </c>
      <c r="U152" s="5">
        <v>43</v>
      </c>
    </row>
    <row r="153" spans="1:21" x14ac:dyDescent="0.25">
      <c r="A153" s="5" t="s">
        <v>3764</v>
      </c>
      <c r="B153" s="5" t="s">
        <v>6959</v>
      </c>
      <c r="C153" s="5" t="s">
        <v>3548</v>
      </c>
      <c r="D153" s="5" t="s">
        <v>3562</v>
      </c>
      <c r="E153" s="5" t="s">
        <v>3706</v>
      </c>
      <c r="F153" s="5" t="s">
        <v>3564</v>
      </c>
      <c r="G153" s="5"/>
      <c r="H153" s="5"/>
      <c r="I153" s="5" t="s">
        <v>3448</v>
      </c>
      <c r="J153" s="5" t="s">
        <v>3449</v>
      </c>
      <c r="K153" s="5" t="s">
        <v>6901</v>
      </c>
      <c r="L153" s="5">
        <v>40</v>
      </c>
      <c r="M153" s="5">
        <v>1</v>
      </c>
      <c r="N153" s="5" t="s">
        <v>3566</v>
      </c>
      <c r="O153" s="5"/>
      <c r="P153" s="5"/>
      <c r="Q153" s="5">
        <v>1</v>
      </c>
      <c r="R153" s="5"/>
      <c r="S153" s="5">
        <v>46</v>
      </c>
      <c r="T153" s="5">
        <v>46</v>
      </c>
      <c r="U153" s="5">
        <v>46</v>
      </c>
    </row>
    <row r="154" spans="1:21" x14ac:dyDescent="0.25">
      <c r="A154" s="5" t="s">
        <v>3765</v>
      </c>
      <c r="B154" s="5" t="s">
        <v>6960</v>
      </c>
      <c r="C154" s="5" t="s">
        <v>3548</v>
      </c>
      <c r="D154" s="5" t="s">
        <v>3562</v>
      </c>
      <c r="E154" s="5" t="s">
        <v>3706</v>
      </c>
      <c r="F154" s="5" t="s">
        <v>3584</v>
      </c>
      <c r="G154" s="5" t="s">
        <v>3493</v>
      </c>
      <c r="H154" s="5"/>
      <c r="I154" s="5" t="s">
        <v>3448</v>
      </c>
      <c r="J154" s="5" t="s">
        <v>3449</v>
      </c>
      <c r="K154" s="5" t="s">
        <v>6901</v>
      </c>
      <c r="L154" s="5">
        <v>42</v>
      </c>
      <c r="M154" s="5">
        <v>2</v>
      </c>
      <c r="N154" s="5" t="s">
        <v>3585</v>
      </c>
      <c r="O154" s="5" t="s">
        <v>3494</v>
      </c>
      <c r="P154" s="5"/>
      <c r="Q154" s="5">
        <v>1</v>
      </c>
      <c r="R154" s="5"/>
      <c r="S154" s="5">
        <v>94</v>
      </c>
      <c r="T154" s="5">
        <v>94</v>
      </c>
      <c r="U154" s="5">
        <v>94</v>
      </c>
    </row>
    <row r="155" spans="1:21" x14ac:dyDescent="0.25">
      <c r="A155" s="5" t="s">
        <v>3766</v>
      </c>
      <c r="B155" s="5" t="s">
        <v>6961</v>
      </c>
      <c r="C155" s="5" t="s">
        <v>3548</v>
      </c>
      <c r="D155" s="5" t="s">
        <v>3562</v>
      </c>
      <c r="E155" s="5" t="s">
        <v>3706</v>
      </c>
      <c r="F155" s="5" t="s">
        <v>3584</v>
      </c>
      <c r="G155" s="5" t="s">
        <v>3493</v>
      </c>
      <c r="H155" s="5"/>
      <c r="I155" s="5" t="s">
        <v>3448</v>
      </c>
      <c r="J155" s="5" t="s">
        <v>3449</v>
      </c>
      <c r="K155" s="5" t="s">
        <v>6901</v>
      </c>
      <c r="L155" s="5">
        <v>42</v>
      </c>
      <c r="M155" s="5">
        <v>8</v>
      </c>
      <c r="N155" s="5" t="s">
        <v>3585</v>
      </c>
      <c r="O155" s="5" t="s">
        <v>3494</v>
      </c>
      <c r="P155" s="5"/>
      <c r="Q155" s="5">
        <v>1</v>
      </c>
      <c r="R155" s="5"/>
      <c r="S155" s="5">
        <v>314</v>
      </c>
      <c r="T155" s="5">
        <v>314</v>
      </c>
      <c r="U155" s="5">
        <v>314</v>
      </c>
    </row>
    <row r="156" spans="1:21" x14ac:dyDescent="0.25">
      <c r="A156" s="5" t="s">
        <v>3767</v>
      </c>
      <c r="B156" s="5" t="s">
        <v>6962</v>
      </c>
      <c r="C156" s="5" t="s">
        <v>3548</v>
      </c>
      <c r="D156" s="5" t="s">
        <v>3562</v>
      </c>
      <c r="E156" s="5" t="s">
        <v>3706</v>
      </c>
      <c r="F156" s="5" t="s">
        <v>3584</v>
      </c>
      <c r="G156" s="5" t="s">
        <v>3493</v>
      </c>
      <c r="H156" s="5"/>
      <c r="I156" s="5" t="s">
        <v>3448</v>
      </c>
      <c r="J156" s="5" t="s">
        <v>3449</v>
      </c>
      <c r="K156" s="5" t="s">
        <v>6901</v>
      </c>
      <c r="L156" s="5">
        <v>42</v>
      </c>
      <c r="M156" s="5">
        <v>1</v>
      </c>
      <c r="N156" s="5" t="s">
        <v>3585</v>
      </c>
      <c r="O156" s="5" t="s">
        <v>3494</v>
      </c>
      <c r="P156" s="5"/>
      <c r="Q156" s="5">
        <v>1</v>
      </c>
      <c r="R156" s="5"/>
      <c r="S156" s="5">
        <v>45</v>
      </c>
      <c r="T156" s="5">
        <v>45</v>
      </c>
      <c r="U156" s="5">
        <v>45</v>
      </c>
    </row>
    <row r="157" spans="1:21" x14ac:dyDescent="0.25">
      <c r="A157" s="5" t="s">
        <v>3768</v>
      </c>
      <c r="B157" s="5" t="s">
        <v>6963</v>
      </c>
      <c r="C157" s="5" t="s">
        <v>3548</v>
      </c>
      <c r="D157" s="5" t="s">
        <v>3562</v>
      </c>
      <c r="E157" s="5" t="s">
        <v>3706</v>
      </c>
      <c r="F157" s="5" t="s">
        <v>3564</v>
      </c>
      <c r="G157" s="5"/>
      <c r="H157" s="5"/>
      <c r="I157" s="5" t="s">
        <v>3448</v>
      </c>
      <c r="J157" s="5" t="s">
        <v>3449</v>
      </c>
      <c r="K157" s="5" t="s">
        <v>6901</v>
      </c>
      <c r="L157" s="5">
        <v>42</v>
      </c>
      <c r="M157" s="5">
        <v>1</v>
      </c>
      <c r="N157" s="5" t="s">
        <v>3566</v>
      </c>
      <c r="O157" s="5"/>
      <c r="P157" s="5"/>
      <c r="Q157" s="5">
        <v>1</v>
      </c>
      <c r="R157" s="5"/>
      <c r="S157" s="5">
        <v>46</v>
      </c>
      <c r="T157" s="5">
        <v>46</v>
      </c>
      <c r="U157" s="5">
        <v>46</v>
      </c>
    </row>
    <row r="158" spans="1:21" x14ac:dyDescent="0.25">
      <c r="A158" s="5" t="s">
        <v>3769</v>
      </c>
      <c r="B158" s="5" t="s">
        <v>6964</v>
      </c>
      <c r="C158" s="5" t="s">
        <v>3548</v>
      </c>
      <c r="D158" s="5" t="s">
        <v>3562</v>
      </c>
      <c r="E158" s="5" t="s">
        <v>3706</v>
      </c>
      <c r="F158" s="5" t="s">
        <v>3584</v>
      </c>
      <c r="G158" s="5" t="s">
        <v>3493</v>
      </c>
      <c r="H158" s="5"/>
      <c r="I158" s="5" t="s">
        <v>3448</v>
      </c>
      <c r="J158" s="5" t="s">
        <v>3449</v>
      </c>
      <c r="K158" s="5" t="s">
        <v>6901</v>
      </c>
      <c r="L158" s="5">
        <v>55</v>
      </c>
      <c r="M158" s="5">
        <v>2</v>
      </c>
      <c r="N158" s="5" t="s">
        <v>3585</v>
      </c>
      <c r="O158" s="5" t="s">
        <v>3494</v>
      </c>
      <c r="P158" s="5"/>
      <c r="Q158" s="5">
        <v>1</v>
      </c>
      <c r="R158" s="5"/>
      <c r="S158" s="5">
        <v>110</v>
      </c>
      <c r="T158" s="5">
        <v>110</v>
      </c>
      <c r="U158" s="5">
        <v>110</v>
      </c>
    </row>
    <row r="159" spans="1:21" x14ac:dyDescent="0.25">
      <c r="A159" s="5" t="s">
        <v>3770</v>
      </c>
      <c r="B159" s="5" t="s">
        <v>6965</v>
      </c>
      <c r="C159" s="5" t="s">
        <v>3548</v>
      </c>
      <c r="D159" s="5" t="s">
        <v>3562</v>
      </c>
      <c r="E159" s="5" t="s">
        <v>3706</v>
      </c>
      <c r="F159" s="5" t="s">
        <v>3584</v>
      </c>
      <c r="G159" s="5" t="s">
        <v>3493</v>
      </c>
      <c r="H159" s="5"/>
      <c r="I159" s="5" t="s">
        <v>3448</v>
      </c>
      <c r="J159" s="5" t="s">
        <v>3449</v>
      </c>
      <c r="K159" s="5" t="s">
        <v>6901</v>
      </c>
      <c r="L159" s="5">
        <v>55</v>
      </c>
      <c r="M159" s="5">
        <v>3</v>
      </c>
      <c r="N159" s="5" t="s">
        <v>3585</v>
      </c>
      <c r="O159" s="5" t="s">
        <v>3494</v>
      </c>
      <c r="P159" s="5"/>
      <c r="Q159" s="5">
        <v>1</v>
      </c>
      <c r="R159" s="5"/>
      <c r="S159" s="5">
        <v>170</v>
      </c>
      <c r="T159" s="5">
        <v>170</v>
      </c>
      <c r="U159" s="5">
        <v>170</v>
      </c>
    </row>
    <row r="160" spans="1:21" x14ac:dyDescent="0.25">
      <c r="A160" s="5" t="s">
        <v>3771</v>
      </c>
      <c r="B160" s="5" t="s">
        <v>6966</v>
      </c>
      <c r="C160" s="5" t="s">
        <v>3548</v>
      </c>
      <c r="D160" s="5" t="s">
        <v>3562</v>
      </c>
      <c r="E160" s="5" t="s">
        <v>3706</v>
      </c>
      <c r="F160" s="5" t="s">
        <v>3584</v>
      </c>
      <c r="G160" s="5" t="s">
        <v>3493</v>
      </c>
      <c r="H160" s="5"/>
      <c r="I160" s="5" t="s">
        <v>3448</v>
      </c>
      <c r="J160" s="5" t="s">
        <v>3449</v>
      </c>
      <c r="K160" s="5" t="s">
        <v>6901</v>
      </c>
      <c r="L160" s="5">
        <v>55</v>
      </c>
      <c r="M160" s="5">
        <v>4</v>
      </c>
      <c r="N160" s="5" t="s">
        <v>3585</v>
      </c>
      <c r="O160" s="5" t="s">
        <v>3494</v>
      </c>
      <c r="P160" s="5"/>
      <c r="Q160" s="5">
        <v>1</v>
      </c>
      <c r="R160" s="5"/>
      <c r="S160" s="5">
        <v>220</v>
      </c>
      <c r="T160" s="5">
        <v>220</v>
      </c>
      <c r="U160" s="5">
        <v>220</v>
      </c>
    </row>
    <row r="161" spans="1:21" x14ac:dyDescent="0.25">
      <c r="A161" s="5" t="s">
        <v>3772</v>
      </c>
      <c r="B161" s="5" t="s">
        <v>6967</v>
      </c>
      <c r="C161" s="5" t="s">
        <v>3548</v>
      </c>
      <c r="D161" s="5" t="s">
        <v>3562</v>
      </c>
      <c r="E161" s="5" t="s">
        <v>3706</v>
      </c>
      <c r="F161" s="5" t="s">
        <v>3584</v>
      </c>
      <c r="G161" s="5" t="s">
        <v>3493</v>
      </c>
      <c r="H161" s="5"/>
      <c r="I161" s="5" t="s">
        <v>3448</v>
      </c>
      <c r="J161" s="5" t="s">
        <v>3449</v>
      </c>
      <c r="K161" s="5" t="s">
        <v>6901</v>
      </c>
      <c r="L161" s="5">
        <v>55</v>
      </c>
      <c r="M161" s="5">
        <v>1</v>
      </c>
      <c r="N161" s="5" t="s">
        <v>3585</v>
      </c>
      <c r="O161" s="5" t="s">
        <v>3494</v>
      </c>
      <c r="P161" s="5"/>
      <c r="Q161" s="5">
        <v>1</v>
      </c>
      <c r="R161" s="5"/>
      <c r="S161" s="5">
        <v>60</v>
      </c>
      <c r="T161" s="5">
        <v>60</v>
      </c>
      <c r="U161" s="5">
        <v>60</v>
      </c>
    </row>
    <row r="162" spans="1:21" x14ac:dyDescent="0.25">
      <c r="A162" s="5" t="s">
        <v>3773</v>
      </c>
      <c r="B162" s="5" t="s">
        <v>6968</v>
      </c>
      <c r="C162" s="5" t="s">
        <v>3548</v>
      </c>
      <c r="D162" s="5" t="s">
        <v>3562</v>
      </c>
      <c r="E162" s="5" t="s">
        <v>3706</v>
      </c>
      <c r="F162" s="5" t="s">
        <v>3564</v>
      </c>
      <c r="G162" s="5"/>
      <c r="H162" s="5"/>
      <c r="I162" s="5" t="s">
        <v>3448</v>
      </c>
      <c r="J162" s="5" t="s">
        <v>3449</v>
      </c>
      <c r="K162" s="5" t="s">
        <v>6901</v>
      </c>
      <c r="L162" s="5">
        <v>5</v>
      </c>
      <c r="M162" s="5">
        <v>2</v>
      </c>
      <c r="N162" s="5" t="s">
        <v>3566</v>
      </c>
      <c r="O162" s="5"/>
      <c r="P162" s="5"/>
      <c r="Q162" s="5">
        <v>1</v>
      </c>
      <c r="R162" s="5"/>
      <c r="S162" s="5">
        <v>18</v>
      </c>
      <c r="T162" s="5">
        <v>18</v>
      </c>
      <c r="U162" s="5">
        <v>18</v>
      </c>
    </row>
    <row r="163" spans="1:21" x14ac:dyDescent="0.25">
      <c r="A163" s="5" t="s">
        <v>3774</v>
      </c>
      <c r="B163" s="5" t="s">
        <v>6969</v>
      </c>
      <c r="C163" s="5" t="s">
        <v>3548</v>
      </c>
      <c r="D163" s="5" t="s">
        <v>3562</v>
      </c>
      <c r="E163" s="5" t="s">
        <v>3706</v>
      </c>
      <c r="F163" s="5" t="s">
        <v>3564</v>
      </c>
      <c r="G163" s="5"/>
      <c r="H163" s="5"/>
      <c r="I163" s="5" t="s">
        <v>3448</v>
      </c>
      <c r="J163" s="5" t="s">
        <v>3449</v>
      </c>
      <c r="K163" s="5" t="s">
        <v>6901</v>
      </c>
      <c r="L163" s="5">
        <v>5</v>
      </c>
      <c r="M163" s="5">
        <v>1</v>
      </c>
      <c r="N163" s="5" t="s">
        <v>3566</v>
      </c>
      <c r="O163" s="5"/>
      <c r="P163" s="5"/>
      <c r="Q163" s="5">
        <v>1</v>
      </c>
      <c r="R163" s="5"/>
      <c r="S163" s="5">
        <v>9</v>
      </c>
      <c r="T163" s="5">
        <v>9</v>
      </c>
      <c r="U163" s="5">
        <v>9</v>
      </c>
    </row>
    <row r="164" spans="1:21" x14ac:dyDescent="0.25">
      <c r="A164" s="5" t="s">
        <v>3775</v>
      </c>
      <c r="B164" s="5" t="s">
        <v>6970</v>
      </c>
      <c r="C164" s="5" t="s">
        <v>3548</v>
      </c>
      <c r="D164" s="5" t="s">
        <v>3562</v>
      </c>
      <c r="E164" s="5" t="s">
        <v>3706</v>
      </c>
      <c r="F164" s="5" t="s">
        <v>3564</v>
      </c>
      <c r="G164" s="5"/>
      <c r="H164" s="5"/>
      <c r="I164" s="5" t="s">
        <v>3448</v>
      </c>
      <c r="J164" s="5" t="s">
        <v>3449</v>
      </c>
      <c r="K164" s="5" t="s">
        <v>6901</v>
      </c>
      <c r="L164" s="5">
        <v>7</v>
      </c>
      <c r="M164" s="5">
        <v>2</v>
      </c>
      <c r="N164" s="5" t="s">
        <v>3566</v>
      </c>
      <c r="O164" s="5"/>
      <c r="P164" s="5"/>
      <c r="Q164" s="5">
        <v>1</v>
      </c>
      <c r="R164" s="5"/>
      <c r="S164" s="5">
        <v>21</v>
      </c>
      <c r="T164" s="5">
        <v>21</v>
      </c>
      <c r="U164" s="5">
        <v>21</v>
      </c>
    </row>
    <row r="165" spans="1:21" x14ac:dyDescent="0.25">
      <c r="A165" s="5" t="s">
        <v>3776</v>
      </c>
      <c r="B165" s="5" t="s">
        <v>6971</v>
      </c>
      <c r="C165" s="5" t="s">
        <v>3548</v>
      </c>
      <c r="D165" s="5" t="s">
        <v>3562</v>
      </c>
      <c r="E165" s="5" t="s">
        <v>3706</v>
      </c>
      <c r="F165" s="5" t="s">
        <v>3564</v>
      </c>
      <c r="G165" s="5"/>
      <c r="H165" s="5"/>
      <c r="I165" s="5" t="s">
        <v>3448</v>
      </c>
      <c r="J165" s="5" t="s">
        <v>3449</v>
      </c>
      <c r="K165" s="5" t="s">
        <v>6901</v>
      </c>
      <c r="L165" s="5">
        <v>7</v>
      </c>
      <c r="M165" s="5">
        <v>1</v>
      </c>
      <c r="N165" s="5" t="s">
        <v>3566</v>
      </c>
      <c r="O165" s="5"/>
      <c r="P165" s="5"/>
      <c r="Q165" s="5">
        <v>1</v>
      </c>
      <c r="R165" s="5"/>
      <c r="S165" s="5">
        <v>11</v>
      </c>
      <c r="T165" s="5">
        <v>11</v>
      </c>
      <c r="U165" s="5">
        <v>11</v>
      </c>
    </row>
    <row r="166" spans="1:21" x14ac:dyDescent="0.25">
      <c r="A166" s="5" t="s">
        <v>3777</v>
      </c>
      <c r="B166" s="5" t="s">
        <v>6972</v>
      </c>
      <c r="C166" s="5" t="s">
        <v>3548</v>
      </c>
      <c r="D166" s="5" t="s">
        <v>3562</v>
      </c>
      <c r="E166" s="5" t="s">
        <v>3706</v>
      </c>
      <c r="F166" s="5" t="s">
        <v>3564</v>
      </c>
      <c r="G166" s="5"/>
      <c r="H166" s="5"/>
      <c r="I166" s="5" t="s">
        <v>3448</v>
      </c>
      <c r="J166" s="5" t="s">
        <v>3449</v>
      </c>
      <c r="K166" s="5" t="s">
        <v>6901</v>
      </c>
      <c r="L166" s="5">
        <v>9</v>
      </c>
      <c r="M166" s="5">
        <v>2</v>
      </c>
      <c r="N166" s="5" t="s">
        <v>3566</v>
      </c>
      <c r="O166" s="5"/>
      <c r="P166" s="5"/>
      <c r="Q166" s="5">
        <v>1</v>
      </c>
      <c r="R166" s="5"/>
      <c r="S166" s="5">
        <v>23</v>
      </c>
      <c r="T166" s="5">
        <v>23</v>
      </c>
      <c r="U166" s="5">
        <v>23</v>
      </c>
    </row>
    <row r="167" spans="1:21" x14ac:dyDescent="0.25">
      <c r="A167" s="5" t="s">
        <v>3778</v>
      </c>
      <c r="B167" s="5" t="s">
        <v>6973</v>
      </c>
      <c r="C167" s="5" t="s">
        <v>3548</v>
      </c>
      <c r="D167" s="5" t="s">
        <v>3562</v>
      </c>
      <c r="E167" s="5" t="s">
        <v>3706</v>
      </c>
      <c r="F167" s="5" t="s">
        <v>3564</v>
      </c>
      <c r="G167" s="5"/>
      <c r="H167" s="5"/>
      <c r="I167" s="5" t="s">
        <v>3448</v>
      </c>
      <c r="J167" s="5" t="s">
        <v>3449</v>
      </c>
      <c r="K167" s="5" t="s">
        <v>6901</v>
      </c>
      <c r="L167" s="5">
        <v>9</v>
      </c>
      <c r="M167" s="5">
        <v>3</v>
      </c>
      <c r="N167" s="5" t="s">
        <v>3566</v>
      </c>
      <c r="O167" s="5"/>
      <c r="P167" s="5"/>
      <c r="Q167" s="5">
        <v>1</v>
      </c>
      <c r="R167" s="5"/>
      <c r="S167" s="5">
        <v>34</v>
      </c>
      <c r="T167" s="5">
        <v>34</v>
      </c>
      <c r="U167" s="5">
        <v>34</v>
      </c>
    </row>
    <row r="168" spans="1:21" x14ac:dyDescent="0.25">
      <c r="A168" s="5" t="s">
        <v>3779</v>
      </c>
      <c r="B168" s="5" t="s">
        <v>6974</v>
      </c>
      <c r="C168" s="5" t="s">
        <v>3548</v>
      </c>
      <c r="D168" s="5" t="s">
        <v>3562</v>
      </c>
      <c r="E168" s="5" t="s">
        <v>3706</v>
      </c>
      <c r="F168" s="5" t="s">
        <v>3564</v>
      </c>
      <c r="G168" s="5"/>
      <c r="H168" s="5"/>
      <c r="I168" s="5" t="s">
        <v>3448</v>
      </c>
      <c r="J168" s="5" t="s">
        <v>3449</v>
      </c>
      <c r="K168" s="5" t="s">
        <v>6901</v>
      </c>
      <c r="L168" s="5">
        <v>9</v>
      </c>
      <c r="M168" s="5">
        <v>1</v>
      </c>
      <c r="N168" s="5" t="s">
        <v>3566</v>
      </c>
      <c r="O168" s="5"/>
      <c r="P168" s="5"/>
      <c r="Q168" s="5">
        <v>1</v>
      </c>
      <c r="R168" s="5"/>
      <c r="S168" s="5">
        <v>12</v>
      </c>
      <c r="T168" s="5">
        <v>12</v>
      </c>
      <c r="U168" s="5">
        <v>12</v>
      </c>
    </row>
    <row r="169" spans="1:21" x14ac:dyDescent="0.25">
      <c r="A169" s="5" t="s">
        <v>3780</v>
      </c>
      <c r="B169" s="5" t="s">
        <v>3781</v>
      </c>
      <c r="C169" s="5" t="s">
        <v>3548</v>
      </c>
      <c r="D169" s="5" t="s">
        <v>3782</v>
      </c>
      <c r="E169" s="5" t="s">
        <v>3563</v>
      </c>
      <c r="F169" s="5" t="s">
        <v>3584</v>
      </c>
      <c r="G169" s="5" t="s">
        <v>3493</v>
      </c>
      <c r="H169" s="5"/>
      <c r="I169" s="5" t="s">
        <v>3448</v>
      </c>
      <c r="J169" s="5" t="s">
        <v>3783</v>
      </c>
      <c r="K169" s="5" t="s">
        <v>3565</v>
      </c>
      <c r="L169" s="5">
        <v>2</v>
      </c>
      <c r="M169" s="5">
        <v>2</v>
      </c>
      <c r="N169" s="5" t="s">
        <v>3585</v>
      </c>
      <c r="O169" s="5" t="s">
        <v>3494</v>
      </c>
      <c r="P169" s="5"/>
      <c r="Q169" s="5">
        <v>1</v>
      </c>
      <c r="R169" s="5"/>
      <c r="S169" s="5">
        <v>5</v>
      </c>
      <c r="T169" s="5">
        <v>5</v>
      </c>
      <c r="U169" s="5">
        <v>5</v>
      </c>
    </row>
    <row r="170" spans="1:21" x14ac:dyDescent="0.25">
      <c r="A170" s="5" t="s">
        <v>3784</v>
      </c>
      <c r="B170" s="5" t="s">
        <v>3785</v>
      </c>
      <c r="C170" s="5" t="s">
        <v>3548</v>
      </c>
      <c r="D170" s="5" t="s">
        <v>3782</v>
      </c>
      <c r="E170" s="5" t="s">
        <v>3563</v>
      </c>
      <c r="F170" s="5" t="s">
        <v>3564</v>
      </c>
      <c r="G170" s="5"/>
      <c r="H170" s="5"/>
      <c r="I170" s="5" t="s">
        <v>3448</v>
      </c>
      <c r="J170" s="5" t="s">
        <v>3783</v>
      </c>
      <c r="K170" s="5" t="s">
        <v>3565</v>
      </c>
      <c r="L170" s="5">
        <v>6</v>
      </c>
      <c r="M170" s="5">
        <v>2</v>
      </c>
      <c r="N170" s="5" t="s">
        <v>3566</v>
      </c>
      <c r="O170" s="5"/>
      <c r="P170" s="5"/>
      <c r="Q170" s="5">
        <v>1</v>
      </c>
      <c r="R170" s="5"/>
      <c r="S170" s="5">
        <v>18</v>
      </c>
      <c r="T170" s="5">
        <v>18</v>
      </c>
      <c r="U170" s="5">
        <v>18</v>
      </c>
    </row>
    <row r="171" spans="1:21" x14ac:dyDescent="0.25">
      <c r="A171" s="5" t="s">
        <v>3786</v>
      </c>
      <c r="B171" s="5" t="s">
        <v>3787</v>
      </c>
      <c r="C171" s="5" t="s">
        <v>3548</v>
      </c>
      <c r="D171" s="5" t="s">
        <v>3782</v>
      </c>
      <c r="E171" s="5" t="s">
        <v>3563</v>
      </c>
      <c r="F171" s="5" t="s">
        <v>3564</v>
      </c>
      <c r="G171" s="5"/>
      <c r="H171" s="5"/>
      <c r="I171" s="5" t="s">
        <v>3448</v>
      </c>
      <c r="J171" s="5" t="s">
        <v>3783</v>
      </c>
      <c r="K171" s="5" t="s">
        <v>3565</v>
      </c>
      <c r="L171" s="5">
        <v>6</v>
      </c>
      <c r="M171" s="5">
        <v>1</v>
      </c>
      <c r="N171" s="5" t="s">
        <v>3566</v>
      </c>
      <c r="O171" s="5"/>
      <c r="P171" s="5"/>
      <c r="Q171" s="5">
        <v>1</v>
      </c>
      <c r="R171" s="5"/>
      <c r="S171" s="5">
        <v>9</v>
      </c>
      <c r="T171" s="5">
        <v>9</v>
      </c>
      <c r="U171" s="5">
        <v>9</v>
      </c>
    </row>
    <row r="172" spans="1:21" x14ac:dyDescent="0.25">
      <c r="A172" s="5" t="s">
        <v>3788</v>
      </c>
      <c r="B172" s="5" t="s">
        <v>3789</v>
      </c>
      <c r="C172" s="5" t="s">
        <v>3548</v>
      </c>
      <c r="D172" s="5" t="s">
        <v>3782</v>
      </c>
      <c r="E172" s="5" t="s">
        <v>3563</v>
      </c>
      <c r="F172" s="5" t="s">
        <v>3564</v>
      </c>
      <c r="G172" s="5"/>
      <c r="H172" s="5"/>
      <c r="I172" s="5" t="s">
        <v>3448</v>
      </c>
      <c r="J172" s="5" t="s">
        <v>3783</v>
      </c>
      <c r="K172" s="5" t="s">
        <v>3565</v>
      </c>
      <c r="L172" s="5">
        <v>8</v>
      </c>
      <c r="M172" s="5">
        <v>2</v>
      </c>
      <c r="N172" s="5" t="s">
        <v>3566</v>
      </c>
      <c r="O172" s="5"/>
      <c r="P172" s="5"/>
      <c r="Q172" s="5">
        <v>1</v>
      </c>
      <c r="R172" s="5"/>
      <c r="S172" s="5">
        <v>24</v>
      </c>
      <c r="T172" s="5">
        <v>24</v>
      </c>
      <c r="U172" s="5">
        <v>24</v>
      </c>
    </row>
    <row r="173" spans="1:21" x14ac:dyDescent="0.25">
      <c r="A173" s="5" t="s">
        <v>3790</v>
      </c>
      <c r="B173" s="5" t="s">
        <v>3791</v>
      </c>
      <c r="C173" s="5" t="s">
        <v>3548</v>
      </c>
      <c r="D173" s="5" t="s">
        <v>3782</v>
      </c>
      <c r="E173" s="5" t="s">
        <v>3563</v>
      </c>
      <c r="F173" s="5" t="s">
        <v>3564</v>
      </c>
      <c r="G173" s="5"/>
      <c r="H173" s="5"/>
      <c r="I173" s="5" t="s">
        <v>3448</v>
      </c>
      <c r="J173" s="5" t="s">
        <v>3783</v>
      </c>
      <c r="K173" s="5" t="s">
        <v>3565</v>
      </c>
      <c r="L173" s="5">
        <v>8</v>
      </c>
      <c r="M173" s="5">
        <v>1</v>
      </c>
      <c r="N173" s="5" t="s">
        <v>3566</v>
      </c>
      <c r="O173" s="5"/>
      <c r="P173" s="5"/>
      <c r="Q173" s="5">
        <v>1</v>
      </c>
      <c r="R173" s="5"/>
      <c r="S173" s="5">
        <v>12</v>
      </c>
      <c r="T173" s="5">
        <v>12</v>
      </c>
      <c r="U173" s="5">
        <v>12</v>
      </c>
    </row>
    <row r="174" spans="1:21" x14ac:dyDescent="0.25">
      <c r="A174" s="5" t="s">
        <v>3792</v>
      </c>
      <c r="B174" s="5" t="s">
        <v>3793</v>
      </c>
      <c r="C174" s="5" t="s">
        <v>3548</v>
      </c>
      <c r="D174" s="5" t="s">
        <v>3782</v>
      </c>
      <c r="E174" s="5" t="s">
        <v>3794</v>
      </c>
      <c r="F174" s="5" t="s">
        <v>3564</v>
      </c>
      <c r="G174" s="5"/>
      <c r="H174" s="5"/>
      <c r="I174" s="5" t="s">
        <v>3448</v>
      </c>
      <c r="J174" s="5" t="s">
        <v>3783</v>
      </c>
      <c r="K174" s="5" t="s">
        <v>3794</v>
      </c>
      <c r="L174" s="5">
        <v>40</v>
      </c>
      <c r="M174" s="5">
        <v>4</v>
      </c>
      <c r="N174" s="5" t="s">
        <v>3566</v>
      </c>
      <c r="O174" s="5"/>
      <c r="P174" s="5">
        <v>4</v>
      </c>
      <c r="Q174" s="5">
        <v>2</v>
      </c>
      <c r="R174" s="5"/>
      <c r="S174" s="5">
        <v>45</v>
      </c>
      <c r="T174" s="5">
        <v>45</v>
      </c>
      <c r="U174" s="5">
        <v>45</v>
      </c>
    </row>
    <row r="175" spans="1:21" x14ac:dyDescent="0.25">
      <c r="A175" s="5" t="s">
        <v>3795</v>
      </c>
      <c r="B175" s="5" t="s">
        <v>3796</v>
      </c>
      <c r="C175" s="5" t="s">
        <v>3548</v>
      </c>
      <c r="D175" s="5" t="s">
        <v>3782</v>
      </c>
      <c r="E175" s="5" t="s">
        <v>3794</v>
      </c>
      <c r="F175" s="5" t="s">
        <v>3564</v>
      </c>
      <c r="G175" s="5"/>
      <c r="H175" s="5"/>
      <c r="I175" s="5" t="s">
        <v>3448</v>
      </c>
      <c r="J175" s="5" t="s">
        <v>3783</v>
      </c>
      <c r="K175" s="5" t="s">
        <v>3794</v>
      </c>
      <c r="L175" s="5">
        <v>40</v>
      </c>
      <c r="M175" s="5">
        <v>1</v>
      </c>
      <c r="N175" s="5" t="s">
        <v>3566</v>
      </c>
      <c r="O175" s="5"/>
      <c r="P175" s="5">
        <v>4</v>
      </c>
      <c r="Q175" s="5">
        <v>1</v>
      </c>
      <c r="R175" s="5"/>
      <c r="S175" s="5">
        <v>51</v>
      </c>
      <c r="T175" s="5">
        <v>51</v>
      </c>
      <c r="U175" s="5">
        <v>51</v>
      </c>
    </row>
    <row r="176" spans="1:21" x14ac:dyDescent="0.25">
      <c r="A176" s="5" t="s">
        <v>3797</v>
      </c>
      <c r="B176" s="5" t="s">
        <v>3798</v>
      </c>
      <c r="C176" s="5" t="s">
        <v>3548</v>
      </c>
      <c r="D176" s="5" t="s">
        <v>3782</v>
      </c>
      <c r="E176" s="5" t="s">
        <v>3799</v>
      </c>
      <c r="F176" s="5" t="s">
        <v>3564</v>
      </c>
      <c r="G176" s="5"/>
      <c r="H176" s="5"/>
      <c r="I176" s="5" t="s">
        <v>3448</v>
      </c>
      <c r="J176" s="5" t="s">
        <v>3783</v>
      </c>
      <c r="K176" s="5" t="s">
        <v>3799</v>
      </c>
      <c r="L176" s="5">
        <v>15</v>
      </c>
      <c r="M176" s="5">
        <v>1</v>
      </c>
      <c r="N176" s="5" t="s">
        <v>3566</v>
      </c>
      <c r="O176" s="5"/>
      <c r="P176" s="5">
        <v>1.5</v>
      </c>
      <c r="Q176" s="5">
        <v>1</v>
      </c>
      <c r="R176" s="5"/>
      <c r="S176" s="5">
        <v>19</v>
      </c>
      <c r="T176" s="5">
        <v>19</v>
      </c>
      <c r="U176" s="5">
        <v>19</v>
      </c>
    </row>
    <row r="177" spans="1:21" x14ac:dyDescent="0.25">
      <c r="A177" s="5" t="s">
        <v>3800</v>
      </c>
      <c r="B177" s="5" t="s">
        <v>3801</v>
      </c>
      <c r="C177" s="5" t="s">
        <v>3548</v>
      </c>
      <c r="D177" s="5" t="s">
        <v>3782</v>
      </c>
      <c r="E177" s="5" t="s">
        <v>3799</v>
      </c>
      <c r="F177" s="5" t="s">
        <v>3564</v>
      </c>
      <c r="G177" s="5"/>
      <c r="H177" s="5"/>
      <c r="I177" s="5" t="s">
        <v>3448</v>
      </c>
      <c r="J177" s="5" t="s">
        <v>3783</v>
      </c>
      <c r="K177" s="5" t="s">
        <v>3799</v>
      </c>
      <c r="L177" s="5">
        <v>15</v>
      </c>
      <c r="M177" s="5">
        <v>2</v>
      </c>
      <c r="N177" s="5" t="s">
        <v>3566</v>
      </c>
      <c r="O177" s="5"/>
      <c r="P177" s="5">
        <v>1.5</v>
      </c>
      <c r="Q177" s="5">
        <v>1</v>
      </c>
      <c r="R177" s="5"/>
      <c r="S177" s="5">
        <v>36</v>
      </c>
      <c r="T177" s="5">
        <v>36</v>
      </c>
      <c r="U177" s="5">
        <v>36</v>
      </c>
    </row>
    <row r="178" spans="1:21" x14ac:dyDescent="0.25">
      <c r="A178" s="5" t="s">
        <v>3802</v>
      </c>
      <c r="B178" s="5" t="s">
        <v>3803</v>
      </c>
      <c r="C178" s="5" t="s">
        <v>3548</v>
      </c>
      <c r="D178" s="5" t="s">
        <v>3782</v>
      </c>
      <c r="E178" s="5" t="s">
        <v>3799</v>
      </c>
      <c r="F178" s="5" t="s">
        <v>3564</v>
      </c>
      <c r="G178" s="5"/>
      <c r="H178" s="5"/>
      <c r="I178" s="5" t="s">
        <v>3448</v>
      </c>
      <c r="J178" s="5" t="s">
        <v>3783</v>
      </c>
      <c r="K178" s="5" t="s">
        <v>3799</v>
      </c>
      <c r="L178" s="5">
        <v>20</v>
      </c>
      <c r="M178" s="5">
        <v>2</v>
      </c>
      <c r="N178" s="5" t="s">
        <v>3566</v>
      </c>
      <c r="O178" s="5"/>
      <c r="P178" s="5">
        <v>2</v>
      </c>
      <c r="Q178" s="5">
        <v>1</v>
      </c>
      <c r="R178" s="5"/>
      <c r="S178" s="5">
        <v>50</v>
      </c>
      <c r="T178" s="5">
        <v>50</v>
      </c>
      <c r="U178" s="5">
        <v>50</v>
      </c>
    </row>
    <row r="179" spans="1:21" x14ac:dyDescent="0.25">
      <c r="A179" s="5" t="s">
        <v>3804</v>
      </c>
      <c r="B179" s="5" t="s">
        <v>3805</v>
      </c>
      <c r="C179" s="5" t="s">
        <v>3548</v>
      </c>
      <c r="D179" s="5" t="s">
        <v>3782</v>
      </c>
      <c r="E179" s="5" t="s">
        <v>3799</v>
      </c>
      <c r="F179" s="5" t="s">
        <v>3564</v>
      </c>
      <c r="G179" s="5"/>
      <c r="H179" s="5"/>
      <c r="I179" s="5" t="s">
        <v>3448</v>
      </c>
      <c r="J179" s="5" t="s">
        <v>3783</v>
      </c>
      <c r="K179" s="5" t="s">
        <v>3799</v>
      </c>
      <c r="L179" s="5">
        <v>20</v>
      </c>
      <c r="M179" s="5">
        <v>1</v>
      </c>
      <c r="N179" s="5" t="s">
        <v>3566</v>
      </c>
      <c r="O179" s="5"/>
      <c r="P179" s="5">
        <v>2</v>
      </c>
      <c r="Q179" s="5">
        <v>1</v>
      </c>
      <c r="R179" s="5"/>
      <c r="S179" s="5">
        <v>25</v>
      </c>
      <c r="T179" s="5">
        <v>25</v>
      </c>
      <c r="U179" s="5">
        <v>25</v>
      </c>
    </row>
    <row r="180" spans="1:21" x14ac:dyDescent="0.25">
      <c r="A180" s="5" t="s">
        <v>3806</v>
      </c>
      <c r="B180" s="5" t="s">
        <v>3807</v>
      </c>
      <c r="C180" s="5" t="s">
        <v>3548</v>
      </c>
      <c r="D180" s="5" t="s">
        <v>3782</v>
      </c>
      <c r="E180" s="5" t="s">
        <v>3799</v>
      </c>
      <c r="F180" s="5" t="s">
        <v>3564</v>
      </c>
      <c r="G180" s="5"/>
      <c r="H180" s="5"/>
      <c r="I180" s="5" t="s">
        <v>3448</v>
      </c>
      <c r="J180" s="5" t="s">
        <v>3783</v>
      </c>
      <c r="K180" s="5" t="s">
        <v>3799</v>
      </c>
      <c r="L180" s="5">
        <v>20</v>
      </c>
      <c r="M180" s="5">
        <v>3</v>
      </c>
      <c r="N180" s="5" t="s">
        <v>3566</v>
      </c>
      <c r="O180" s="5"/>
      <c r="P180" s="5">
        <v>2</v>
      </c>
      <c r="Q180" s="5">
        <v>1</v>
      </c>
      <c r="R180" s="5"/>
      <c r="S180" s="5">
        <v>62</v>
      </c>
      <c r="T180" s="5">
        <v>62</v>
      </c>
      <c r="U180" s="5">
        <v>62</v>
      </c>
    </row>
    <row r="181" spans="1:21" x14ac:dyDescent="0.25">
      <c r="A181" s="5" t="s">
        <v>3808</v>
      </c>
      <c r="B181" s="5" t="s">
        <v>3809</v>
      </c>
      <c r="C181" s="5" t="s">
        <v>3548</v>
      </c>
      <c r="D181" s="5" t="s">
        <v>3782</v>
      </c>
      <c r="E181" s="5" t="s">
        <v>3799</v>
      </c>
      <c r="F181" s="5" t="s">
        <v>3564</v>
      </c>
      <c r="G181" s="5"/>
      <c r="H181" s="5"/>
      <c r="I181" s="5" t="s">
        <v>3448</v>
      </c>
      <c r="J181" s="5" t="s">
        <v>3783</v>
      </c>
      <c r="K181" s="5" t="s">
        <v>3799</v>
      </c>
      <c r="L181" s="5">
        <v>20</v>
      </c>
      <c r="M181" s="5">
        <v>4</v>
      </c>
      <c r="N181" s="5" t="s">
        <v>3566</v>
      </c>
      <c r="O181" s="5"/>
      <c r="P181" s="5">
        <v>2</v>
      </c>
      <c r="Q181" s="5">
        <v>1</v>
      </c>
      <c r="R181" s="5"/>
      <c r="S181" s="5">
        <v>100</v>
      </c>
      <c r="T181" s="5">
        <v>100</v>
      </c>
      <c r="U181" s="5">
        <v>100</v>
      </c>
    </row>
    <row r="182" spans="1:21" x14ac:dyDescent="0.25">
      <c r="A182" s="5" t="s">
        <v>3810</v>
      </c>
      <c r="B182" s="5" t="s">
        <v>3811</v>
      </c>
      <c r="C182" s="5" t="s">
        <v>3548</v>
      </c>
      <c r="D182" s="5" t="s">
        <v>3782</v>
      </c>
      <c r="E182" s="5" t="s">
        <v>3799</v>
      </c>
      <c r="F182" s="5" t="s">
        <v>3564</v>
      </c>
      <c r="G182" s="5"/>
      <c r="H182" s="5"/>
      <c r="I182" s="5" t="s">
        <v>3448</v>
      </c>
      <c r="J182" s="5" t="s">
        <v>3783</v>
      </c>
      <c r="K182" s="5" t="s">
        <v>3799</v>
      </c>
      <c r="L182" s="5">
        <v>20</v>
      </c>
      <c r="M182" s="5">
        <v>6</v>
      </c>
      <c r="N182" s="5" t="s">
        <v>3566</v>
      </c>
      <c r="O182" s="5"/>
      <c r="P182" s="5">
        <v>2</v>
      </c>
      <c r="Q182" s="5">
        <v>1</v>
      </c>
      <c r="R182" s="5"/>
      <c r="S182" s="5">
        <v>146</v>
      </c>
      <c r="T182" s="5">
        <v>146</v>
      </c>
      <c r="U182" s="5">
        <v>146</v>
      </c>
    </row>
    <row r="183" spans="1:21" x14ac:dyDescent="0.25">
      <c r="A183" s="5" t="s">
        <v>3812</v>
      </c>
      <c r="B183" s="5" t="s">
        <v>3813</v>
      </c>
      <c r="C183" s="5" t="s">
        <v>3548</v>
      </c>
      <c r="D183" s="5" t="s">
        <v>3782</v>
      </c>
      <c r="E183" s="5" t="s">
        <v>3799</v>
      </c>
      <c r="F183" s="5" t="s">
        <v>3584</v>
      </c>
      <c r="G183" s="5" t="s">
        <v>3493</v>
      </c>
      <c r="H183" s="5"/>
      <c r="I183" s="5" t="s">
        <v>3448</v>
      </c>
      <c r="J183" s="5" t="s">
        <v>3783</v>
      </c>
      <c r="K183" s="5" t="s">
        <v>3799</v>
      </c>
      <c r="L183" s="5">
        <v>25</v>
      </c>
      <c r="M183" s="5">
        <v>2</v>
      </c>
      <c r="N183" s="5" t="s">
        <v>3585</v>
      </c>
      <c r="O183" s="5" t="s">
        <v>3494</v>
      </c>
      <c r="P183" s="5">
        <v>3</v>
      </c>
      <c r="Q183" s="5">
        <v>1</v>
      </c>
      <c r="R183" s="5"/>
      <c r="S183" s="5">
        <v>50</v>
      </c>
      <c r="T183" s="5">
        <v>50</v>
      </c>
      <c r="U183" s="5">
        <v>50</v>
      </c>
    </row>
    <row r="184" spans="1:21" x14ac:dyDescent="0.25">
      <c r="A184" s="5" t="s">
        <v>3818</v>
      </c>
      <c r="B184" s="5" t="s">
        <v>3819</v>
      </c>
      <c r="C184" s="5" t="s">
        <v>3548</v>
      </c>
      <c r="D184" s="5" t="s">
        <v>3782</v>
      </c>
      <c r="E184" s="5" t="s">
        <v>3799</v>
      </c>
      <c r="F184" s="5" t="s">
        <v>3564</v>
      </c>
      <c r="G184" s="5"/>
      <c r="H184" s="5"/>
      <c r="I184" s="5" t="s">
        <v>3448</v>
      </c>
      <c r="J184" s="5" t="s">
        <v>3783</v>
      </c>
      <c r="K184" s="5" t="s">
        <v>3799</v>
      </c>
      <c r="L184" s="5">
        <v>25</v>
      </c>
      <c r="M184" s="5">
        <v>2</v>
      </c>
      <c r="N184" s="5" t="s">
        <v>3566</v>
      </c>
      <c r="O184" s="5"/>
      <c r="P184" s="5">
        <v>3</v>
      </c>
      <c r="Q184" s="5">
        <v>1</v>
      </c>
      <c r="R184" s="5"/>
      <c r="S184" s="5">
        <v>73</v>
      </c>
      <c r="T184" s="5">
        <v>73</v>
      </c>
      <c r="U184" s="5">
        <v>73</v>
      </c>
    </row>
    <row r="185" spans="1:21" x14ac:dyDescent="0.25">
      <c r="A185" s="5" t="s">
        <v>3820</v>
      </c>
      <c r="B185" s="5" t="s">
        <v>3821</v>
      </c>
      <c r="C185" s="5" t="s">
        <v>3548</v>
      </c>
      <c r="D185" s="5" t="s">
        <v>3782</v>
      </c>
      <c r="E185" s="5" t="s">
        <v>3799</v>
      </c>
      <c r="F185" s="5" t="s">
        <v>3822</v>
      </c>
      <c r="G185" s="5"/>
      <c r="H185" s="5"/>
      <c r="I185" s="5" t="s">
        <v>3448</v>
      </c>
      <c r="J185" s="5" t="s">
        <v>3783</v>
      </c>
      <c r="K185" s="5" t="s">
        <v>3799</v>
      </c>
      <c r="L185" s="5">
        <v>25</v>
      </c>
      <c r="M185" s="5">
        <v>2</v>
      </c>
      <c r="N185" s="5" t="s">
        <v>3823</v>
      </c>
      <c r="O185" s="5"/>
      <c r="P185" s="5">
        <v>3</v>
      </c>
      <c r="Q185" s="5">
        <v>1</v>
      </c>
      <c r="R185" s="5"/>
      <c r="S185" s="5">
        <v>66</v>
      </c>
      <c r="T185" s="5">
        <v>66</v>
      </c>
      <c r="U185" s="5">
        <v>66</v>
      </c>
    </row>
    <row r="186" spans="1:21" x14ac:dyDescent="0.25">
      <c r="A186" s="5" t="s">
        <v>6975</v>
      </c>
      <c r="B186" s="5" t="s">
        <v>3825</v>
      </c>
      <c r="C186" s="5" t="s">
        <v>3548</v>
      </c>
      <c r="D186" s="5" t="s">
        <v>3782</v>
      </c>
      <c r="E186" s="5" t="s">
        <v>3799</v>
      </c>
      <c r="F186" s="5" t="s">
        <v>3584</v>
      </c>
      <c r="G186" s="5" t="s">
        <v>3782</v>
      </c>
      <c r="H186" s="5"/>
      <c r="I186" s="5" t="s">
        <v>3448</v>
      </c>
      <c r="J186" s="5" t="s">
        <v>3783</v>
      </c>
      <c r="K186" s="5" t="s">
        <v>3799</v>
      </c>
      <c r="L186" s="5">
        <v>25</v>
      </c>
      <c r="M186" s="5">
        <v>2</v>
      </c>
      <c r="N186" s="5" t="s">
        <v>3585</v>
      </c>
      <c r="O186" s="5" t="s">
        <v>3827</v>
      </c>
      <c r="P186" s="5">
        <v>4</v>
      </c>
      <c r="Q186" s="5">
        <v>1</v>
      </c>
      <c r="R186" s="5"/>
      <c r="S186" s="5">
        <v>39</v>
      </c>
      <c r="T186" s="5">
        <v>39</v>
      </c>
      <c r="U186" s="5">
        <v>39</v>
      </c>
    </row>
    <row r="187" spans="1:21" x14ac:dyDescent="0.25">
      <c r="A187" s="5" t="s">
        <v>3830</v>
      </c>
      <c r="B187" s="5" t="s">
        <v>3831</v>
      </c>
      <c r="C187" s="5" t="s">
        <v>3548</v>
      </c>
      <c r="D187" s="5" t="s">
        <v>3782</v>
      </c>
      <c r="E187" s="5" t="s">
        <v>3799</v>
      </c>
      <c r="F187" s="5" t="s">
        <v>3584</v>
      </c>
      <c r="G187" s="5" t="s">
        <v>3493</v>
      </c>
      <c r="H187" s="5"/>
      <c r="I187" s="5" t="s">
        <v>3448</v>
      </c>
      <c r="J187" s="5" t="s">
        <v>3783</v>
      </c>
      <c r="K187" s="5" t="s">
        <v>3799</v>
      </c>
      <c r="L187" s="5">
        <v>25</v>
      </c>
      <c r="M187" s="5">
        <v>1</v>
      </c>
      <c r="N187" s="5" t="s">
        <v>3585</v>
      </c>
      <c r="O187" s="5" t="s">
        <v>3494</v>
      </c>
      <c r="P187" s="5">
        <v>3</v>
      </c>
      <c r="Q187" s="5">
        <v>1</v>
      </c>
      <c r="R187" s="5"/>
      <c r="S187" s="5">
        <v>26</v>
      </c>
      <c r="T187" s="5">
        <v>26</v>
      </c>
      <c r="U187" s="5">
        <v>26</v>
      </c>
    </row>
    <row r="188" spans="1:21" x14ac:dyDescent="0.25">
      <c r="A188" s="5" t="s">
        <v>3832</v>
      </c>
      <c r="B188" s="5" t="s">
        <v>3833</v>
      </c>
      <c r="C188" s="5" t="s">
        <v>3548</v>
      </c>
      <c r="D188" s="5" t="s">
        <v>3782</v>
      </c>
      <c r="E188" s="5" t="s">
        <v>3799</v>
      </c>
      <c r="F188" s="5" t="s">
        <v>3564</v>
      </c>
      <c r="G188" s="5"/>
      <c r="H188" s="5"/>
      <c r="I188" s="5" t="s">
        <v>3448</v>
      </c>
      <c r="J188" s="5" t="s">
        <v>3783</v>
      </c>
      <c r="K188" s="5" t="s">
        <v>3799</v>
      </c>
      <c r="L188" s="5">
        <v>25</v>
      </c>
      <c r="M188" s="5">
        <v>3</v>
      </c>
      <c r="N188" s="5" t="s">
        <v>3566</v>
      </c>
      <c r="O188" s="5"/>
      <c r="P188" s="5">
        <v>3</v>
      </c>
      <c r="Q188" s="5">
        <v>1</v>
      </c>
      <c r="R188" s="5"/>
      <c r="S188" s="5">
        <v>115</v>
      </c>
      <c r="T188" s="5">
        <v>115</v>
      </c>
      <c r="U188" s="5">
        <v>115</v>
      </c>
    </row>
    <row r="189" spans="1:21" x14ac:dyDescent="0.25">
      <c r="A189" s="5" t="s">
        <v>3834</v>
      </c>
      <c r="B189" s="5" t="s">
        <v>3835</v>
      </c>
      <c r="C189" s="5" t="s">
        <v>3548</v>
      </c>
      <c r="D189" s="5" t="s">
        <v>3782</v>
      </c>
      <c r="E189" s="5" t="s">
        <v>3799</v>
      </c>
      <c r="F189" s="5" t="s">
        <v>3564</v>
      </c>
      <c r="G189" s="5"/>
      <c r="H189" s="5"/>
      <c r="I189" s="5" t="s">
        <v>3448</v>
      </c>
      <c r="J189" s="5" t="s">
        <v>3783</v>
      </c>
      <c r="K189" s="5" t="s">
        <v>3799</v>
      </c>
      <c r="L189" s="5">
        <v>25</v>
      </c>
      <c r="M189" s="5">
        <v>1</v>
      </c>
      <c r="N189" s="5" t="s">
        <v>3566</v>
      </c>
      <c r="O189" s="5"/>
      <c r="P189" s="5">
        <v>3</v>
      </c>
      <c r="Q189" s="5">
        <v>1</v>
      </c>
      <c r="R189" s="5"/>
      <c r="S189" s="5">
        <v>42</v>
      </c>
      <c r="T189" s="5">
        <v>42</v>
      </c>
      <c r="U189" s="5">
        <v>42</v>
      </c>
    </row>
    <row r="190" spans="1:21" x14ac:dyDescent="0.25">
      <c r="A190" s="5" t="s">
        <v>3842</v>
      </c>
      <c r="B190" s="5" t="s">
        <v>3843</v>
      </c>
      <c r="C190" s="5" t="s">
        <v>3548</v>
      </c>
      <c r="D190" s="5" t="s">
        <v>3782</v>
      </c>
      <c r="E190" s="5" t="s">
        <v>3799</v>
      </c>
      <c r="F190" s="5" t="s">
        <v>3584</v>
      </c>
      <c r="G190" s="5" t="s">
        <v>3493</v>
      </c>
      <c r="H190" s="5"/>
      <c r="I190" s="5" t="s">
        <v>3448</v>
      </c>
      <c r="J190" s="5" t="s">
        <v>3783</v>
      </c>
      <c r="K190" s="5" t="s">
        <v>3799</v>
      </c>
      <c r="L190" s="5">
        <v>25</v>
      </c>
      <c r="M190" s="5">
        <v>1</v>
      </c>
      <c r="N190" s="5" t="s">
        <v>3585</v>
      </c>
      <c r="O190" s="5" t="s">
        <v>3494</v>
      </c>
      <c r="P190" s="5">
        <v>4</v>
      </c>
      <c r="Q190" s="5">
        <v>1</v>
      </c>
      <c r="R190" s="5"/>
      <c r="S190" s="5">
        <v>25</v>
      </c>
      <c r="T190" s="5">
        <v>25</v>
      </c>
      <c r="U190" s="5">
        <v>25</v>
      </c>
    </row>
    <row r="191" spans="1:21" x14ac:dyDescent="0.25">
      <c r="A191" s="5" t="s">
        <v>3852</v>
      </c>
      <c r="B191" s="5" t="s">
        <v>3853</v>
      </c>
      <c r="C191" s="5" t="s">
        <v>3548</v>
      </c>
      <c r="D191" s="5" t="s">
        <v>3782</v>
      </c>
      <c r="E191" s="5" t="s">
        <v>3799</v>
      </c>
      <c r="F191" s="5" t="s">
        <v>3822</v>
      </c>
      <c r="G191" s="5"/>
      <c r="H191" s="5"/>
      <c r="I191" s="5" t="s">
        <v>3448</v>
      </c>
      <c r="J191" s="5" t="s">
        <v>3783</v>
      </c>
      <c r="K191" s="5" t="s">
        <v>3799</v>
      </c>
      <c r="L191" s="5">
        <v>25</v>
      </c>
      <c r="M191" s="5">
        <v>4</v>
      </c>
      <c r="N191" s="5" t="s">
        <v>3823</v>
      </c>
      <c r="O191" s="5"/>
      <c r="P191" s="5">
        <v>3</v>
      </c>
      <c r="Q191" s="5">
        <v>1</v>
      </c>
      <c r="R191" s="5"/>
      <c r="S191" s="5">
        <v>132</v>
      </c>
      <c r="T191" s="5">
        <v>132</v>
      </c>
      <c r="U191" s="5">
        <v>132</v>
      </c>
    </row>
    <row r="192" spans="1:21" x14ac:dyDescent="0.25">
      <c r="A192" s="5" t="s">
        <v>3854</v>
      </c>
      <c r="B192" s="5" t="s">
        <v>3855</v>
      </c>
      <c r="C192" s="5" t="s">
        <v>3548</v>
      </c>
      <c r="D192" s="5" t="s">
        <v>3782</v>
      </c>
      <c r="E192" s="5" t="s">
        <v>3799</v>
      </c>
      <c r="F192" s="5" t="s">
        <v>3584</v>
      </c>
      <c r="G192" s="5" t="s">
        <v>3493</v>
      </c>
      <c r="H192" s="5"/>
      <c r="I192" s="5" t="s">
        <v>3448</v>
      </c>
      <c r="J192" s="5" t="s">
        <v>3783</v>
      </c>
      <c r="K192" s="5" t="s">
        <v>3799</v>
      </c>
      <c r="L192" s="5">
        <v>30</v>
      </c>
      <c r="M192" s="5">
        <v>2</v>
      </c>
      <c r="N192" s="5" t="s">
        <v>3585</v>
      </c>
      <c r="O192" s="5" t="s">
        <v>3494</v>
      </c>
      <c r="P192" s="5">
        <v>3</v>
      </c>
      <c r="Q192" s="5">
        <v>1</v>
      </c>
      <c r="R192" s="5"/>
      <c r="S192" s="5">
        <v>58</v>
      </c>
      <c r="T192" s="5">
        <v>58</v>
      </c>
      <c r="U192" s="5">
        <v>58</v>
      </c>
    </row>
    <row r="193" spans="1:21" x14ac:dyDescent="0.25">
      <c r="A193" s="5" t="s">
        <v>3856</v>
      </c>
      <c r="B193" s="5" t="s">
        <v>3857</v>
      </c>
      <c r="C193" s="5" t="s">
        <v>3548</v>
      </c>
      <c r="D193" s="5" t="s">
        <v>3782</v>
      </c>
      <c r="E193" s="5" t="s">
        <v>3799</v>
      </c>
      <c r="F193" s="5" t="s">
        <v>3564</v>
      </c>
      <c r="G193" s="5"/>
      <c r="H193" s="5"/>
      <c r="I193" s="5" t="s">
        <v>3448</v>
      </c>
      <c r="J193" s="5" t="s">
        <v>3783</v>
      </c>
      <c r="K193" s="5" t="s">
        <v>3799</v>
      </c>
      <c r="L193" s="5">
        <v>30</v>
      </c>
      <c r="M193" s="5">
        <v>2</v>
      </c>
      <c r="N193" s="5" t="s">
        <v>3566</v>
      </c>
      <c r="O193" s="5"/>
      <c r="P193" s="5">
        <v>3</v>
      </c>
      <c r="Q193" s="5">
        <v>1</v>
      </c>
      <c r="R193" s="5"/>
      <c r="S193" s="5">
        <v>75</v>
      </c>
      <c r="T193" s="5">
        <v>75</v>
      </c>
      <c r="U193" s="5">
        <v>75</v>
      </c>
    </row>
    <row r="194" spans="1:21" x14ac:dyDescent="0.25">
      <c r="A194" s="5" t="s">
        <v>3858</v>
      </c>
      <c r="B194" s="5" t="s">
        <v>3859</v>
      </c>
      <c r="C194" s="5" t="s">
        <v>3548</v>
      </c>
      <c r="D194" s="5" t="s">
        <v>3782</v>
      </c>
      <c r="E194" s="5" t="s">
        <v>3799</v>
      </c>
      <c r="F194" s="5" t="s">
        <v>3822</v>
      </c>
      <c r="G194" s="5"/>
      <c r="H194" s="5"/>
      <c r="I194" s="5" t="s">
        <v>3448</v>
      </c>
      <c r="J194" s="5" t="s">
        <v>3783</v>
      </c>
      <c r="K194" s="5" t="s">
        <v>3799</v>
      </c>
      <c r="L194" s="5">
        <v>30</v>
      </c>
      <c r="M194" s="5">
        <v>2</v>
      </c>
      <c r="N194" s="5" t="s">
        <v>3823</v>
      </c>
      <c r="O194" s="5"/>
      <c r="P194" s="5">
        <v>3</v>
      </c>
      <c r="Q194" s="5">
        <v>1</v>
      </c>
      <c r="R194" s="5"/>
      <c r="S194" s="5">
        <v>74</v>
      </c>
      <c r="T194" s="5">
        <v>74</v>
      </c>
      <c r="U194" s="5">
        <v>74</v>
      </c>
    </row>
    <row r="195" spans="1:21" x14ac:dyDescent="0.25">
      <c r="A195" s="5" t="s">
        <v>3860</v>
      </c>
      <c r="B195" s="5" t="s">
        <v>3861</v>
      </c>
      <c r="C195" s="5" t="s">
        <v>3548</v>
      </c>
      <c r="D195" s="5" t="s">
        <v>3782</v>
      </c>
      <c r="E195" s="5" t="s">
        <v>3799</v>
      </c>
      <c r="F195" s="5" t="s">
        <v>3564</v>
      </c>
      <c r="G195" s="5"/>
      <c r="H195" s="5"/>
      <c r="I195" s="5" t="s">
        <v>3448</v>
      </c>
      <c r="J195" s="5" t="s">
        <v>3783</v>
      </c>
      <c r="K195" s="5" t="s">
        <v>3799</v>
      </c>
      <c r="L195" s="5">
        <v>30</v>
      </c>
      <c r="M195" s="5">
        <v>2</v>
      </c>
      <c r="N195" s="5" t="s">
        <v>3566</v>
      </c>
      <c r="O195" s="5"/>
      <c r="P195" s="5">
        <v>4</v>
      </c>
      <c r="Q195" s="5">
        <v>1</v>
      </c>
      <c r="R195" s="5"/>
      <c r="S195" s="5">
        <v>82</v>
      </c>
      <c r="T195" s="5">
        <v>82</v>
      </c>
      <c r="U195" s="5">
        <v>82</v>
      </c>
    </row>
    <row r="196" spans="1:21" x14ac:dyDescent="0.25">
      <c r="A196" s="5" t="s">
        <v>3862</v>
      </c>
      <c r="B196" s="5" t="s">
        <v>3863</v>
      </c>
      <c r="C196" s="5" t="s">
        <v>3548</v>
      </c>
      <c r="D196" s="5" t="s">
        <v>3782</v>
      </c>
      <c r="E196" s="5" t="s">
        <v>3799</v>
      </c>
      <c r="F196" s="5" t="s">
        <v>3584</v>
      </c>
      <c r="G196" s="5" t="s">
        <v>3493</v>
      </c>
      <c r="H196" s="5"/>
      <c r="I196" s="5" t="s">
        <v>3448</v>
      </c>
      <c r="J196" s="5" t="s">
        <v>3783</v>
      </c>
      <c r="K196" s="5" t="s">
        <v>3799</v>
      </c>
      <c r="L196" s="5">
        <v>30</v>
      </c>
      <c r="M196" s="5">
        <v>1</v>
      </c>
      <c r="N196" s="5" t="s">
        <v>3585</v>
      </c>
      <c r="O196" s="5" t="s">
        <v>3494</v>
      </c>
      <c r="P196" s="5">
        <v>3</v>
      </c>
      <c r="Q196" s="5">
        <v>1</v>
      </c>
      <c r="R196" s="5"/>
      <c r="S196" s="5">
        <v>31</v>
      </c>
      <c r="T196" s="5">
        <v>31</v>
      </c>
      <c r="U196" s="5">
        <v>31</v>
      </c>
    </row>
    <row r="197" spans="1:21" x14ac:dyDescent="0.25">
      <c r="A197" s="5" t="s">
        <v>3864</v>
      </c>
      <c r="B197" s="5" t="s">
        <v>3865</v>
      </c>
      <c r="C197" s="5" t="s">
        <v>3548</v>
      </c>
      <c r="D197" s="5" t="s">
        <v>3782</v>
      </c>
      <c r="E197" s="5" t="s">
        <v>3799</v>
      </c>
      <c r="F197" s="5" t="s">
        <v>3564</v>
      </c>
      <c r="G197" s="5"/>
      <c r="H197" s="5"/>
      <c r="I197" s="5" t="s">
        <v>3448</v>
      </c>
      <c r="J197" s="5" t="s">
        <v>3783</v>
      </c>
      <c r="K197" s="5" t="s">
        <v>3799</v>
      </c>
      <c r="L197" s="5">
        <v>30</v>
      </c>
      <c r="M197" s="5">
        <v>3</v>
      </c>
      <c r="N197" s="5" t="s">
        <v>3566</v>
      </c>
      <c r="O197" s="5"/>
      <c r="P197" s="5">
        <v>3</v>
      </c>
      <c r="Q197" s="5">
        <v>1</v>
      </c>
      <c r="R197" s="5"/>
      <c r="S197" s="5">
        <v>127</v>
      </c>
      <c r="T197" s="5">
        <v>127</v>
      </c>
      <c r="U197" s="5">
        <v>127</v>
      </c>
    </row>
    <row r="198" spans="1:21" x14ac:dyDescent="0.25">
      <c r="A198" s="5" t="s">
        <v>3866</v>
      </c>
      <c r="B198" s="5" t="s">
        <v>3867</v>
      </c>
      <c r="C198" s="5" t="s">
        <v>3548</v>
      </c>
      <c r="D198" s="5" t="s">
        <v>3782</v>
      </c>
      <c r="E198" s="5" t="s">
        <v>3799</v>
      </c>
      <c r="F198" s="5" t="s">
        <v>3822</v>
      </c>
      <c r="G198" s="5"/>
      <c r="H198" s="5"/>
      <c r="I198" s="5" t="s">
        <v>3448</v>
      </c>
      <c r="J198" s="5" t="s">
        <v>3783</v>
      </c>
      <c r="K198" s="5" t="s">
        <v>3799</v>
      </c>
      <c r="L198" s="5">
        <v>30</v>
      </c>
      <c r="M198" s="5">
        <v>3</v>
      </c>
      <c r="N198" s="5" t="s">
        <v>3823</v>
      </c>
      <c r="O198" s="5"/>
      <c r="P198" s="5">
        <v>3</v>
      </c>
      <c r="Q198" s="5">
        <v>1</v>
      </c>
      <c r="R198" s="5"/>
      <c r="S198" s="5">
        <v>120</v>
      </c>
      <c r="T198" s="5">
        <v>120</v>
      </c>
      <c r="U198" s="5">
        <v>120</v>
      </c>
    </row>
    <row r="199" spans="1:21" x14ac:dyDescent="0.25">
      <c r="A199" s="5" t="s">
        <v>3868</v>
      </c>
      <c r="B199" s="5" t="s">
        <v>3869</v>
      </c>
      <c r="C199" s="5" t="s">
        <v>3548</v>
      </c>
      <c r="D199" s="5" t="s">
        <v>3782</v>
      </c>
      <c r="E199" s="5" t="s">
        <v>3799</v>
      </c>
      <c r="F199" s="5" t="s">
        <v>3564</v>
      </c>
      <c r="G199" s="5"/>
      <c r="H199" s="5"/>
      <c r="I199" s="5" t="s">
        <v>3448</v>
      </c>
      <c r="J199" s="5" t="s">
        <v>3783</v>
      </c>
      <c r="K199" s="5" t="s">
        <v>3799</v>
      </c>
      <c r="L199" s="5">
        <v>30</v>
      </c>
      <c r="M199" s="5">
        <v>3</v>
      </c>
      <c r="N199" s="5" t="s">
        <v>3566</v>
      </c>
      <c r="O199" s="5"/>
      <c r="P199" s="5">
        <v>4</v>
      </c>
      <c r="Q199" s="5">
        <v>2</v>
      </c>
      <c r="R199" s="5"/>
      <c r="S199" s="5">
        <v>133</v>
      </c>
      <c r="T199" s="5">
        <v>133</v>
      </c>
      <c r="U199" s="5">
        <v>133</v>
      </c>
    </row>
    <row r="200" spans="1:21" x14ac:dyDescent="0.25">
      <c r="A200" s="5" t="s">
        <v>3870</v>
      </c>
      <c r="B200" s="5" t="s">
        <v>3871</v>
      </c>
      <c r="C200" s="5" t="s">
        <v>3548</v>
      </c>
      <c r="D200" s="5" t="s">
        <v>3782</v>
      </c>
      <c r="E200" s="5" t="s">
        <v>3799</v>
      </c>
      <c r="F200" s="5" t="s">
        <v>3564</v>
      </c>
      <c r="G200" s="5"/>
      <c r="H200" s="5"/>
      <c r="I200" s="5" t="s">
        <v>3448</v>
      </c>
      <c r="J200" s="5" t="s">
        <v>3783</v>
      </c>
      <c r="K200" s="5" t="s">
        <v>3799</v>
      </c>
      <c r="L200" s="5">
        <v>30</v>
      </c>
      <c r="M200" s="5">
        <v>3</v>
      </c>
      <c r="N200" s="5" t="s">
        <v>3566</v>
      </c>
      <c r="O200" s="5"/>
      <c r="P200" s="5">
        <v>4</v>
      </c>
      <c r="Q200" s="5">
        <v>1</v>
      </c>
      <c r="R200" s="5"/>
      <c r="S200" s="5">
        <v>133</v>
      </c>
      <c r="T200" s="5">
        <v>133</v>
      </c>
      <c r="U200" s="5">
        <v>133</v>
      </c>
    </row>
    <row r="201" spans="1:21" x14ac:dyDescent="0.25">
      <c r="A201" s="5" t="s">
        <v>3872</v>
      </c>
      <c r="B201" s="5" t="s">
        <v>3873</v>
      </c>
      <c r="C201" s="5" t="s">
        <v>3548</v>
      </c>
      <c r="D201" s="5" t="s">
        <v>3782</v>
      </c>
      <c r="E201" s="5" t="s">
        <v>3799</v>
      </c>
      <c r="F201" s="5" t="s">
        <v>3564</v>
      </c>
      <c r="G201" s="5"/>
      <c r="H201" s="5"/>
      <c r="I201" s="5" t="s">
        <v>3448</v>
      </c>
      <c r="J201" s="5" t="s">
        <v>3783</v>
      </c>
      <c r="K201" s="5" t="s">
        <v>3799</v>
      </c>
      <c r="L201" s="5">
        <v>30</v>
      </c>
      <c r="M201" s="5">
        <v>1</v>
      </c>
      <c r="N201" s="5" t="s">
        <v>3566</v>
      </c>
      <c r="O201" s="5"/>
      <c r="P201" s="5">
        <v>3</v>
      </c>
      <c r="Q201" s="5">
        <v>1</v>
      </c>
      <c r="R201" s="5"/>
      <c r="S201" s="5">
        <v>46</v>
      </c>
      <c r="T201" s="5">
        <v>46</v>
      </c>
      <c r="U201" s="5">
        <v>46</v>
      </c>
    </row>
    <row r="202" spans="1:21" x14ac:dyDescent="0.25">
      <c r="A202" s="5" t="s">
        <v>3878</v>
      </c>
      <c r="B202" s="5" t="s">
        <v>3879</v>
      </c>
      <c r="C202" s="5" t="s">
        <v>3548</v>
      </c>
      <c r="D202" s="5" t="s">
        <v>3782</v>
      </c>
      <c r="E202" s="5" t="s">
        <v>3799</v>
      </c>
      <c r="F202" s="5" t="s">
        <v>3584</v>
      </c>
      <c r="G202" s="5" t="s">
        <v>3493</v>
      </c>
      <c r="H202" s="5"/>
      <c r="I202" s="5" t="s">
        <v>3448</v>
      </c>
      <c r="J202" s="5" t="s">
        <v>3783</v>
      </c>
      <c r="K202" s="5" t="s">
        <v>3799</v>
      </c>
      <c r="L202" s="5">
        <v>30</v>
      </c>
      <c r="M202" s="5">
        <v>4</v>
      </c>
      <c r="N202" s="5" t="s">
        <v>3585</v>
      </c>
      <c r="O202" s="5" t="s">
        <v>3494</v>
      </c>
      <c r="P202" s="5">
        <v>3</v>
      </c>
      <c r="Q202" s="5">
        <v>2</v>
      </c>
      <c r="R202" s="5"/>
      <c r="S202" s="5">
        <v>116</v>
      </c>
      <c r="T202" s="5">
        <v>116</v>
      </c>
      <c r="U202" s="5">
        <v>116</v>
      </c>
    </row>
    <row r="203" spans="1:21" x14ac:dyDescent="0.25">
      <c r="A203" s="5" t="s">
        <v>3880</v>
      </c>
      <c r="B203" s="5" t="s">
        <v>3881</v>
      </c>
      <c r="C203" s="5" t="s">
        <v>3548</v>
      </c>
      <c r="D203" s="5" t="s">
        <v>3782</v>
      </c>
      <c r="E203" s="5" t="s">
        <v>3799</v>
      </c>
      <c r="F203" s="5" t="s">
        <v>3564</v>
      </c>
      <c r="G203" s="5"/>
      <c r="H203" s="5"/>
      <c r="I203" s="5" t="s">
        <v>3448</v>
      </c>
      <c r="J203" s="5" t="s">
        <v>3783</v>
      </c>
      <c r="K203" s="5" t="s">
        <v>3799</v>
      </c>
      <c r="L203" s="5">
        <v>30</v>
      </c>
      <c r="M203" s="5">
        <v>4</v>
      </c>
      <c r="N203" s="5" t="s">
        <v>3566</v>
      </c>
      <c r="O203" s="5"/>
      <c r="P203" s="5">
        <v>3</v>
      </c>
      <c r="Q203" s="5">
        <v>1</v>
      </c>
      <c r="R203" s="5"/>
      <c r="S203" s="5">
        <v>150</v>
      </c>
      <c r="T203" s="5">
        <v>150</v>
      </c>
      <c r="U203" s="5">
        <v>150</v>
      </c>
    </row>
    <row r="204" spans="1:21" x14ac:dyDescent="0.25">
      <c r="A204" s="5" t="s">
        <v>3882</v>
      </c>
      <c r="B204" s="5" t="s">
        <v>3883</v>
      </c>
      <c r="C204" s="5" t="s">
        <v>3548</v>
      </c>
      <c r="D204" s="5" t="s">
        <v>3782</v>
      </c>
      <c r="E204" s="5" t="s">
        <v>3799</v>
      </c>
      <c r="F204" s="5" t="s">
        <v>3822</v>
      </c>
      <c r="G204" s="5"/>
      <c r="H204" s="5"/>
      <c r="I204" s="5" t="s">
        <v>3448</v>
      </c>
      <c r="J204" s="5" t="s">
        <v>3783</v>
      </c>
      <c r="K204" s="5" t="s">
        <v>3799</v>
      </c>
      <c r="L204" s="5">
        <v>30</v>
      </c>
      <c r="M204" s="5">
        <v>4</v>
      </c>
      <c r="N204" s="5" t="s">
        <v>3823</v>
      </c>
      <c r="O204" s="5"/>
      <c r="P204" s="5">
        <v>3</v>
      </c>
      <c r="Q204" s="5">
        <v>1</v>
      </c>
      <c r="R204" s="5"/>
      <c r="S204" s="5">
        <v>148</v>
      </c>
      <c r="T204" s="5">
        <v>148</v>
      </c>
      <c r="U204" s="5">
        <v>148</v>
      </c>
    </row>
    <row r="205" spans="1:21" x14ac:dyDescent="0.25">
      <c r="A205" s="5" t="s">
        <v>3884</v>
      </c>
      <c r="B205" s="5" t="s">
        <v>3885</v>
      </c>
      <c r="C205" s="5" t="s">
        <v>3548</v>
      </c>
      <c r="D205" s="5" t="s">
        <v>3782</v>
      </c>
      <c r="E205" s="5" t="s">
        <v>3799</v>
      </c>
      <c r="F205" s="5" t="s">
        <v>3564</v>
      </c>
      <c r="G205" s="5"/>
      <c r="H205" s="5"/>
      <c r="I205" s="5" t="s">
        <v>3448</v>
      </c>
      <c r="J205" s="5" t="s">
        <v>3783</v>
      </c>
      <c r="K205" s="5" t="s">
        <v>3799</v>
      </c>
      <c r="L205" s="5">
        <v>30</v>
      </c>
      <c r="M205" s="5">
        <v>4</v>
      </c>
      <c r="N205" s="5" t="s">
        <v>3566</v>
      </c>
      <c r="O205" s="5"/>
      <c r="P205" s="5">
        <v>4</v>
      </c>
      <c r="Q205" s="5">
        <v>2</v>
      </c>
      <c r="R205" s="5"/>
      <c r="S205" s="5">
        <v>164</v>
      </c>
      <c r="T205" s="5">
        <v>164</v>
      </c>
      <c r="U205" s="5">
        <v>164</v>
      </c>
    </row>
    <row r="206" spans="1:21" x14ac:dyDescent="0.25">
      <c r="A206" s="5" t="s">
        <v>3886</v>
      </c>
      <c r="B206" s="5" t="s">
        <v>3887</v>
      </c>
      <c r="C206" s="5" t="s">
        <v>3548</v>
      </c>
      <c r="D206" s="5" t="s">
        <v>3782</v>
      </c>
      <c r="E206" s="5" t="s">
        <v>3799</v>
      </c>
      <c r="F206" s="5" t="s">
        <v>3564</v>
      </c>
      <c r="G206" s="5"/>
      <c r="H206" s="5"/>
      <c r="I206" s="5" t="s">
        <v>3448</v>
      </c>
      <c r="J206" s="5" t="s">
        <v>3783</v>
      </c>
      <c r="K206" s="5" t="s">
        <v>3799</v>
      </c>
      <c r="L206" s="5">
        <v>30</v>
      </c>
      <c r="M206" s="5">
        <v>1</v>
      </c>
      <c r="N206" s="5" t="s">
        <v>3566</v>
      </c>
      <c r="O206" s="5"/>
      <c r="P206" s="5">
        <v>4</v>
      </c>
      <c r="Q206" s="5">
        <v>1</v>
      </c>
      <c r="R206" s="5"/>
      <c r="S206" s="5">
        <v>51</v>
      </c>
      <c r="T206" s="5">
        <v>51</v>
      </c>
      <c r="U206" s="5">
        <v>51</v>
      </c>
    </row>
    <row r="207" spans="1:21" x14ac:dyDescent="0.25">
      <c r="A207" s="5" t="s">
        <v>3888</v>
      </c>
      <c r="B207" s="5" t="s">
        <v>3889</v>
      </c>
      <c r="C207" s="5" t="s">
        <v>3548</v>
      </c>
      <c r="D207" s="5" t="s">
        <v>3782</v>
      </c>
      <c r="E207" s="5" t="s">
        <v>3799</v>
      </c>
      <c r="F207" s="5" t="s">
        <v>3564</v>
      </c>
      <c r="G207" s="5"/>
      <c r="H207" s="5"/>
      <c r="I207" s="5" t="s">
        <v>3448</v>
      </c>
      <c r="J207" s="5" t="s">
        <v>3783</v>
      </c>
      <c r="K207" s="5" t="s">
        <v>3799</v>
      </c>
      <c r="L207" s="5">
        <v>30</v>
      </c>
      <c r="M207" s="5">
        <v>6</v>
      </c>
      <c r="N207" s="5" t="s">
        <v>3566</v>
      </c>
      <c r="O207" s="5"/>
      <c r="P207" s="5">
        <v>3</v>
      </c>
      <c r="Q207" s="5">
        <v>1</v>
      </c>
      <c r="R207" s="5"/>
      <c r="S207" s="5">
        <v>219</v>
      </c>
      <c r="T207" s="5">
        <v>219</v>
      </c>
      <c r="U207" s="5">
        <v>219</v>
      </c>
    </row>
    <row r="208" spans="1:21" x14ac:dyDescent="0.25">
      <c r="A208" s="5" t="s">
        <v>3890</v>
      </c>
      <c r="B208" s="5" t="s">
        <v>3891</v>
      </c>
      <c r="C208" s="5" t="s">
        <v>3548</v>
      </c>
      <c r="D208" s="5" t="s">
        <v>3782</v>
      </c>
      <c r="E208" s="5" t="s">
        <v>3799</v>
      </c>
      <c r="F208" s="5" t="s">
        <v>3822</v>
      </c>
      <c r="G208" s="5"/>
      <c r="H208" s="5"/>
      <c r="I208" s="5" t="s">
        <v>3448</v>
      </c>
      <c r="J208" s="5" t="s">
        <v>3783</v>
      </c>
      <c r="K208" s="5" t="s">
        <v>3799</v>
      </c>
      <c r="L208" s="5">
        <v>30</v>
      </c>
      <c r="M208" s="5">
        <v>6</v>
      </c>
      <c r="N208" s="5" t="s">
        <v>3823</v>
      </c>
      <c r="O208" s="5"/>
      <c r="P208" s="5">
        <v>3</v>
      </c>
      <c r="Q208" s="5">
        <v>1</v>
      </c>
      <c r="R208" s="5"/>
      <c r="S208" s="5">
        <v>198</v>
      </c>
      <c r="T208" s="5">
        <v>198</v>
      </c>
      <c r="U208" s="5">
        <v>198</v>
      </c>
    </row>
    <row r="209" spans="1:21" x14ac:dyDescent="0.25">
      <c r="A209" s="5" t="s">
        <v>3892</v>
      </c>
      <c r="B209" s="5" t="s">
        <v>3893</v>
      </c>
      <c r="C209" s="5" t="s">
        <v>3548</v>
      </c>
      <c r="D209" s="5" t="s">
        <v>3782</v>
      </c>
      <c r="E209" s="5" t="s">
        <v>3799</v>
      </c>
      <c r="F209" s="5" t="s">
        <v>3822</v>
      </c>
      <c r="G209" s="5"/>
      <c r="H209" s="5"/>
      <c r="I209" s="5" t="s">
        <v>3448</v>
      </c>
      <c r="J209" s="5" t="s">
        <v>3783</v>
      </c>
      <c r="K209" s="5" t="s">
        <v>3799</v>
      </c>
      <c r="L209" s="5">
        <v>34</v>
      </c>
      <c r="M209" s="5">
        <v>2</v>
      </c>
      <c r="N209" s="5" t="s">
        <v>3823</v>
      </c>
      <c r="O209" s="5"/>
      <c r="P209" s="5">
        <v>4</v>
      </c>
      <c r="Q209" s="5">
        <v>2</v>
      </c>
      <c r="R209" s="5"/>
      <c r="S209" s="5">
        <v>86</v>
      </c>
      <c r="T209" s="5">
        <v>86</v>
      </c>
      <c r="U209" s="5">
        <v>86</v>
      </c>
    </row>
    <row r="210" spans="1:21" x14ac:dyDescent="0.25">
      <c r="A210" s="5" t="s">
        <v>3894</v>
      </c>
      <c r="B210" s="5" t="s">
        <v>3895</v>
      </c>
      <c r="C210" s="5" t="s">
        <v>3548</v>
      </c>
      <c r="D210" s="5" t="s">
        <v>3782</v>
      </c>
      <c r="E210" s="5" t="s">
        <v>3799</v>
      </c>
      <c r="F210" s="5" t="s">
        <v>3584</v>
      </c>
      <c r="G210" s="5" t="s">
        <v>3493</v>
      </c>
      <c r="H210" s="5"/>
      <c r="I210" s="5" t="s">
        <v>3448</v>
      </c>
      <c r="J210" s="5" t="s">
        <v>3783</v>
      </c>
      <c r="K210" s="5" t="s">
        <v>3799</v>
      </c>
      <c r="L210" s="5">
        <v>34</v>
      </c>
      <c r="M210" s="5">
        <v>2</v>
      </c>
      <c r="N210" s="5" t="s">
        <v>3585</v>
      </c>
      <c r="O210" s="5" t="s">
        <v>3494</v>
      </c>
      <c r="P210" s="5">
        <v>4</v>
      </c>
      <c r="Q210" s="5">
        <v>1</v>
      </c>
      <c r="R210" s="5"/>
      <c r="S210" s="5">
        <v>72</v>
      </c>
      <c r="T210" s="5">
        <v>60</v>
      </c>
      <c r="U210" s="5">
        <v>72</v>
      </c>
    </row>
    <row r="211" spans="1:21" x14ac:dyDescent="0.25">
      <c r="A211" s="5" t="s">
        <v>3896</v>
      </c>
      <c r="B211" s="5" t="s">
        <v>3897</v>
      </c>
      <c r="C211" s="5" t="s">
        <v>3548</v>
      </c>
      <c r="D211" s="5" t="s">
        <v>3782</v>
      </c>
      <c r="E211" s="5" t="s">
        <v>3799</v>
      </c>
      <c r="F211" s="5" t="s">
        <v>3564</v>
      </c>
      <c r="G211" s="5"/>
      <c r="H211" s="5"/>
      <c r="I211" s="5" t="s">
        <v>3448</v>
      </c>
      <c r="J211" s="5" t="s">
        <v>3783</v>
      </c>
      <c r="K211" s="5" t="s">
        <v>3799</v>
      </c>
      <c r="L211" s="5">
        <v>34</v>
      </c>
      <c r="M211" s="5">
        <v>2</v>
      </c>
      <c r="N211" s="5" t="s">
        <v>3566</v>
      </c>
      <c r="O211" s="5"/>
      <c r="P211" s="5">
        <v>4</v>
      </c>
      <c r="Q211" s="5">
        <v>1</v>
      </c>
      <c r="R211" s="5"/>
      <c r="S211" s="5">
        <v>82</v>
      </c>
      <c r="T211" s="5">
        <v>72</v>
      </c>
      <c r="U211" s="5">
        <v>82</v>
      </c>
    </row>
    <row r="212" spans="1:21" x14ac:dyDescent="0.25">
      <c r="A212" s="5" t="s">
        <v>3898</v>
      </c>
      <c r="B212" s="5" t="s">
        <v>3899</v>
      </c>
      <c r="C212" s="5" t="s">
        <v>3548</v>
      </c>
      <c r="D212" s="5" t="s">
        <v>3782</v>
      </c>
      <c r="E212" s="5" t="s">
        <v>3799</v>
      </c>
      <c r="F212" s="5" t="s">
        <v>3822</v>
      </c>
      <c r="G212" s="5"/>
      <c r="H212" s="5"/>
      <c r="I212" s="5" t="s">
        <v>3448</v>
      </c>
      <c r="J212" s="5" t="s">
        <v>3783</v>
      </c>
      <c r="K212" s="5" t="s">
        <v>3799</v>
      </c>
      <c r="L212" s="5">
        <v>34</v>
      </c>
      <c r="M212" s="5">
        <v>2</v>
      </c>
      <c r="N212" s="5" t="s">
        <v>3823</v>
      </c>
      <c r="O212" s="5"/>
      <c r="P212" s="5">
        <v>4</v>
      </c>
      <c r="Q212" s="5">
        <v>1</v>
      </c>
      <c r="R212" s="5"/>
      <c r="S212" s="5">
        <v>72</v>
      </c>
      <c r="T212" s="5">
        <v>72</v>
      </c>
      <c r="U212" s="5">
        <v>72</v>
      </c>
    </row>
    <row r="213" spans="1:21" x14ac:dyDescent="0.25">
      <c r="A213" s="5" t="s">
        <v>3900</v>
      </c>
      <c r="B213" s="5" t="s">
        <v>3901</v>
      </c>
      <c r="C213" s="5" t="s">
        <v>3548</v>
      </c>
      <c r="D213" s="5" t="s">
        <v>3782</v>
      </c>
      <c r="E213" s="5" t="s">
        <v>3799</v>
      </c>
      <c r="F213" s="5" t="s">
        <v>3564</v>
      </c>
      <c r="G213" s="5"/>
      <c r="H213" s="5"/>
      <c r="I213" s="5" t="s">
        <v>3448</v>
      </c>
      <c r="J213" s="5" t="s">
        <v>3783</v>
      </c>
      <c r="K213" s="5" t="s">
        <v>3799</v>
      </c>
      <c r="L213" s="5">
        <v>34</v>
      </c>
      <c r="M213" s="5">
        <v>3</v>
      </c>
      <c r="N213" s="5" t="s">
        <v>3566</v>
      </c>
      <c r="O213" s="5"/>
      <c r="P213" s="5">
        <v>4</v>
      </c>
      <c r="Q213" s="5">
        <v>2</v>
      </c>
      <c r="R213" s="5"/>
      <c r="S213" s="5">
        <v>115</v>
      </c>
      <c r="T213" s="5">
        <v>115</v>
      </c>
      <c r="U213" s="5">
        <v>115</v>
      </c>
    </row>
    <row r="214" spans="1:21" x14ac:dyDescent="0.25">
      <c r="A214" s="5" t="s">
        <v>3902</v>
      </c>
      <c r="B214" s="5" t="s">
        <v>3903</v>
      </c>
      <c r="C214" s="5" t="s">
        <v>3548</v>
      </c>
      <c r="D214" s="5" t="s">
        <v>3782</v>
      </c>
      <c r="E214" s="5" t="s">
        <v>3799</v>
      </c>
      <c r="F214" s="5" t="s">
        <v>3822</v>
      </c>
      <c r="G214" s="5"/>
      <c r="H214" s="5"/>
      <c r="I214" s="5" t="s">
        <v>3448</v>
      </c>
      <c r="J214" s="5" t="s">
        <v>3783</v>
      </c>
      <c r="K214" s="5" t="s">
        <v>3799</v>
      </c>
      <c r="L214" s="5">
        <v>34</v>
      </c>
      <c r="M214" s="5">
        <v>3</v>
      </c>
      <c r="N214" s="5" t="s">
        <v>3823</v>
      </c>
      <c r="O214" s="5"/>
      <c r="P214" s="5">
        <v>4</v>
      </c>
      <c r="Q214" s="5">
        <v>2</v>
      </c>
      <c r="R214" s="5"/>
      <c r="S214" s="5">
        <v>115</v>
      </c>
      <c r="T214" s="5">
        <v>115</v>
      </c>
      <c r="U214" s="5">
        <v>115</v>
      </c>
    </row>
    <row r="215" spans="1:21" x14ac:dyDescent="0.25">
      <c r="A215" s="5" t="s">
        <v>3904</v>
      </c>
      <c r="B215" s="5" t="s">
        <v>3905</v>
      </c>
      <c r="C215" s="5" t="s">
        <v>3548</v>
      </c>
      <c r="D215" s="5" t="s">
        <v>3782</v>
      </c>
      <c r="E215" s="5" t="s">
        <v>3799</v>
      </c>
      <c r="F215" s="5" t="s">
        <v>3584</v>
      </c>
      <c r="G215" s="5" t="s">
        <v>3493</v>
      </c>
      <c r="H215" s="5"/>
      <c r="I215" s="5" t="s">
        <v>3448</v>
      </c>
      <c r="J215" s="5" t="s">
        <v>3783</v>
      </c>
      <c r="K215" s="5" t="s">
        <v>3799</v>
      </c>
      <c r="L215" s="5">
        <v>34</v>
      </c>
      <c r="M215" s="5">
        <v>3</v>
      </c>
      <c r="N215" s="5" t="s">
        <v>3585</v>
      </c>
      <c r="O215" s="5" t="s">
        <v>3494</v>
      </c>
      <c r="P215" s="5">
        <v>4</v>
      </c>
      <c r="Q215" s="5">
        <v>1</v>
      </c>
      <c r="R215" s="5"/>
      <c r="S215" s="5">
        <v>92</v>
      </c>
      <c r="T215" s="5">
        <v>92</v>
      </c>
      <c r="U215" s="5">
        <v>92</v>
      </c>
    </row>
    <row r="216" spans="1:21" x14ac:dyDescent="0.25">
      <c r="A216" s="5" t="s">
        <v>3906</v>
      </c>
      <c r="B216" s="5" t="s">
        <v>3907</v>
      </c>
      <c r="C216" s="5" t="s">
        <v>3548</v>
      </c>
      <c r="D216" s="5" t="s">
        <v>3782</v>
      </c>
      <c r="E216" s="5" t="s">
        <v>3799</v>
      </c>
      <c r="F216" s="5" t="s">
        <v>3564</v>
      </c>
      <c r="G216" s="5"/>
      <c r="H216" s="5"/>
      <c r="I216" s="5" t="s">
        <v>3448</v>
      </c>
      <c r="J216" s="5" t="s">
        <v>3783</v>
      </c>
      <c r="K216" s="5" t="s">
        <v>3799</v>
      </c>
      <c r="L216" s="5">
        <v>34</v>
      </c>
      <c r="M216" s="5">
        <v>3</v>
      </c>
      <c r="N216" s="5" t="s">
        <v>3566</v>
      </c>
      <c r="O216" s="5"/>
      <c r="P216" s="5">
        <v>4</v>
      </c>
      <c r="Q216" s="5">
        <v>1</v>
      </c>
      <c r="R216" s="5"/>
      <c r="S216" s="5">
        <v>130</v>
      </c>
      <c r="T216" s="5">
        <v>115</v>
      </c>
      <c r="U216" s="5">
        <v>130</v>
      </c>
    </row>
    <row r="217" spans="1:21" x14ac:dyDescent="0.25">
      <c r="A217" s="5" t="s">
        <v>3910</v>
      </c>
      <c r="B217" s="5" t="s">
        <v>3911</v>
      </c>
      <c r="C217" s="5" t="s">
        <v>3548</v>
      </c>
      <c r="D217" s="5" t="s">
        <v>3782</v>
      </c>
      <c r="E217" s="5" t="s">
        <v>3799</v>
      </c>
      <c r="F217" s="5" t="s">
        <v>3822</v>
      </c>
      <c r="G217" s="5"/>
      <c r="H217" s="5"/>
      <c r="I217" s="5" t="s">
        <v>3448</v>
      </c>
      <c r="J217" s="5" t="s">
        <v>3783</v>
      </c>
      <c r="K217" s="5" t="s">
        <v>3799</v>
      </c>
      <c r="L217" s="5">
        <v>34</v>
      </c>
      <c r="M217" s="5">
        <v>3</v>
      </c>
      <c r="N217" s="5" t="s">
        <v>3823</v>
      </c>
      <c r="O217" s="5"/>
      <c r="P217" s="5">
        <v>4</v>
      </c>
      <c r="Q217" s="5">
        <v>1</v>
      </c>
      <c r="R217" s="5"/>
      <c r="S217" s="5">
        <v>115</v>
      </c>
      <c r="T217" s="5">
        <v>115</v>
      </c>
      <c r="U217" s="5">
        <v>115</v>
      </c>
    </row>
    <row r="218" spans="1:21" x14ac:dyDescent="0.25">
      <c r="A218" s="5" t="s">
        <v>3914</v>
      </c>
      <c r="B218" s="5" t="s">
        <v>3915</v>
      </c>
      <c r="C218" s="5" t="s">
        <v>3548</v>
      </c>
      <c r="D218" s="5" t="s">
        <v>3782</v>
      </c>
      <c r="E218" s="5" t="s">
        <v>3799</v>
      </c>
      <c r="F218" s="5" t="s">
        <v>3584</v>
      </c>
      <c r="G218" s="5" t="s">
        <v>3493</v>
      </c>
      <c r="H218" s="5"/>
      <c r="I218" s="5" t="s">
        <v>3448</v>
      </c>
      <c r="J218" s="5" t="s">
        <v>3783</v>
      </c>
      <c r="K218" s="5" t="s">
        <v>3799</v>
      </c>
      <c r="L218" s="5">
        <v>34</v>
      </c>
      <c r="M218" s="5">
        <v>1</v>
      </c>
      <c r="N218" s="5" t="s">
        <v>3585</v>
      </c>
      <c r="O218" s="5" t="s">
        <v>3494</v>
      </c>
      <c r="P218" s="5">
        <v>4</v>
      </c>
      <c r="Q218" s="5">
        <v>1</v>
      </c>
      <c r="R218" s="5"/>
      <c r="S218" s="5">
        <v>32</v>
      </c>
      <c r="T218" s="5">
        <v>32</v>
      </c>
      <c r="U218" s="5">
        <v>32</v>
      </c>
    </row>
    <row r="219" spans="1:21" x14ac:dyDescent="0.25">
      <c r="A219" s="5" t="s">
        <v>3916</v>
      </c>
      <c r="B219" s="5" t="s">
        <v>3917</v>
      </c>
      <c r="C219" s="5" t="s">
        <v>3548</v>
      </c>
      <c r="D219" s="5" t="s">
        <v>3782</v>
      </c>
      <c r="E219" s="5" t="s">
        <v>3799</v>
      </c>
      <c r="F219" s="5" t="s">
        <v>3564</v>
      </c>
      <c r="G219" s="5"/>
      <c r="H219" s="5"/>
      <c r="I219" s="5" t="s">
        <v>3448</v>
      </c>
      <c r="J219" s="5" t="s">
        <v>3783</v>
      </c>
      <c r="K219" s="5" t="s">
        <v>3799</v>
      </c>
      <c r="L219" s="5">
        <v>34</v>
      </c>
      <c r="M219" s="5">
        <v>4</v>
      </c>
      <c r="N219" s="5" t="s">
        <v>3566</v>
      </c>
      <c r="O219" s="5"/>
      <c r="P219" s="5">
        <v>4</v>
      </c>
      <c r="Q219" s="5">
        <v>2</v>
      </c>
      <c r="R219" s="5"/>
      <c r="S219" s="5">
        <v>164</v>
      </c>
      <c r="T219" s="5">
        <v>144</v>
      </c>
      <c r="U219" s="5">
        <v>164</v>
      </c>
    </row>
    <row r="220" spans="1:21" x14ac:dyDescent="0.25">
      <c r="A220" s="5" t="s">
        <v>3918</v>
      </c>
      <c r="B220" s="5" t="s">
        <v>3919</v>
      </c>
      <c r="C220" s="5" t="s">
        <v>3548</v>
      </c>
      <c r="D220" s="5" t="s">
        <v>3782</v>
      </c>
      <c r="E220" s="5" t="s">
        <v>3799</v>
      </c>
      <c r="F220" s="5" t="s">
        <v>3822</v>
      </c>
      <c r="G220" s="5"/>
      <c r="H220" s="5"/>
      <c r="I220" s="5" t="s">
        <v>3448</v>
      </c>
      <c r="J220" s="5" t="s">
        <v>3783</v>
      </c>
      <c r="K220" s="5" t="s">
        <v>3799</v>
      </c>
      <c r="L220" s="5">
        <v>34</v>
      </c>
      <c r="M220" s="5">
        <v>4</v>
      </c>
      <c r="N220" s="5" t="s">
        <v>3823</v>
      </c>
      <c r="O220" s="5"/>
      <c r="P220" s="5">
        <v>4</v>
      </c>
      <c r="Q220" s="5">
        <v>2</v>
      </c>
      <c r="R220" s="5"/>
      <c r="S220" s="5">
        <v>144</v>
      </c>
      <c r="T220" s="5">
        <v>144</v>
      </c>
      <c r="U220" s="5">
        <v>144</v>
      </c>
    </row>
    <row r="221" spans="1:21" x14ac:dyDescent="0.25">
      <c r="A221" s="5" t="s">
        <v>3920</v>
      </c>
      <c r="B221" s="5" t="s">
        <v>3921</v>
      </c>
      <c r="C221" s="5" t="s">
        <v>3548</v>
      </c>
      <c r="D221" s="5" t="s">
        <v>3782</v>
      </c>
      <c r="E221" s="5" t="s">
        <v>3799</v>
      </c>
      <c r="F221" s="5" t="s">
        <v>3584</v>
      </c>
      <c r="G221" s="5" t="s">
        <v>3493</v>
      </c>
      <c r="H221" s="5"/>
      <c r="I221" s="5" t="s">
        <v>3448</v>
      </c>
      <c r="J221" s="5" t="s">
        <v>3783</v>
      </c>
      <c r="K221" s="5" t="s">
        <v>3799</v>
      </c>
      <c r="L221" s="5">
        <v>34</v>
      </c>
      <c r="M221" s="5">
        <v>4</v>
      </c>
      <c r="N221" s="5" t="s">
        <v>3585</v>
      </c>
      <c r="O221" s="5" t="s">
        <v>3494</v>
      </c>
      <c r="P221" s="5">
        <v>4</v>
      </c>
      <c r="Q221" s="5">
        <v>1</v>
      </c>
      <c r="R221" s="5"/>
      <c r="S221" s="5">
        <v>120</v>
      </c>
      <c r="T221" s="5">
        <v>120</v>
      </c>
      <c r="U221" s="5">
        <v>120</v>
      </c>
    </row>
    <row r="222" spans="1:21" x14ac:dyDescent="0.25">
      <c r="A222" s="5" t="s">
        <v>3922</v>
      </c>
      <c r="B222" s="5" t="s">
        <v>3923</v>
      </c>
      <c r="C222" s="5" t="s">
        <v>3548</v>
      </c>
      <c r="D222" s="5" t="s">
        <v>3782</v>
      </c>
      <c r="E222" s="5" t="s">
        <v>3799</v>
      </c>
      <c r="F222" s="5" t="s">
        <v>3564</v>
      </c>
      <c r="G222" s="5"/>
      <c r="H222" s="5"/>
      <c r="I222" s="5" t="s">
        <v>3448</v>
      </c>
      <c r="J222" s="5" t="s">
        <v>3783</v>
      </c>
      <c r="K222" s="5" t="s">
        <v>3799</v>
      </c>
      <c r="L222" s="5">
        <v>34</v>
      </c>
      <c r="M222" s="5">
        <v>1</v>
      </c>
      <c r="N222" s="5" t="s">
        <v>3566</v>
      </c>
      <c r="O222" s="5"/>
      <c r="P222" s="5">
        <v>4</v>
      </c>
      <c r="Q222" s="5">
        <v>1</v>
      </c>
      <c r="R222" s="5"/>
      <c r="S222" s="5">
        <v>48</v>
      </c>
      <c r="T222" s="5">
        <v>48</v>
      </c>
      <c r="U222" s="5">
        <v>48</v>
      </c>
    </row>
    <row r="223" spans="1:21" x14ac:dyDescent="0.25">
      <c r="A223" s="5" t="s">
        <v>3924</v>
      </c>
      <c r="B223" s="5" t="s">
        <v>3925</v>
      </c>
      <c r="C223" s="5" t="s">
        <v>3548</v>
      </c>
      <c r="D223" s="5" t="s">
        <v>3782</v>
      </c>
      <c r="E223" s="5" t="s">
        <v>3799</v>
      </c>
      <c r="F223" s="5" t="s">
        <v>3822</v>
      </c>
      <c r="G223" s="5"/>
      <c r="H223" s="5"/>
      <c r="I223" s="5" t="s">
        <v>3448</v>
      </c>
      <c r="J223" s="5" t="s">
        <v>3783</v>
      </c>
      <c r="K223" s="5" t="s">
        <v>3799</v>
      </c>
      <c r="L223" s="5">
        <v>34</v>
      </c>
      <c r="M223" s="5">
        <v>1</v>
      </c>
      <c r="N223" s="5" t="s">
        <v>3823</v>
      </c>
      <c r="O223" s="5"/>
      <c r="P223" s="5">
        <v>4</v>
      </c>
      <c r="Q223" s="5">
        <v>1</v>
      </c>
      <c r="R223" s="5"/>
      <c r="S223" s="5">
        <v>43</v>
      </c>
      <c r="T223" s="5">
        <v>43</v>
      </c>
      <c r="U223" s="5">
        <v>43</v>
      </c>
    </row>
    <row r="224" spans="1:21" x14ac:dyDescent="0.25">
      <c r="A224" s="5" t="s">
        <v>3928</v>
      </c>
      <c r="B224" s="5" t="s">
        <v>3929</v>
      </c>
      <c r="C224" s="5" t="s">
        <v>3548</v>
      </c>
      <c r="D224" s="5" t="s">
        <v>3782</v>
      </c>
      <c r="E224" s="5" t="s">
        <v>3799</v>
      </c>
      <c r="F224" s="5" t="s">
        <v>3584</v>
      </c>
      <c r="G224" s="5" t="s">
        <v>3493</v>
      </c>
      <c r="H224" s="5"/>
      <c r="I224" s="5" t="s">
        <v>3448</v>
      </c>
      <c r="J224" s="5" t="s">
        <v>3783</v>
      </c>
      <c r="K224" s="5" t="s">
        <v>3799</v>
      </c>
      <c r="L224" s="5">
        <v>34</v>
      </c>
      <c r="M224" s="5">
        <v>6</v>
      </c>
      <c r="N224" s="5" t="s">
        <v>3585</v>
      </c>
      <c r="O224" s="5" t="s">
        <v>3494</v>
      </c>
      <c r="P224" s="5">
        <v>4</v>
      </c>
      <c r="Q224" s="5">
        <v>2</v>
      </c>
      <c r="R224" s="5"/>
      <c r="S224" s="5">
        <v>186</v>
      </c>
      <c r="T224" s="5">
        <v>186</v>
      </c>
      <c r="U224" s="5">
        <v>186</v>
      </c>
    </row>
    <row r="225" spans="1:21" x14ac:dyDescent="0.25">
      <c r="A225" s="5" t="s">
        <v>3930</v>
      </c>
      <c r="B225" s="5" t="s">
        <v>3931</v>
      </c>
      <c r="C225" s="5" t="s">
        <v>3548</v>
      </c>
      <c r="D225" s="5" t="s">
        <v>3782</v>
      </c>
      <c r="E225" s="5" t="s">
        <v>3799</v>
      </c>
      <c r="F225" s="5" t="s">
        <v>3564</v>
      </c>
      <c r="G225" s="5"/>
      <c r="H225" s="5"/>
      <c r="I225" s="5" t="s">
        <v>3448</v>
      </c>
      <c r="J225" s="5" t="s">
        <v>3783</v>
      </c>
      <c r="K225" s="5" t="s">
        <v>3799</v>
      </c>
      <c r="L225" s="5">
        <v>34</v>
      </c>
      <c r="M225" s="5">
        <v>6</v>
      </c>
      <c r="N225" s="5" t="s">
        <v>3566</v>
      </c>
      <c r="O225" s="5"/>
      <c r="P225" s="5">
        <v>4</v>
      </c>
      <c r="Q225" s="5">
        <v>1</v>
      </c>
      <c r="R225" s="5"/>
      <c r="S225" s="5">
        <v>234</v>
      </c>
      <c r="T225" s="5">
        <v>216</v>
      </c>
      <c r="U225" s="5">
        <v>234</v>
      </c>
    </row>
    <row r="226" spans="1:21" x14ac:dyDescent="0.25">
      <c r="A226" s="5" t="s">
        <v>3932</v>
      </c>
      <c r="B226" s="5" t="s">
        <v>3933</v>
      </c>
      <c r="C226" s="5" t="s">
        <v>3548</v>
      </c>
      <c r="D226" s="5" t="s">
        <v>3782</v>
      </c>
      <c r="E226" s="5" t="s">
        <v>3799</v>
      </c>
      <c r="F226" s="5" t="s">
        <v>3822</v>
      </c>
      <c r="G226" s="5"/>
      <c r="H226" s="5"/>
      <c r="I226" s="5" t="s">
        <v>3448</v>
      </c>
      <c r="J226" s="5" t="s">
        <v>3783</v>
      </c>
      <c r="K226" s="5" t="s">
        <v>3799</v>
      </c>
      <c r="L226" s="5">
        <v>34</v>
      </c>
      <c r="M226" s="5">
        <v>6</v>
      </c>
      <c r="N226" s="5" t="s">
        <v>3823</v>
      </c>
      <c r="O226" s="5"/>
      <c r="P226" s="5">
        <v>4</v>
      </c>
      <c r="Q226" s="5">
        <v>1</v>
      </c>
      <c r="R226" s="5"/>
      <c r="S226" s="5">
        <v>216</v>
      </c>
      <c r="T226" s="5">
        <v>216</v>
      </c>
      <c r="U226" s="5">
        <v>216</v>
      </c>
    </row>
    <row r="227" spans="1:21" x14ac:dyDescent="0.25">
      <c r="A227" s="5" t="s">
        <v>3934</v>
      </c>
      <c r="B227" s="5" t="s">
        <v>3935</v>
      </c>
      <c r="C227" s="5" t="s">
        <v>3548</v>
      </c>
      <c r="D227" s="5" t="s">
        <v>3782</v>
      </c>
      <c r="E227" s="5" t="s">
        <v>3799</v>
      </c>
      <c r="F227" s="5" t="s">
        <v>3564</v>
      </c>
      <c r="G227" s="5"/>
      <c r="H227" s="5"/>
      <c r="I227" s="5" t="s">
        <v>3448</v>
      </c>
      <c r="J227" s="5" t="s">
        <v>3783</v>
      </c>
      <c r="K227" s="5" t="s">
        <v>3799</v>
      </c>
      <c r="L227" s="5">
        <v>34</v>
      </c>
      <c r="M227" s="5">
        <v>8</v>
      </c>
      <c r="N227" s="5" t="s">
        <v>3566</v>
      </c>
      <c r="O227" s="5"/>
      <c r="P227" s="5">
        <v>4</v>
      </c>
      <c r="Q227" s="5">
        <v>1</v>
      </c>
      <c r="R227" s="5"/>
      <c r="S227" s="5">
        <v>328</v>
      </c>
      <c r="T227" s="5">
        <v>288</v>
      </c>
      <c r="U227" s="5">
        <v>328</v>
      </c>
    </row>
    <row r="228" spans="1:21" x14ac:dyDescent="0.25">
      <c r="A228" s="5" t="s">
        <v>3936</v>
      </c>
      <c r="B228" s="5" t="s">
        <v>3937</v>
      </c>
      <c r="C228" s="5" t="s">
        <v>3548</v>
      </c>
      <c r="D228" s="5" t="s">
        <v>3782</v>
      </c>
      <c r="E228" s="5" t="s">
        <v>3799</v>
      </c>
      <c r="F228" s="5" t="s">
        <v>3822</v>
      </c>
      <c r="G228" s="5"/>
      <c r="H228" s="5"/>
      <c r="I228" s="5" t="s">
        <v>3448</v>
      </c>
      <c r="J228" s="5" t="s">
        <v>3783</v>
      </c>
      <c r="K228" s="5" t="s">
        <v>3799</v>
      </c>
      <c r="L228" s="5">
        <v>34</v>
      </c>
      <c r="M228" s="5">
        <v>8</v>
      </c>
      <c r="N228" s="5" t="s">
        <v>3823</v>
      </c>
      <c r="O228" s="5"/>
      <c r="P228" s="5">
        <v>4</v>
      </c>
      <c r="Q228" s="5">
        <v>1</v>
      </c>
      <c r="R228" s="5"/>
      <c r="S228" s="5">
        <v>288</v>
      </c>
      <c r="T228" s="5">
        <v>288</v>
      </c>
      <c r="U228" s="5">
        <v>288</v>
      </c>
    </row>
    <row r="229" spans="1:21" x14ac:dyDescent="0.25">
      <c r="A229" s="5" t="s">
        <v>3938</v>
      </c>
      <c r="B229" s="5" t="s">
        <v>3939</v>
      </c>
      <c r="C229" s="5" t="s">
        <v>3548</v>
      </c>
      <c r="D229" s="5" t="s">
        <v>3782</v>
      </c>
      <c r="E229" s="5" t="s">
        <v>3799</v>
      </c>
      <c r="F229" s="5" t="s">
        <v>3584</v>
      </c>
      <c r="G229" s="5" t="s">
        <v>3493</v>
      </c>
      <c r="H229" s="5"/>
      <c r="I229" s="5" t="s">
        <v>3448</v>
      </c>
      <c r="J229" s="5" t="s">
        <v>3783</v>
      </c>
      <c r="K229" s="5" t="s">
        <v>3799</v>
      </c>
      <c r="L229" s="5">
        <v>39</v>
      </c>
      <c r="M229" s="5">
        <v>2</v>
      </c>
      <c r="N229" s="5" t="s">
        <v>3585</v>
      </c>
      <c r="O229" s="5" t="s">
        <v>3494</v>
      </c>
      <c r="P229" s="5">
        <v>4</v>
      </c>
      <c r="Q229" s="5">
        <v>1</v>
      </c>
      <c r="R229" s="5"/>
      <c r="S229" s="5">
        <v>74</v>
      </c>
      <c r="T229" s="5">
        <v>74</v>
      </c>
      <c r="U229" s="5">
        <v>74</v>
      </c>
    </row>
    <row r="230" spans="1:21" x14ac:dyDescent="0.25">
      <c r="A230" s="5" t="s">
        <v>3940</v>
      </c>
      <c r="B230" s="5" t="s">
        <v>3941</v>
      </c>
      <c r="C230" s="5" t="s">
        <v>3548</v>
      </c>
      <c r="D230" s="5" t="s">
        <v>3782</v>
      </c>
      <c r="E230" s="5" t="s">
        <v>3799</v>
      </c>
      <c r="F230" s="5" t="s">
        <v>3564</v>
      </c>
      <c r="G230" s="5"/>
      <c r="H230" s="5"/>
      <c r="I230" s="5" t="s">
        <v>3448</v>
      </c>
      <c r="J230" s="5" t="s">
        <v>3783</v>
      </c>
      <c r="K230" s="5" t="s">
        <v>3799</v>
      </c>
      <c r="L230" s="5">
        <v>39</v>
      </c>
      <c r="M230" s="5">
        <v>2</v>
      </c>
      <c r="N230" s="5" t="s">
        <v>3566</v>
      </c>
      <c r="O230" s="5"/>
      <c r="P230" s="5">
        <v>4</v>
      </c>
      <c r="Q230" s="5">
        <v>1</v>
      </c>
      <c r="R230" s="5"/>
      <c r="S230" s="5">
        <v>103</v>
      </c>
      <c r="T230" s="5">
        <v>103</v>
      </c>
      <c r="U230" s="5">
        <v>103</v>
      </c>
    </row>
    <row r="231" spans="1:21" x14ac:dyDescent="0.25">
      <c r="A231" s="5" t="s">
        <v>3942</v>
      </c>
      <c r="B231" s="5" t="s">
        <v>3943</v>
      </c>
      <c r="C231" s="5" t="s">
        <v>3548</v>
      </c>
      <c r="D231" s="5" t="s">
        <v>3782</v>
      </c>
      <c r="E231" s="5" t="s">
        <v>3799</v>
      </c>
      <c r="F231" s="5" t="s">
        <v>3584</v>
      </c>
      <c r="G231" s="5" t="s">
        <v>3493</v>
      </c>
      <c r="H231" s="5"/>
      <c r="I231" s="5" t="s">
        <v>3448</v>
      </c>
      <c r="J231" s="5" t="s">
        <v>3783</v>
      </c>
      <c r="K231" s="5" t="s">
        <v>3799</v>
      </c>
      <c r="L231" s="5">
        <v>39</v>
      </c>
      <c r="M231" s="5">
        <v>3</v>
      </c>
      <c r="N231" s="5" t="s">
        <v>3585</v>
      </c>
      <c r="O231" s="5" t="s">
        <v>3494</v>
      </c>
      <c r="P231" s="5">
        <v>4</v>
      </c>
      <c r="Q231" s="5">
        <v>1</v>
      </c>
      <c r="R231" s="5"/>
      <c r="S231" s="5">
        <v>120</v>
      </c>
      <c r="T231" s="5">
        <v>120</v>
      </c>
      <c r="U231" s="5">
        <v>120</v>
      </c>
    </row>
    <row r="232" spans="1:21" x14ac:dyDescent="0.25">
      <c r="A232" s="5" t="s">
        <v>3944</v>
      </c>
      <c r="B232" s="5" t="s">
        <v>3945</v>
      </c>
      <c r="C232" s="5" t="s">
        <v>3548</v>
      </c>
      <c r="D232" s="5" t="s">
        <v>3782</v>
      </c>
      <c r="E232" s="5" t="s">
        <v>3799</v>
      </c>
      <c r="F232" s="5" t="s">
        <v>3584</v>
      </c>
      <c r="G232" s="5" t="s">
        <v>3493</v>
      </c>
      <c r="H232" s="5"/>
      <c r="I232" s="5" t="s">
        <v>3448</v>
      </c>
      <c r="J232" s="5" t="s">
        <v>3783</v>
      </c>
      <c r="K232" s="5" t="s">
        <v>3799</v>
      </c>
      <c r="L232" s="5">
        <v>39</v>
      </c>
      <c r="M232" s="5">
        <v>1</v>
      </c>
      <c r="N232" s="5" t="s">
        <v>3585</v>
      </c>
      <c r="O232" s="5" t="s">
        <v>3494</v>
      </c>
      <c r="P232" s="5">
        <v>4</v>
      </c>
      <c r="Q232" s="5">
        <v>1</v>
      </c>
      <c r="R232" s="5"/>
      <c r="S232" s="5">
        <v>46</v>
      </c>
      <c r="T232" s="5">
        <v>46</v>
      </c>
      <c r="U232" s="5">
        <v>46</v>
      </c>
    </row>
    <row r="233" spans="1:21" x14ac:dyDescent="0.25">
      <c r="A233" s="5" t="s">
        <v>3948</v>
      </c>
      <c r="B233" s="5" t="s">
        <v>3949</v>
      </c>
      <c r="C233" s="5" t="s">
        <v>3548</v>
      </c>
      <c r="D233" s="5" t="s">
        <v>3782</v>
      </c>
      <c r="E233" s="5" t="s">
        <v>3799</v>
      </c>
      <c r="F233" s="5" t="s">
        <v>3584</v>
      </c>
      <c r="G233" s="5" t="s">
        <v>3493</v>
      </c>
      <c r="H233" s="5"/>
      <c r="I233" s="5" t="s">
        <v>3448</v>
      </c>
      <c r="J233" s="5" t="s">
        <v>3783</v>
      </c>
      <c r="K233" s="5" t="s">
        <v>3799</v>
      </c>
      <c r="L233" s="5">
        <v>39</v>
      </c>
      <c r="M233" s="5">
        <v>4</v>
      </c>
      <c r="N233" s="5" t="s">
        <v>3585</v>
      </c>
      <c r="O233" s="5" t="s">
        <v>3494</v>
      </c>
      <c r="P233" s="5">
        <v>4</v>
      </c>
      <c r="Q233" s="5">
        <v>1</v>
      </c>
      <c r="R233" s="5"/>
      <c r="S233" s="5">
        <v>148</v>
      </c>
      <c r="T233" s="5">
        <v>148</v>
      </c>
      <c r="U233" s="5">
        <v>148</v>
      </c>
    </row>
    <row r="234" spans="1:21" x14ac:dyDescent="0.25">
      <c r="A234" s="5" t="s">
        <v>3950</v>
      </c>
      <c r="B234" s="5" t="s">
        <v>3951</v>
      </c>
      <c r="C234" s="5" t="s">
        <v>3548</v>
      </c>
      <c r="D234" s="5" t="s">
        <v>3782</v>
      </c>
      <c r="E234" s="5" t="s">
        <v>3799</v>
      </c>
      <c r="F234" s="5" t="s">
        <v>3564</v>
      </c>
      <c r="G234" s="5"/>
      <c r="H234" s="5"/>
      <c r="I234" s="5" t="s">
        <v>3448</v>
      </c>
      <c r="J234" s="5" t="s">
        <v>3783</v>
      </c>
      <c r="K234" s="5" t="s">
        <v>3799</v>
      </c>
      <c r="L234" s="5">
        <v>39</v>
      </c>
      <c r="M234" s="5">
        <v>1</v>
      </c>
      <c r="N234" s="5" t="s">
        <v>3566</v>
      </c>
      <c r="O234" s="5"/>
      <c r="P234" s="5">
        <v>4</v>
      </c>
      <c r="Q234" s="5">
        <v>1</v>
      </c>
      <c r="R234" s="5"/>
      <c r="S234" s="5">
        <v>60</v>
      </c>
      <c r="T234" s="5">
        <v>60</v>
      </c>
      <c r="U234" s="5">
        <v>60</v>
      </c>
    </row>
    <row r="235" spans="1:21" x14ac:dyDescent="0.25">
      <c r="A235" s="5" t="s">
        <v>3954</v>
      </c>
      <c r="B235" s="5" t="s">
        <v>3955</v>
      </c>
      <c r="C235" s="5" t="s">
        <v>3548</v>
      </c>
      <c r="D235" s="5" t="s">
        <v>3782</v>
      </c>
      <c r="E235" s="5" t="s">
        <v>3799</v>
      </c>
      <c r="F235" s="5" t="s">
        <v>3564</v>
      </c>
      <c r="G235" s="5"/>
      <c r="H235" s="5"/>
      <c r="I235" s="5" t="s">
        <v>3448</v>
      </c>
      <c r="J235" s="5" t="s">
        <v>3783</v>
      </c>
      <c r="K235" s="5" t="s">
        <v>3799</v>
      </c>
      <c r="L235" s="5">
        <v>40</v>
      </c>
      <c r="M235" s="5">
        <v>2</v>
      </c>
      <c r="N235" s="5" t="s">
        <v>3566</v>
      </c>
      <c r="O235" s="5"/>
      <c r="P235" s="5">
        <v>4</v>
      </c>
      <c r="Q235" s="5">
        <v>1</v>
      </c>
      <c r="R235" s="5"/>
      <c r="S235" s="5">
        <v>96</v>
      </c>
      <c r="T235" s="5">
        <v>72</v>
      </c>
      <c r="U235" s="5">
        <v>96</v>
      </c>
    </row>
    <row r="236" spans="1:21" x14ac:dyDescent="0.25">
      <c r="A236" s="5" t="s">
        <v>3956</v>
      </c>
      <c r="B236" s="5" t="s">
        <v>3957</v>
      </c>
      <c r="C236" s="5" t="s">
        <v>3548</v>
      </c>
      <c r="D236" s="5" t="s">
        <v>3782</v>
      </c>
      <c r="E236" s="5" t="s">
        <v>3799</v>
      </c>
      <c r="F236" s="5" t="s">
        <v>3822</v>
      </c>
      <c r="G236" s="5"/>
      <c r="H236" s="5"/>
      <c r="I236" s="5" t="s">
        <v>3448</v>
      </c>
      <c r="J236" s="5" t="s">
        <v>3783</v>
      </c>
      <c r="K236" s="5" t="s">
        <v>3799</v>
      </c>
      <c r="L236" s="5">
        <v>40</v>
      </c>
      <c r="M236" s="5">
        <v>2</v>
      </c>
      <c r="N236" s="5" t="s">
        <v>3823</v>
      </c>
      <c r="O236" s="5"/>
      <c r="P236" s="5">
        <v>4</v>
      </c>
      <c r="Q236" s="5">
        <v>1</v>
      </c>
      <c r="R236" s="5"/>
      <c r="S236" s="5">
        <v>86</v>
      </c>
      <c r="T236" s="5">
        <v>72</v>
      </c>
      <c r="U236" s="5">
        <v>86</v>
      </c>
    </row>
    <row r="237" spans="1:21" x14ac:dyDescent="0.25">
      <c r="A237" s="5" t="s">
        <v>3958</v>
      </c>
      <c r="B237" s="5" t="s">
        <v>3959</v>
      </c>
      <c r="C237" s="5" t="s">
        <v>3548</v>
      </c>
      <c r="D237" s="5" t="s">
        <v>3782</v>
      </c>
      <c r="E237" s="5" t="s">
        <v>3799</v>
      </c>
      <c r="F237" s="5" t="s">
        <v>3564</v>
      </c>
      <c r="G237" s="5"/>
      <c r="H237" s="5"/>
      <c r="I237" s="5" t="s">
        <v>3448</v>
      </c>
      <c r="J237" s="5" t="s">
        <v>3783</v>
      </c>
      <c r="K237" s="5" t="s">
        <v>3799</v>
      </c>
      <c r="L237" s="5">
        <v>40</v>
      </c>
      <c r="M237" s="5">
        <v>3</v>
      </c>
      <c r="N237" s="5" t="s">
        <v>3566</v>
      </c>
      <c r="O237" s="5"/>
      <c r="P237" s="5">
        <v>4</v>
      </c>
      <c r="Q237" s="5">
        <v>2</v>
      </c>
      <c r="R237" s="5"/>
      <c r="S237" s="5">
        <v>115</v>
      </c>
      <c r="T237" s="5">
        <v>115</v>
      </c>
      <c r="U237" s="5">
        <v>115</v>
      </c>
    </row>
    <row r="238" spans="1:21" x14ac:dyDescent="0.25">
      <c r="A238" s="5" t="s">
        <v>3960</v>
      </c>
      <c r="B238" s="5" t="s">
        <v>3961</v>
      </c>
      <c r="C238" s="5" t="s">
        <v>3548</v>
      </c>
      <c r="D238" s="5" t="s">
        <v>3782</v>
      </c>
      <c r="E238" s="5" t="s">
        <v>3799</v>
      </c>
      <c r="F238" s="5" t="s">
        <v>3822</v>
      </c>
      <c r="G238" s="5"/>
      <c r="H238" s="5"/>
      <c r="I238" s="5" t="s">
        <v>3448</v>
      </c>
      <c r="J238" s="5" t="s">
        <v>3783</v>
      </c>
      <c r="K238" s="5" t="s">
        <v>3799</v>
      </c>
      <c r="L238" s="5">
        <v>40</v>
      </c>
      <c r="M238" s="5">
        <v>3</v>
      </c>
      <c r="N238" s="5" t="s">
        <v>3823</v>
      </c>
      <c r="O238" s="5"/>
      <c r="P238" s="5">
        <v>4</v>
      </c>
      <c r="Q238" s="5">
        <v>2</v>
      </c>
      <c r="R238" s="5"/>
      <c r="S238" s="5">
        <v>115</v>
      </c>
      <c r="T238" s="5">
        <v>115</v>
      </c>
      <c r="U238" s="5">
        <v>115</v>
      </c>
    </row>
    <row r="239" spans="1:21" x14ac:dyDescent="0.25">
      <c r="A239" s="5" t="s">
        <v>3962</v>
      </c>
      <c r="B239" s="5" t="s">
        <v>3963</v>
      </c>
      <c r="C239" s="5" t="s">
        <v>3548</v>
      </c>
      <c r="D239" s="5" t="s">
        <v>3782</v>
      </c>
      <c r="E239" s="5" t="s">
        <v>3799</v>
      </c>
      <c r="F239" s="5" t="s">
        <v>3564</v>
      </c>
      <c r="G239" s="5"/>
      <c r="H239" s="5"/>
      <c r="I239" s="5" t="s">
        <v>3448</v>
      </c>
      <c r="J239" s="5" t="s">
        <v>3783</v>
      </c>
      <c r="K239" s="5" t="s">
        <v>3799</v>
      </c>
      <c r="L239" s="5">
        <v>40</v>
      </c>
      <c r="M239" s="5">
        <v>3</v>
      </c>
      <c r="N239" s="5" t="s">
        <v>3566</v>
      </c>
      <c r="O239" s="5"/>
      <c r="P239" s="5">
        <v>4</v>
      </c>
      <c r="Q239" s="5">
        <v>1</v>
      </c>
      <c r="R239" s="5"/>
      <c r="S239" s="5">
        <v>151</v>
      </c>
      <c r="T239" s="5">
        <v>115</v>
      </c>
      <c r="U239" s="5">
        <v>151</v>
      </c>
    </row>
    <row r="240" spans="1:21" x14ac:dyDescent="0.25">
      <c r="A240" s="5" t="s">
        <v>3964</v>
      </c>
      <c r="B240" s="5" t="s">
        <v>3965</v>
      </c>
      <c r="C240" s="5" t="s">
        <v>3548</v>
      </c>
      <c r="D240" s="5" t="s">
        <v>3782</v>
      </c>
      <c r="E240" s="5" t="s">
        <v>3799</v>
      </c>
      <c r="F240" s="5" t="s">
        <v>3822</v>
      </c>
      <c r="G240" s="5"/>
      <c r="H240" s="5"/>
      <c r="I240" s="5" t="s">
        <v>3448</v>
      </c>
      <c r="J240" s="5" t="s">
        <v>3783</v>
      </c>
      <c r="K240" s="5" t="s">
        <v>3799</v>
      </c>
      <c r="L240" s="5">
        <v>40</v>
      </c>
      <c r="M240" s="5">
        <v>3</v>
      </c>
      <c r="N240" s="5" t="s">
        <v>3823</v>
      </c>
      <c r="O240" s="5"/>
      <c r="P240" s="5">
        <v>4</v>
      </c>
      <c r="Q240" s="5">
        <v>1</v>
      </c>
      <c r="R240" s="5"/>
      <c r="S240" s="5">
        <v>140</v>
      </c>
      <c r="T240" s="5">
        <v>115</v>
      </c>
      <c r="U240" s="5">
        <v>140</v>
      </c>
    </row>
    <row r="241" spans="1:21" x14ac:dyDescent="0.25">
      <c r="A241" s="5" t="s">
        <v>3966</v>
      </c>
      <c r="B241" s="5" t="s">
        <v>3967</v>
      </c>
      <c r="C241" s="5" t="s">
        <v>3548</v>
      </c>
      <c r="D241" s="5" t="s">
        <v>3782</v>
      </c>
      <c r="E241" s="5" t="s">
        <v>3799</v>
      </c>
      <c r="F241" s="5" t="s">
        <v>3564</v>
      </c>
      <c r="G241" s="5"/>
      <c r="H241" s="5"/>
      <c r="I241" s="5" t="s">
        <v>3448</v>
      </c>
      <c r="J241" s="5" t="s">
        <v>3783</v>
      </c>
      <c r="K241" s="5" t="s">
        <v>3799</v>
      </c>
      <c r="L241" s="5">
        <v>40</v>
      </c>
      <c r="M241" s="5">
        <v>4</v>
      </c>
      <c r="N241" s="5" t="s">
        <v>3566</v>
      </c>
      <c r="O241" s="5"/>
      <c r="P241" s="5">
        <v>4</v>
      </c>
      <c r="Q241" s="5">
        <v>2</v>
      </c>
      <c r="R241" s="5"/>
      <c r="S241" s="5">
        <v>192</v>
      </c>
      <c r="T241" s="5">
        <v>144</v>
      </c>
      <c r="U241" s="5">
        <v>192</v>
      </c>
    </row>
    <row r="242" spans="1:21" x14ac:dyDescent="0.25">
      <c r="A242" s="5" t="s">
        <v>3968</v>
      </c>
      <c r="B242" s="5" t="s">
        <v>3969</v>
      </c>
      <c r="C242" s="5" t="s">
        <v>3548</v>
      </c>
      <c r="D242" s="5" t="s">
        <v>3782</v>
      </c>
      <c r="E242" s="5" t="s">
        <v>3799</v>
      </c>
      <c r="F242" s="5" t="s">
        <v>3822</v>
      </c>
      <c r="G242" s="5"/>
      <c r="H242" s="5"/>
      <c r="I242" s="5" t="s">
        <v>3448</v>
      </c>
      <c r="J242" s="5" t="s">
        <v>3783</v>
      </c>
      <c r="K242" s="5" t="s">
        <v>3799</v>
      </c>
      <c r="L242" s="5">
        <v>40</v>
      </c>
      <c r="M242" s="5">
        <v>4</v>
      </c>
      <c r="N242" s="5" t="s">
        <v>3823</v>
      </c>
      <c r="O242" s="5"/>
      <c r="P242" s="5">
        <v>4</v>
      </c>
      <c r="Q242" s="5">
        <v>2</v>
      </c>
      <c r="R242" s="5"/>
      <c r="S242" s="5">
        <v>172</v>
      </c>
      <c r="T242" s="5">
        <v>144</v>
      </c>
      <c r="U242" s="5">
        <v>172</v>
      </c>
    </row>
    <row r="243" spans="1:21" x14ac:dyDescent="0.25">
      <c r="A243" s="5" t="s">
        <v>3970</v>
      </c>
      <c r="B243" s="5" t="s">
        <v>3971</v>
      </c>
      <c r="C243" s="5" t="s">
        <v>3548</v>
      </c>
      <c r="D243" s="5" t="s">
        <v>3782</v>
      </c>
      <c r="E243" s="5" t="s">
        <v>3799</v>
      </c>
      <c r="F243" s="5" t="s">
        <v>3564</v>
      </c>
      <c r="G243" s="5"/>
      <c r="H243" s="5"/>
      <c r="I243" s="5" t="s">
        <v>3448</v>
      </c>
      <c r="J243" s="5" t="s">
        <v>3783</v>
      </c>
      <c r="K243" s="5" t="s">
        <v>3799</v>
      </c>
      <c r="L243" s="5">
        <v>40</v>
      </c>
      <c r="M243" s="5">
        <v>1</v>
      </c>
      <c r="N243" s="5" t="s">
        <v>3566</v>
      </c>
      <c r="O243" s="5"/>
      <c r="P243" s="5">
        <v>4</v>
      </c>
      <c r="Q243" s="5">
        <v>1</v>
      </c>
      <c r="R243" s="5"/>
      <c r="S243" s="5">
        <v>55</v>
      </c>
      <c r="T243" s="5">
        <v>43</v>
      </c>
      <c r="U243" s="5">
        <v>55</v>
      </c>
    </row>
    <row r="244" spans="1:21" x14ac:dyDescent="0.25">
      <c r="A244" s="5" t="s">
        <v>3974</v>
      </c>
      <c r="B244" s="5" t="s">
        <v>3975</v>
      </c>
      <c r="C244" s="5" t="s">
        <v>3548</v>
      </c>
      <c r="D244" s="5" t="s">
        <v>3782</v>
      </c>
      <c r="E244" s="5" t="s">
        <v>3799</v>
      </c>
      <c r="F244" s="5" t="s">
        <v>3822</v>
      </c>
      <c r="G244" s="5"/>
      <c r="H244" s="5"/>
      <c r="I244" s="5" t="s">
        <v>3448</v>
      </c>
      <c r="J244" s="5" t="s">
        <v>3783</v>
      </c>
      <c r="K244" s="5" t="s">
        <v>3799</v>
      </c>
      <c r="L244" s="5">
        <v>40</v>
      </c>
      <c r="M244" s="5">
        <v>1</v>
      </c>
      <c r="N244" s="5" t="s">
        <v>3823</v>
      </c>
      <c r="O244" s="5"/>
      <c r="P244" s="5">
        <v>4</v>
      </c>
      <c r="Q244" s="5">
        <v>1</v>
      </c>
      <c r="R244" s="5"/>
      <c r="S244" s="5">
        <v>50</v>
      </c>
      <c r="T244" s="5">
        <v>43</v>
      </c>
      <c r="U244" s="5">
        <v>50</v>
      </c>
    </row>
    <row r="245" spans="1:21" x14ac:dyDescent="0.25">
      <c r="A245" s="5" t="s">
        <v>3978</v>
      </c>
      <c r="B245" s="5" t="s">
        <v>3979</v>
      </c>
      <c r="C245" s="5" t="s">
        <v>3548</v>
      </c>
      <c r="D245" s="5" t="s">
        <v>3782</v>
      </c>
      <c r="E245" s="5" t="s">
        <v>3799</v>
      </c>
      <c r="F245" s="5" t="s">
        <v>3584</v>
      </c>
      <c r="G245" s="5" t="s">
        <v>3493</v>
      </c>
      <c r="H245" s="5"/>
      <c r="I245" s="5" t="s">
        <v>3448</v>
      </c>
      <c r="J245" s="5" t="s">
        <v>3783</v>
      </c>
      <c r="K245" s="5" t="s">
        <v>3799</v>
      </c>
      <c r="L245" s="5">
        <v>40</v>
      </c>
      <c r="M245" s="5">
        <v>6</v>
      </c>
      <c r="N245" s="5" t="s">
        <v>3585</v>
      </c>
      <c r="O245" s="5" t="s">
        <v>3494</v>
      </c>
      <c r="P245" s="5">
        <v>4</v>
      </c>
      <c r="Q245" s="5">
        <v>2</v>
      </c>
      <c r="R245" s="5"/>
      <c r="S245" s="5">
        <v>186</v>
      </c>
      <c r="T245" s="5">
        <v>186</v>
      </c>
      <c r="U245" s="5">
        <v>186</v>
      </c>
    </row>
    <row r="246" spans="1:21" x14ac:dyDescent="0.25">
      <c r="A246" s="5" t="s">
        <v>3980</v>
      </c>
      <c r="B246" s="5" t="s">
        <v>3981</v>
      </c>
      <c r="C246" s="5" t="s">
        <v>3548</v>
      </c>
      <c r="D246" s="5" t="s">
        <v>3782</v>
      </c>
      <c r="E246" s="5" t="s">
        <v>3799</v>
      </c>
      <c r="F246" s="5" t="s">
        <v>3564</v>
      </c>
      <c r="G246" s="5"/>
      <c r="H246" s="5"/>
      <c r="I246" s="5" t="s">
        <v>3448</v>
      </c>
      <c r="J246" s="5" t="s">
        <v>3783</v>
      </c>
      <c r="K246" s="5" t="s">
        <v>3799</v>
      </c>
      <c r="L246" s="5">
        <v>40</v>
      </c>
      <c r="M246" s="5">
        <v>6</v>
      </c>
      <c r="N246" s="5" t="s">
        <v>3566</v>
      </c>
      <c r="O246" s="5"/>
      <c r="P246" s="5">
        <v>4</v>
      </c>
      <c r="Q246" s="5">
        <v>1</v>
      </c>
      <c r="R246" s="5"/>
      <c r="S246" s="5">
        <v>216</v>
      </c>
      <c r="T246" s="5">
        <v>276</v>
      </c>
      <c r="U246" s="5">
        <v>216</v>
      </c>
    </row>
    <row r="247" spans="1:21" x14ac:dyDescent="0.25">
      <c r="A247" s="5" t="s">
        <v>3982</v>
      </c>
      <c r="B247" s="5" t="s">
        <v>3983</v>
      </c>
      <c r="C247" s="5" t="s">
        <v>3548</v>
      </c>
      <c r="D247" s="5" t="s">
        <v>3782</v>
      </c>
      <c r="E247" s="5" t="s">
        <v>3799</v>
      </c>
      <c r="F247" s="5" t="s">
        <v>3822</v>
      </c>
      <c r="G247" s="5"/>
      <c r="H247" s="5"/>
      <c r="I247" s="5" t="s">
        <v>3448</v>
      </c>
      <c r="J247" s="5" t="s">
        <v>3783</v>
      </c>
      <c r="K247" s="5" t="s">
        <v>3799</v>
      </c>
      <c r="L247" s="5">
        <v>40</v>
      </c>
      <c r="M247" s="5">
        <v>6</v>
      </c>
      <c r="N247" s="5" t="s">
        <v>3823</v>
      </c>
      <c r="O247" s="5"/>
      <c r="P247" s="5">
        <v>4</v>
      </c>
      <c r="Q247" s="5">
        <v>1</v>
      </c>
      <c r="R247" s="5"/>
      <c r="S247" s="5">
        <v>216</v>
      </c>
      <c r="T247" s="5">
        <v>258</v>
      </c>
      <c r="U247" s="5">
        <v>216</v>
      </c>
    </row>
    <row r="248" spans="1:21" x14ac:dyDescent="0.25">
      <c r="A248" s="5" t="s">
        <v>3984</v>
      </c>
      <c r="B248" s="5" t="s">
        <v>3985</v>
      </c>
      <c r="C248" s="5" t="s">
        <v>3548</v>
      </c>
      <c r="D248" s="5" t="s">
        <v>3782</v>
      </c>
      <c r="E248" s="5" t="s">
        <v>3799</v>
      </c>
      <c r="F248" s="5" t="s">
        <v>3564</v>
      </c>
      <c r="G248" s="5"/>
      <c r="H248" s="5"/>
      <c r="I248" s="5" t="s">
        <v>3448</v>
      </c>
      <c r="J248" s="5" t="s">
        <v>3783</v>
      </c>
      <c r="K248" s="5" t="s">
        <v>3799</v>
      </c>
      <c r="L248" s="5">
        <v>40</v>
      </c>
      <c r="M248" s="5">
        <v>8</v>
      </c>
      <c r="N248" s="5" t="s">
        <v>3566</v>
      </c>
      <c r="O248" s="5"/>
      <c r="P248" s="5">
        <v>4</v>
      </c>
      <c r="Q248" s="5">
        <v>1</v>
      </c>
      <c r="R248" s="5"/>
      <c r="S248" s="5">
        <v>384</v>
      </c>
      <c r="T248" s="5">
        <v>288</v>
      </c>
      <c r="U248" s="5">
        <v>384</v>
      </c>
    </row>
    <row r="249" spans="1:21" x14ac:dyDescent="0.25">
      <c r="A249" s="5" t="s">
        <v>3986</v>
      </c>
      <c r="B249" s="5" t="s">
        <v>3987</v>
      </c>
      <c r="C249" s="5" t="s">
        <v>3548</v>
      </c>
      <c r="D249" s="5" t="s">
        <v>3782</v>
      </c>
      <c r="E249" s="5" t="s">
        <v>3799</v>
      </c>
      <c r="F249" s="5" t="s">
        <v>3822</v>
      </c>
      <c r="G249" s="5"/>
      <c r="H249" s="5"/>
      <c r="I249" s="5" t="s">
        <v>3448</v>
      </c>
      <c r="J249" s="5" t="s">
        <v>3783</v>
      </c>
      <c r="K249" s="5" t="s">
        <v>3799</v>
      </c>
      <c r="L249" s="5">
        <v>40</v>
      </c>
      <c r="M249" s="5">
        <v>8</v>
      </c>
      <c r="N249" s="5" t="s">
        <v>3823</v>
      </c>
      <c r="O249" s="5"/>
      <c r="P249" s="5">
        <v>4</v>
      </c>
      <c r="Q249" s="5">
        <v>1</v>
      </c>
      <c r="R249" s="5"/>
      <c r="S249" s="5">
        <v>344</v>
      </c>
      <c r="T249" s="5">
        <v>288</v>
      </c>
      <c r="U249" s="5">
        <v>344</v>
      </c>
    </row>
    <row r="250" spans="1:21" x14ac:dyDescent="0.25">
      <c r="A250" s="5" t="s">
        <v>3988</v>
      </c>
      <c r="B250" s="5" t="s">
        <v>3989</v>
      </c>
      <c r="C250" s="5" t="s">
        <v>3548</v>
      </c>
      <c r="D250" s="5" t="s">
        <v>3782</v>
      </c>
      <c r="E250" s="5" t="s">
        <v>3799</v>
      </c>
      <c r="F250" s="5" t="s">
        <v>3584</v>
      </c>
      <c r="G250" s="5" t="s">
        <v>3493</v>
      </c>
      <c r="H250" s="5"/>
      <c r="I250" s="5" t="s">
        <v>3448</v>
      </c>
      <c r="J250" s="5" t="s">
        <v>3783</v>
      </c>
      <c r="K250" s="5" t="s">
        <v>3799</v>
      </c>
      <c r="L250" s="5">
        <v>50</v>
      </c>
      <c r="M250" s="5">
        <v>2</v>
      </c>
      <c r="N250" s="5" t="s">
        <v>3585</v>
      </c>
      <c r="O250" s="5" t="s">
        <v>3494</v>
      </c>
      <c r="P250" s="5">
        <v>5</v>
      </c>
      <c r="Q250" s="5">
        <v>1</v>
      </c>
      <c r="R250" s="5"/>
      <c r="S250" s="5">
        <v>88</v>
      </c>
      <c r="T250" s="5">
        <v>88</v>
      </c>
      <c r="U250" s="5">
        <v>88</v>
      </c>
    </row>
    <row r="251" spans="1:21" x14ac:dyDescent="0.25">
      <c r="A251" s="5" t="s">
        <v>3990</v>
      </c>
      <c r="B251" s="5" t="s">
        <v>3991</v>
      </c>
      <c r="C251" s="5" t="s">
        <v>3548</v>
      </c>
      <c r="D251" s="5" t="s">
        <v>3782</v>
      </c>
      <c r="E251" s="5" t="s">
        <v>3799</v>
      </c>
      <c r="F251" s="5" t="s">
        <v>3564</v>
      </c>
      <c r="G251" s="5"/>
      <c r="H251" s="5"/>
      <c r="I251" s="5" t="s">
        <v>3448</v>
      </c>
      <c r="J251" s="5" t="s">
        <v>3783</v>
      </c>
      <c r="K251" s="5" t="s">
        <v>3799</v>
      </c>
      <c r="L251" s="5">
        <v>50</v>
      </c>
      <c r="M251" s="5">
        <v>2</v>
      </c>
      <c r="N251" s="5" t="s">
        <v>3566</v>
      </c>
      <c r="O251" s="5"/>
      <c r="P251" s="5">
        <v>5</v>
      </c>
      <c r="Q251" s="5">
        <v>1</v>
      </c>
      <c r="R251" s="5"/>
      <c r="S251" s="5">
        <v>128</v>
      </c>
      <c r="T251" s="5">
        <v>128</v>
      </c>
      <c r="U251" s="5">
        <v>128</v>
      </c>
    </row>
    <row r="252" spans="1:21" x14ac:dyDescent="0.25">
      <c r="A252" s="5" t="s">
        <v>3992</v>
      </c>
      <c r="B252" s="5" t="s">
        <v>3993</v>
      </c>
      <c r="C252" s="5" t="s">
        <v>3548</v>
      </c>
      <c r="D252" s="5" t="s">
        <v>3782</v>
      </c>
      <c r="E252" s="5" t="s">
        <v>3799</v>
      </c>
      <c r="F252" s="5" t="s">
        <v>3584</v>
      </c>
      <c r="G252" s="5" t="s">
        <v>3493</v>
      </c>
      <c r="H252" s="5"/>
      <c r="I252" s="5" t="s">
        <v>3448</v>
      </c>
      <c r="J252" s="5" t="s">
        <v>3783</v>
      </c>
      <c r="K252" s="5" t="s">
        <v>3799</v>
      </c>
      <c r="L252" s="5">
        <v>50</v>
      </c>
      <c r="M252" s="5">
        <v>1</v>
      </c>
      <c r="N252" s="5" t="s">
        <v>3585</v>
      </c>
      <c r="O252" s="5" t="s">
        <v>3494</v>
      </c>
      <c r="P252" s="5">
        <v>5</v>
      </c>
      <c r="Q252" s="5">
        <v>1</v>
      </c>
      <c r="R252" s="5"/>
      <c r="S252" s="5">
        <v>44</v>
      </c>
      <c r="T252" s="5">
        <v>44</v>
      </c>
      <c r="U252" s="5">
        <v>44</v>
      </c>
    </row>
    <row r="253" spans="1:21" x14ac:dyDescent="0.25">
      <c r="A253" s="5" t="s">
        <v>3994</v>
      </c>
      <c r="B253" s="5" t="s">
        <v>3995</v>
      </c>
      <c r="C253" s="5" t="s">
        <v>3548</v>
      </c>
      <c r="D253" s="5" t="s">
        <v>3782</v>
      </c>
      <c r="E253" s="5" t="s">
        <v>3799</v>
      </c>
      <c r="F253" s="5" t="s">
        <v>3564</v>
      </c>
      <c r="G253" s="5"/>
      <c r="H253" s="5"/>
      <c r="I253" s="5" t="s">
        <v>3448</v>
      </c>
      <c r="J253" s="5" t="s">
        <v>3783</v>
      </c>
      <c r="K253" s="5" t="s">
        <v>3799</v>
      </c>
      <c r="L253" s="5">
        <v>50</v>
      </c>
      <c r="M253" s="5">
        <v>1</v>
      </c>
      <c r="N253" s="5" t="s">
        <v>3566</v>
      </c>
      <c r="O253" s="5"/>
      <c r="P253" s="5">
        <v>5</v>
      </c>
      <c r="Q253" s="5">
        <v>1</v>
      </c>
      <c r="R253" s="5"/>
      <c r="S253" s="5">
        <v>63</v>
      </c>
      <c r="T253" s="5">
        <v>63</v>
      </c>
      <c r="U253" s="5">
        <v>63</v>
      </c>
    </row>
    <row r="254" spans="1:21" x14ac:dyDescent="0.25">
      <c r="A254" s="5" t="s">
        <v>3996</v>
      </c>
      <c r="B254" s="5" t="s">
        <v>3997</v>
      </c>
      <c r="C254" s="5" t="s">
        <v>3548</v>
      </c>
      <c r="D254" s="5" t="s">
        <v>3782</v>
      </c>
      <c r="E254" s="5" t="s">
        <v>3799</v>
      </c>
      <c r="F254" s="5" t="s">
        <v>3584</v>
      </c>
      <c r="G254" s="5" t="s">
        <v>3493</v>
      </c>
      <c r="H254" s="5"/>
      <c r="I254" s="5" t="s">
        <v>3448</v>
      </c>
      <c r="J254" s="5" t="s">
        <v>3783</v>
      </c>
      <c r="K254" s="5" t="s">
        <v>3799</v>
      </c>
      <c r="L254" s="5">
        <v>55</v>
      </c>
      <c r="M254" s="5">
        <v>2</v>
      </c>
      <c r="N254" s="5" t="s">
        <v>3585</v>
      </c>
      <c r="O254" s="5" t="s">
        <v>3494</v>
      </c>
      <c r="P254" s="5">
        <v>6</v>
      </c>
      <c r="Q254" s="5">
        <v>1</v>
      </c>
      <c r="R254" s="5"/>
      <c r="S254" s="5">
        <v>108</v>
      </c>
      <c r="T254" s="5">
        <v>108</v>
      </c>
      <c r="U254" s="5">
        <v>108</v>
      </c>
    </row>
    <row r="255" spans="1:21" x14ac:dyDescent="0.25">
      <c r="A255" s="5" t="s">
        <v>3998</v>
      </c>
      <c r="B255" s="5" t="s">
        <v>3999</v>
      </c>
      <c r="C255" s="5" t="s">
        <v>3548</v>
      </c>
      <c r="D255" s="5" t="s">
        <v>3782</v>
      </c>
      <c r="E255" s="5" t="s">
        <v>3799</v>
      </c>
      <c r="F255" s="5" t="s">
        <v>3564</v>
      </c>
      <c r="G255" s="5"/>
      <c r="H255" s="5"/>
      <c r="I255" s="5" t="s">
        <v>3448</v>
      </c>
      <c r="J255" s="5" t="s">
        <v>3783</v>
      </c>
      <c r="K255" s="5" t="s">
        <v>3799</v>
      </c>
      <c r="L255" s="5">
        <v>55</v>
      </c>
      <c r="M255" s="5">
        <v>2</v>
      </c>
      <c r="N255" s="5" t="s">
        <v>3566</v>
      </c>
      <c r="O255" s="5"/>
      <c r="P255" s="5">
        <v>6</v>
      </c>
      <c r="Q255" s="5">
        <v>1</v>
      </c>
      <c r="R255" s="5"/>
      <c r="S255" s="5">
        <v>142</v>
      </c>
      <c r="T255" s="5">
        <v>142</v>
      </c>
      <c r="U255" s="5">
        <v>142</v>
      </c>
    </row>
    <row r="256" spans="1:21" x14ac:dyDescent="0.25">
      <c r="A256" s="5" t="s">
        <v>4000</v>
      </c>
      <c r="B256" s="5" t="s">
        <v>4001</v>
      </c>
      <c r="C256" s="5" t="s">
        <v>3548</v>
      </c>
      <c r="D256" s="5" t="s">
        <v>3782</v>
      </c>
      <c r="E256" s="5" t="s">
        <v>3799</v>
      </c>
      <c r="F256" s="5" t="s">
        <v>3822</v>
      </c>
      <c r="G256" s="5"/>
      <c r="H256" s="5"/>
      <c r="I256" s="5" t="s">
        <v>3448</v>
      </c>
      <c r="J256" s="5" t="s">
        <v>3783</v>
      </c>
      <c r="K256" s="5" t="s">
        <v>3799</v>
      </c>
      <c r="L256" s="5">
        <v>55</v>
      </c>
      <c r="M256" s="5">
        <v>2</v>
      </c>
      <c r="N256" s="5" t="s">
        <v>3823</v>
      </c>
      <c r="O256" s="5"/>
      <c r="P256" s="5">
        <v>6</v>
      </c>
      <c r="Q256" s="5">
        <v>1</v>
      </c>
      <c r="R256" s="5"/>
      <c r="S256" s="5">
        <v>122</v>
      </c>
      <c r="T256" s="5">
        <v>122</v>
      </c>
      <c r="U256" s="5">
        <v>122</v>
      </c>
    </row>
    <row r="257" spans="1:21" x14ac:dyDescent="0.25">
      <c r="A257" s="5" t="s">
        <v>4002</v>
      </c>
      <c r="B257" s="5" t="s">
        <v>4003</v>
      </c>
      <c r="C257" s="5" t="s">
        <v>3548</v>
      </c>
      <c r="D257" s="5" t="s">
        <v>3782</v>
      </c>
      <c r="E257" s="5" t="s">
        <v>3799</v>
      </c>
      <c r="F257" s="5" t="s">
        <v>4004</v>
      </c>
      <c r="G257" s="5" t="s">
        <v>3493</v>
      </c>
      <c r="H257" s="5"/>
      <c r="I257" s="5" t="s">
        <v>3448</v>
      </c>
      <c r="J257" s="5" t="s">
        <v>3783</v>
      </c>
      <c r="K257" s="5" t="s">
        <v>3799</v>
      </c>
      <c r="L257" s="5">
        <v>55</v>
      </c>
      <c r="M257" s="5">
        <v>2</v>
      </c>
      <c r="N257" s="5" t="s">
        <v>4005</v>
      </c>
      <c r="O257" s="5" t="s">
        <v>3494</v>
      </c>
      <c r="P257" s="5">
        <v>6</v>
      </c>
      <c r="Q257" s="5">
        <v>1</v>
      </c>
      <c r="R257" s="5"/>
      <c r="S257" s="5">
        <v>108</v>
      </c>
      <c r="T257" s="5">
        <v>108</v>
      </c>
      <c r="U257" s="5">
        <v>108</v>
      </c>
    </row>
    <row r="258" spans="1:21" x14ac:dyDescent="0.25">
      <c r="A258" s="5" t="s">
        <v>4006</v>
      </c>
      <c r="B258" s="5" t="s">
        <v>4007</v>
      </c>
      <c r="C258" s="5" t="s">
        <v>3548</v>
      </c>
      <c r="D258" s="5" t="s">
        <v>3782</v>
      </c>
      <c r="E258" s="5" t="s">
        <v>3799</v>
      </c>
      <c r="F258" s="5" t="s">
        <v>3584</v>
      </c>
      <c r="G258" s="5" t="s">
        <v>3493</v>
      </c>
      <c r="H258" s="5"/>
      <c r="I258" s="5" t="s">
        <v>3448</v>
      </c>
      <c r="J258" s="5" t="s">
        <v>3783</v>
      </c>
      <c r="K258" s="5" t="s">
        <v>3799</v>
      </c>
      <c r="L258" s="5">
        <v>55</v>
      </c>
      <c r="M258" s="5">
        <v>3</v>
      </c>
      <c r="N258" s="5" t="s">
        <v>3585</v>
      </c>
      <c r="O258" s="5" t="s">
        <v>3494</v>
      </c>
      <c r="P258" s="5">
        <v>6</v>
      </c>
      <c r="Q258" s="5">
        <v>1</v>
      </c>
      <c r="R258" s="5"/>
      <c r="S258" s="5">
        <v>176</v>
      </c>
      <c r="T258" s="5">
        <v>176</v>
      </c>
      <c r="U258" s="5">
        <v>176</v>
      </c>
    </row>
    <row r="259" spans="1:21" x14ac:dyDescent="0.25">
      <c r="A259" s="5" t="s">
        <v>4008</v>
      </c>
      <c r="B259" s="5" t="s">
        <v>4009</v>
      </c>
      <c r="C259" s="5" t="s">
        <v>3548</v>
      </c>
      <c r="D259" s="5" t="s">
        <v>3782</v>
      </c>
      <c r="E259" s="5" t="s">
        <v>3799</v>
      </c>
      <c r="F259" s="5" t="s">
        <v>3564</v>
      </c>
      <c r="G259" s="5"/>
      <c r="H259" s="5"/>
      <c r="I259" s="5" t="s">
        <v>3448</v>
      </c>
      <c r="J259" s="5" t="s">
        <v>3783</v>
      </c>
      <c r="K259" s="5" t="s">
        <v>3799</v>
      </c>
      <c r="L259" s="5">
        <v>55</v>
      </c>
      <c r="M259" s="5">
        <v>3</v>
      </c>
      <c r="N259" s="5" t="s">
        <v>3566</v>
      </c>
      <c r="O259" s="5"/>
      <c r="P259" s="5">
        <v>6</v>
      </c>
      <c r="Q259" s="5">
        <v>1</v>
      </c>
      <c r="R259" s="5"/>
      <c r="S259" s="5">
        <v>202</v>
      </c>
      <c r="T259" s="5">
        <v>202</v>
      </c>
      <c r="U259" s="5">
        <v>202</v>
      </c>
    </row>
    <row r="260" spans="1:21" x14ac:dyDescent="0.25">
      <c r="A260" s="5" t="s">
        <v>4010</v>
      </c>
      <c r="B260" s="5" t="s">
        <v>4011</v>
      </c>
      <c r="C260" s="5" t="s">
        <v>3548</v>
      </c>
      <c r="D260" s="5" t="s">
        <v>3782</v>
      </c>
      <c r="E260" s="5" t="s">
        <v>3799</v>
      </c>
      <c r="F260" s="5" t="s">
        <v>3584</v>
      </c>
      <c r="G260" s="5" t="s">
        <v>3493</v>
      </c>
      <c r="H260" s="5"/>
      <c r="I260" s="5" t="s">
        <v>3448</v>
      </c>
      <c r="J260" s="5" t="s">
        <v>3783</v>
      </c>
      <c r="K260" s="5" t="s">
        <v>3799</v>
      </c>
      <c r="L260" s="5">
        <v>55</v>
      </c>
      <c r="M260" s="5">
        <v>4</v>
      </c>
      <c r="N260" s="5" t="s">
        <v>3585</v>
      </c>
      <c r="O260" s="5" t="s">
        <v>3494</v>
      </c>
      <c r="P260" s="5">
        <v>6</v>
      </c>
      <c r="Q260" s="5">
        <v>1</v>
      </c>
      <c r="R260" s="5"/>
      <c r="S260" s="5">
        <v>216</v>
      </c>
      <c r="T260" s="5">
        <v>216</v>
      </c>
      <c r="U260" s="5">
        <v>216</v>
      </c>
    </row>
    <row r="261" spans="1:21" x14ac:dyDescent="0.25">
      <c r="A261" s="5" t="s">
        <v>4012</v>
      </c>
      <c r="B261" s="5" t="s">
        <v>4013</v>
      </c>
      <c r="C261" s="5" t="s">
        <v>3548</v>
      </c>
      <c r="D261" s="5" t="s">
        <v>3782</v>
      </c>
      <c r="E261" s="5" t="s">
        <v>3799</v>
      </c>
      <c r="F261" s="5" t="s">
        <v>3822</v>
      </c>
      <c r="G261" s="5"/>
      <c r="H261" s="5"/>
      <c r="I261" s="5" t="s">
        <v>3448</v>
      </c>
      <c r="J261" s="5" t="s">
        <v>3783</v>
      </c>
      <c r="K261" s="5" t="s">
        <v>3799</v>
      </c>
      <c r="L261" s="5">
        <v>55</v>
      </c>
      <c r="M261" s="5">
        <v>4</v>
      </c>
      <c r="N261" s="5" t="s">
        <v>3823</v>
      </c>
      <c r="O261" s="5"/>
      <c r="P261" s="5">
        <v>6</v>
      </c>
      <c r="Q261" s="5">
        <v>1</v>
      </c>
      <c r="R261" s="5"/>
      <c r="S261" s="5">
        <v>244</v>
      </c>
      <c r="T261" s="5">
        <v>244</v>
      </c>
      <c r="U261" s="5">
        <v>244</v>
      </c>
    </row>
    <row r="262" spans="1:21" x14ac:dyDescent="0.25">
      <c r="A262" s="5" t="s">
        <v>4014</v>
      </c>
      <c r="B262" s="5" t="s">
        <v>4015</v>
      </c>
      <c r="C262" s="5" t="s">
        <v>3548</v>
      </c>
      <c r="D262" s="5" t="s">
        <v>3782</v>
      </c>
      <c r="E262" s="5" t="s">
        <v>3799</v>
      </c>
      <c r="F262" s="5" t="s">
        <v>3584</v>
      </c>
      <c r="G262" s="5" t="s">
        <v>3493</v>
      </c>
      <c r="H262" s="5"/>
      <c r="I262" s="5" t="s">
        <v>3448</v>
      </c>
      <c r="J262" s="5" t="s">
        <v>3783</v>
      </c>
      <c r="K262" s="5" t="s">
        <v>3799</v>
      </c>
      <c r="L262" s="5">
        <v>55</v>
      </c>
      <c r="M262" s="5">
        <v>1</v>
      </c>
      <c r="N262" s="5" t="s">
        <v>3585</v>
      </c>
      <c r="O262" s="5" t="s">
        <v>3494</v>
      </c>
      <c r="P262" s="5">
        <v>6</v>
      </c>
      <c r="Q262" s="5">
        <v>1</v>
      </c>
      <c r="R262" s="5"/>
      <c r="S262" s="5">
        <v>68</v>
      </c>
      <c r="T262" s="5">
        <v>68</v>
      </c>
      <c r="U262" s="5">
        <v>68</v>
      </c>
    </row>
    <row r="263" spans="1:21" x14ac:dyDescent="0.25">
      <c r="A263" s="5" t="s">
        <v>4016</v>
      </c>
      <c r="B263" s="5" t="s">
        <v>4017</v>
      </c>
      <c r="C263" s="5" t="s">
        <v>3548</v>
      </c>
      <c r="D263" s="5" t="s">
        <v>3782</v>
      </c>
      <c r="E263" s="5" t="s">
        <v>3799</v>
      </c>
      <c r="F263" s="5" t="s">
        <v>3564</v>
      </c>
      <c r="G263" s="5"/>
      <c r="H263" s="5"/>
      <c r="I263" s="5" t="s">
        <v>3448</v>
      </c>
      <c r="J263" s="5" t="s">
        <v>3783</v>
      </c>
      <c r="K263" s="5" t="s">
        <v>3799</v>
      </c>
      <c r="L263" s="5">
        <v>55</v>
      </c>
      <c r="M263" s="5">
        <v>1</v>
      </c>
      <c r="N263" s="5" t="s">
        <v>3566</v>
      </c>
      <c r="O263" s="5"/>
      <c r="P263" s="5">
        <v>6</v>
      </c>
      <c r="Q263" s="5">
        <v>1</v>
      </c>
      <c r="R263" s="5"/>
      <c r="S263" s="5">
        <v>76</v>
      </c>
      <c r="T263" s="5">
        <v>76</v>
      </c>
      <c r="U263" s="5">
        <v>76</v>
      </c>
    </row>
    <row r="264" spans="1:21" x14ac:dyDescent="0.25">
      <c r="A264" s="5" t="s">
        <v>4018</v>
      </c>
      <c r="B264" s="5" t="s">
        <v>4019</v>
      </c>
      <c r="C264" s="5" t="s">
        <v>3548</v>
      </c>
      <c r="D264" s="5" t="s">
        <v>3782</v>
      </c>
      <c r="E264" s="5" t="s">
        <v>3799</v>
      </c>
      <c r="F264" s="5" t="s">
        <v>3564</v>
      </c>
      <c r="G264" s="5"/>
      <c r="H264" s="5"/>
      <c r="I264" s="5" t="s">
        <v>3448</v>
      </c>
      <c r="J264" s="5" t="s">
        <v>3783</v>
      </c>
      <c r="K264" s="5" t="s">
        <v>3799</v>
      </c>
      <c r="L264" s="5">
        <v>56</v>
      </c>
      <c r="M264" s="5">
        <v>4</v>
      </c>
      <c r="N264" s="5" t="s">
        <v>3566</v>
      </c>
      <c r="O264" s="5"/>
      <c r="P264" s="5">
        <v>6</v>
      </c>
      <c r="Q264" s="5">
        <v>1</v>
      </c>
      <c r="R264" s="5"/>
      <c r="S264" s="5">
        <v>244</v>
      </c>
      <c r="T264" s="5">
        <v>244</v>
      </c>
      <c r="U264" s="5">
        <v>244</v>
      </c>
    </row>
    <row r="265" spans="1:21" x14ac:dyDescent="0.25">
      <c r="A265" s="5" t="s">
        <v>4020</v>
      </c>
      <c r="B265" s="5" t="s">
        <v>4021</v>
      </c>
      <c r="C265" s="5" t="s">
        <v>3548</v>
      </c>
      <c r="D265" s="5" t="s">
        <v>3782</v>
      </c>
      <c r="E265" s="5" t="s">
        <v>3799</v>
      </c>
      <c r="F265" s="5" t="s">
        <v>3584</v>
      </c>
      <c r="G265" s="5" t="s">
        <v>3493</v>
      </c>
      <c r="H265" s="5"/>
      <c r="I265" s="5" t="s">
        <v>3448</v>
      </c>
      <c r="J265" s="5" t="s">
        <v>3783</v>
      </c>
      <c r="K265" s="5" t="s">
        <v>3799</v>
      </c>
      <c r="L265" s="5">
        <v>60</v>
      </c>
      <c r="M265" s="5">
        <v>2</v>
      </c>
      <c r="N265" s="5" t="s">
        <v>3585</v>
      </c>
      <c r="O265" s="5" t="s">
        <v>3494</v>
      </c>
      <c r="P265" s="5">
        <v>8</v>
      </c>
      <c r="Q265" s="5">
        <v>1</v>
      </c>
      <c r="R265" s="5"/>
      <c r="S265" s="5">
        <v>110</v>
      </c>
      <c r="T265" s="5">
        <v>110</v>
      </c>
      <c r="U265" s="5">
        <v>110</v>
      </c>
    </row>
    <row r="266" spans="1:21" x14ac:dyDescent="0.25">
      <c r="A266" s="5" t="s">
        <v>4022</v>
      </c>
      <c r="B266" s="5" t="s">
        <v>4023</v>
      </c>
      <c r="C266" s="5" t="s">
        <v>3548</v>
      </c>
      <c r="D266" s="5" t="s">
        <v>3782</v>
      </c>
      <c r="E266" s="5" t="s">
        <v>3799</v>
      </c>
      <c r="F266" s="5" t="s">
        <v>3564</v>
      </c>
      <c r="G266" s="5"/>
      <c r="H266" s="5"/>
      <c r="I266" s="5" t="s">
        <v>3448</v>
      </c>
      <c r="J266" s="5" t="s">
        <v>3783</v>
      </c>
      <c r="K266" s="5" t="s">
        <v>3799</v>
      </c>
      <c r="L266" s="5">
        <v>60</v>
      </c>
      <c r="M266" s="5">
        <v>2</v>
      </c>
      <c r="N266" s="5" t="s">
        <v>3566</v>
      </c>
      <c r="O266" s="5"/>
      <c r="P266" s="5">
        <v>8</v>
      </c>
      <c r="Q266" s="5">
        <v>1</v>
      </c>
      <c r="R266" s="5"/>
      <c r="S266" s="5">
        <v>128</v>
      </c>
      <c r="T266" s="5">
        <v>123</v>
      </c>
      <c r="U266" s="5">
        <v>128</v>
      </c>
    </row>
    <row r="267" spans="1:21" x14ac:dyDescent="0.25">
      <c r="A267" s="5" t="s">
        <v>4024</v>
      </c>
      <c r="B267" s="5" t="s">
        <v>4025</v>
      </c>
      <c r="C267" s="5" t="s">
        <v>3548</v>
      </c>
      <c r="D267" s="5" t="s">
        <v>3782</v>
      </c>
      <c r="E267" s="5" t="s">
        <v>3799</v>
      </c>
      <c r="F267" s="5" t="s">
        <v>3822</v>
      </c>
      <c r="G267" s="5"/>
      <c r="H267" s="5"/>
      <c r="I267" s="5" t="s">
        <v>3448</v>
      </c>
      <c r="J267" s="5" t="s">
        <v>3783</v>
      </c>
      <c r="K267" s="5" t="s">
        <v>3799</v>
      </c>
      <c r="L267" s="5">
        <v>60</v>
      </c>
      <c r="M267" s="5">
        <v>2</v>
      </c>
      <c r="N267" s="5" t="s">
        <v>3823</v>
      </c>
      <c r="O267" s="5"/>
      <c r="P267" s="5">
        <v>8</v>
      </c>
      <c r="Q267" s="5">
        <v>1</v>
      </c>
      <c r="R267" s="5"/>
      <c r="S267" s="5">
        <v>123</v>
      </c>
      <c r="T267" s="5">
        <v>123</v>
      </c>
      <c r="U267" s="5">
        <v>123</v>
      </c>
    </row>
    <row r="268" spans="1:21" x14ac:dyDescent="0.25">
      <c r="A268" s="5" t="s">
        <v>4026</v>
      </c>
      <c r="B268" s="5" t="s">
        <v>4027</v>
      </c>
      <c r="C268" s="5" t="s">
        <v>3548</v>
      </c>
      <c r="D268" s="5" t="s">
        <v>3782</v>
      </c>
      <c r="E268" s="5" t="s">
        <v>3799</v>
      </c>
      <c r="F268" s="5" t="s">
        <v>3584</v>
      </c>
      <c r="G268" s="5" t="s">
        <v>3493</v>
      </c>
      <c r="H268" s="5"/>
      <c r="I268" s="5" t="s">
        <v>3448</v>
      </c>
      <c r="J268" s="5" t="s">
        <v>3783</v>
      </c>
      <c r="K268" s="5" t="s">
        <v>3799</v>
      </c>
      <c r="L268" s="5">
        <v>60</v>
      </c>
      <c r="M268" s="5">
        <v>3</v>
      </c>
      <c r="N268" s="5" t="s">
        <v>3585</v>
      </c>
      <c r="O268" s="5" t="s">
        <v>3494</v>
      </c>
      <c r="P268" s="5">
        <v>8</v>
      </c>
      <c r="Q268" s="5">
        <v>1</v>
      </c>
      <c r="R268" s="5"/>
      <c r="S268" s="5">
        <v>179</v>
      </c>
      <c r="T268" s="5">
        <v>179</v>
      </c>
      <c r="U268" s="5">
        <v>179</v>
      </c>
    </row>
    <row r="269" spans="1:21" x14ac:dyDescent="0.25">
      <c r="A269" s="5" t="s">
        <v>4028</v>
      </c>
      <c r="B269" s="5" t="s">
        <v>4029</v>
      </c>
      <c r="C269" s="5" t="s">
        <v>3548</v>
      </c>
      <c r="D269" s="5" t="s">
        <v>3782</v>
      </c>
      <c r="E269" s="5" t="s">
        <v>3799</v>
      </c>
      <c r="F269" s="5" t="s">
        <v>3564</v>
      </c>
      <c r="G269" s="5"/>
      <c r="H269" s="5"/>
      <c r="I269" s="5" t="s">
        <v>3448</v>
      </c>
      <c r="J269" s="5" t="s">
        <v>3783</v>
      </c>
      <c r="K269" s="5" t="s">
        <v>3799</v>
      </c>
      <c r="L269" s="5">
        <v>60</v>
      </c>
      <c r="M269" s="5">
        <v>3</v>
      </c>
      <c r="N269" s="5" t="s">
        <v>3566</v>
      </c>
      <c r="O269" s="5"/>
      <c r="P269" s="5">
        <v>8</v>
      </c>
      <c r="Q269" s="5">
        <v>1</v>
      </c>
      <c r="R269" s="5"/>
      <c r="S269" s="5">
        <v>203</v>
      </c>
      <c r="T269" s="5">
        <v>198</v>
      </c>
      <c r="U269" s="5">
        <v>203</v>
      </c>
    </row>
    <row r="270" spans="1:21" x14ac:dyDescent="0.25">
      <c r="A270" s="5" t="s">
        <v>4030</v>
      </c>
      <c r="B270" s="5" t="s">
        <v>4031</v>
      </c>
      <c r="C270" s="5" t="s">
        <v>3548</v>
      </c>
      <c r="D270" s="5" t="s">
        <v>3782</v>
      </c>
      <c r="E270" s="5" t="s">
        <v>3799</v>
      </c>
      <c r="F270" s="5" t="s">
        <v>3822</v>
      </c>
      <c r="G270" s="5"/>
      <c r="H270" s="5"/>
      <c r="I270" s="5" t="s">
        <v>3448</v>
      </c>
      <c r="J270" s="5" t="s">
        <v>3783</v>
      </c>
      <c r="K270" s="5" t="s">
        <v>3799</v>
      </c>
      <c r="L270" s="5">
        <v>60</v>
      </c>
      <c r="M270" s="5">
        <v>3</v>
      </c>
      <c r="N270" s="5" t="s">
        <v>3823</v>
      </c>
      <c r="O270" s="5"/>
      <c r="P270" s="5">
        <v>8</v>
      </c>
      <c r="Q270" s="5">
        <v>1</v>
      </c>
      <c r="R270" s="5"/>
      <c r="S270" s="5">
        <v>198</v>
      </c>
      <c r="T270" s="5">
        <v>198</v>
      </c>
      <c r="U270" s="5">
        <v>198</v>
      </c>
    </row>
    <row r="271" spans="1:21" x14ac:dyDescent="0.25">
      <c r="A271" s="5" t="s">
        <v>4032</v>
      </c>
      <c r="B271" s="5" t="s">
        <v>4033</v>
      </c>
      <c r="C271" s="5" t="s">
        <v>3548</v>
      </c>
      <c r="D271" s="5" t="s">
        <v>3782</v>
      </c>
      <c r="E271" s="5" t="s">
        <v>3799</v>
      </c>
      <c r="F271" s="5" t="s">
        <v>3584</v>
      </c>
      <c r="G271" s="5" t="s">
        <v>3493</v>
      </c>
      <c r="H271" s="5"/>
      <c r="I271" s="5" t="s">
        <v>3448</v>
      </c>
      <c r="J271" s="5" t="s">
        <v>3783</v>
      </c>
      <c r="K271" s="5" t="s">
        <v>3799</v>
      </c>
      <c r="L271" s="5">
        <v>60</v>
      </c>
      <c r="M271" s="5">
        <v>4</v>
      </c>
      <c r="N271" s="5" t="s">
        <v>3585</v>
      </c>
      <c r="O271" s="5" t="s">
        <v>3494</v>
      </c>
      <c r="P271" s="5">
        <v>8</v>
      </c>
      <c r="Q271" s="5">
        <v>2</v>
      </c>
      <c r="R271" s="5"/>
      <c r="S271" s="5">
        <v>220</v>
      </c>
      <c r="T271" s="5">
        <v>220</v>
      </c>
      <c r="U271" s="5">
        <v>220</v>
      </c>
    </row>
    <row r="272" spans="1:21" x14ac:dyDescent="0.25">
      <c r="A272" s="5" t="s">
        <v>4034</v>
      </c>
      <c r="B272" s="5" t="s">
        <v>4035</v>
      </c>
      <c r="C272" s="5" t="s">
        <v>3548</v>
      </c>
      <c r="D272" s="5" t="s">
        <v>3782</v>
      </c>
      <c r="E272" s="5" t="s">
        <v>3799</v>
      </c>
      <c r="F272" s="5" t="s">
        <v>3564</v>
      </c>
      <c r="G272" s="5"/>
      <c r="H272" s="5"/>
      <c r="I272" s="5" t="s">
        <v>3448</v>
      </c>
      <c r="J272" s="5" t="s">
        <v>3783</v>
      </c>
      <c r="K272" s="5" t="s">
        <v>3799</v>
      </c>
      <c r="L272" s="5">
        <v>60</v>
      </c>
      <c r="M272" s="5">
        <v>4</v>
      </c>
      <c r="N272" s="5" t="s">
        <v>3566</v>
      </c>
      <c r="O272" s="5"/>
      <c r="P272" s="5">
        <v>8</v>
      </c>
      <c r="Q272" s="5">
        <v>1</v>
      </c>
      <c r="R272" s="5"/>
      <c r="S272" s="5">
        <v>264</v>
      </c>
      <c r="T272" s="5">
        <v>246</v>
      </c>
      <c r="U272" s="5">
        <v>264</v>
      </c>
    </row>
    <row r="273" spans="1:21" x14ac:dyDescent="0.25">
      <c r="A273" s="5" t="s">
        <v>4036</v>
      </c>
      <c r="B273" s="5" t="s">
        <v>4037</v>
      </c>
      <c r="C273" s="5" t="s">
        <v>3548</v>
      </c>
      <c r="D273" s="5" t="s">
        <v>3782</v>
      </c>
      <c r="E273" s="5" t="s">
        <v>3799</v>
      </c>
      <c r="F273" s="5" t="s">
        <v>3822</v>
      </c>
      <c r="G273" s="5"/>
      <c r="H273" s="5"/>
      <c r="I273" s="5" t="s">
        <v>3448</v>
      </c>
      <c r="J273" s="5" t="s">
        <v>3783</v>
      </c>
      <c r="K273" s="5" t="s">
        <v>3799</v>
      </c>
      <c r="L273" s="5">
        <v>60</v>
      </c>
      <c r="M273" s="5">
        <v>4</v>
      </c>
      <c r="N273" s="5" t="s">
        <v>3823</v>
      </c>
      <c r="O273" s="5"/>
      <c r="P273" s="5">
        <v>8</v>
      </c>
      <c r="Q273" s="5">
        <v>1</v>
      </c>
      <c r="R273" s="5"/>
      <c r="S273" s="5">
        <v>246</v>
      </c>
      <c r="T273" s="5">
        <v>246</v>
      </c>
      <c r="U273" s="5">
        <v>246</v>
      </c>
    </row>
    <row r="274" spans="1:21" x14ac:dyDescent="0.25">
      <c r="A274" s="5" t="s">
        <v>4038</v>
      </c>
      <c r="B274" s="5" t="s">
        <v>4039</v>
      </c>
      <c r="C274" s="5" t="s">
        <v>3548</v>
      </c>
      <c r="D274" s="5" t="s">
        <v>3782</v>
      </c>
      <c r="E274" s="5" t="s">
        <v>3799</v>
      </c>
      <c r="F274" s="5" t="s">
        <v>3822</v>
      </c>
      <c r="G274" s="5"/>
      <c r="H274" s="5"/>
      <c r="I274" s="5" t="s">
        <v>3448</v>
      </c>
      <c r="J274" s="5" t="s">
        <v>3783</v>
      </c>
      <c r="K274" s="5" t="s">
        <v>3799</v>
      </c>
      <c r="L274" s="5">
        <v>60</v>
      </c>
      <c r="M274" s="5">
        <v>6</v>
      </c>
      <c r="N274" s="5" t="s">
        <v>3823</v>
      </c>
      <c r="O274" s="5"/>
      <c r="P274" s="5">
        <v>8</v>
      </c>
      <c r="Q274" s="5">
        <v>1</v>
      </c>
      <c r="R274" s="5"/>
      <c r="S274" s="5">
        <v>369</v>
      </c>
      <c r="T274" s="5">
        <v>369</v>
      </c>
      <c r="U274" s="5">
        <v>369</v>
      </c>
    </row>
    <row r="275" spans="1:21" x14ac:dyDescent="0.25">
      <c r="A275" s="5" t="s">
        <v>4040</v>
      </c>
      <c r="B275" s="5" t="s">
        <v>4041</v>
      </c>
      <c r="C275" s="5" t="s">
        <v>3548</v>
      </c>
      <c r="D275" s="5" t="s">
        <v>3782</v>
      </c>
      <c r="E275" s="5" t="s">
        <v>3799</v>
      </c>
      <c r="F275" s="5" t="s">
        <v>3584</v>
      </c>
      <c r="G275" s="5" t="s">
        <v>3493</v>
      </c>
      <c r="H275" s="5"/>
      <c r="I275" s="5" t="s">
        <v>3448</v>
      </c>
      <c r="J275" s="5" t="s">
        <v>3783</v>
      </c>
      <c r="K275" s="5" t="s">
        <v>3799</v>
      </c>
      <c r="L275" s="5">
        <v>60</v>
      </c>
      <c r="M275" s="5">
        <v>1</v>
      </c>
      <c r="N275" s="5" t="s">
        <v>3585</v>
      </c>
      <c r="O275" s="5" t="s">
        <v>3494</v>
      </c>
      <c r="P275" s="5">
        <v>8</v>
      </c>
      <c r="Q275" s="5">
        <v>1</v>
      </c>
      <c r="R275" s="5"/>
      <c r="S275" s="5">
        <v>69</v>
      </c>
      <c r="T275" s="5">
        <v>69</v>
      </c>
      <c r="U275" s="5">
        <v>69</v>
      </c>
    </row>
    <row r="276" spans="1:21" x14ac:dyDescent="0.25">
      <c r="A276" s="5" t="s">
        <v>4044</v>
      </c>
      <c r="B276" s="5" t="s">
        <v>4045</v>
      </c>
      <c r="C276" s="5" t="s">
        <v>3548</v>
      </c>
      <c r="D276" s="5" t="s">
        <v>3782</v>
      </c>
      <c r="E276" s="5" t="s">
        <v>3799</v>
      </c>
      <c r="F276" s="5" t="s">
        <v>3564</v>
      </c>
      <c r="G276" s="5"/>
      <c r="H276" s="5"/>
      <c r="I276" s="5" t="s">
        <v>3448</v>
      </c>
      <c r="J276" s="5" t="s">
        <v>3783</v>
      </c>
      <c r="K276" s="5" t="s">
        <v>3799</v>
      </c>
      <c r="L276" s="5">
        <v>60</v>
      </c>
      <c r="M276" s="5">
        <v>1</v>
      </c>
      <c r="N276" s="5" t="s">
        <v>3566</v>
      </c>
      <c r="O276" s="5"/>
      <c r="P276" s="5">
        <v>8</v>
      </c>
      <c r="Q276" s="5">
        <v>1</v>
      </c>
      <c r="R276" s="5"/>
      <c r="S276" s="5">
        <v>83</v>
      </c>
      <c r="T276" s="5">
        <v>75</v>
      </c>
      <c r="U276" s="5">
        <v>83</v>
      </c>
    </row>
    <row r="277" spans="1:21" x14ac:dyDescent="0.25">
      <c r="A277" s="5" t="s">
        <v>4048</v>
      </c>
      <c r="B277" s="5" t="s">
        <v>4049</v>
      </c>
      <c r="C277" s="5" t="s">
        <v>3548</v>
      </c>
      <c r="D277" s="5" t="s">
        <v>3782</v>
      </c>
      <c r="E277" s="5" t="s">
        <v>3799</v>
      </c>
      <c r="F277" s="5" t="s">
        <v>3822</v>
      </c>
      <c r="G277" s="5"/>
      <c r="H277" s="5"/>
      <c r="I277" s="5" t="s">
        <v>3448</v>
      </c>
      <c r="J277" s="5" t="s">
        <v>3783</v>
      </c>
      <c r="K277" s="5" t="s">
        <v>3799</v>
      </c>
      <c r="L277" s="5">
        <v>60</v>
      </c>
      <c r="M277" s="5">
        <v>1</v>
      </c>
      <c r="N277" s="5" t="s">
        <v>3823</v>
      </c>
      <c r="O277" s="5"/>
      <c r="P277" s="5">
        <v>8</v>
      </c>
      <c r="Q277" s="5">
        <v>1</v>
      </c>
      <c r="R277" s="5"/>
      <c r="S277" s="5">
        <v>75</v>
      </c>
      <c r="T277" s="5">
        <v>75</v>
      </c>
      <c r="U277" s="5">
        <v>75</v>
      </c>
    </row>
    <row r="278" spans="1:21" x14ac:dyDescent="0.25">
      <c r="A278" s="5" t="s">
        <v>4052</v>
      </c>
      <c r="B278" s="5" t="s">
        <v>4053</v>
      </c>
      <c r="C278" s="5" t="s">
        <v>3548</v>
      </c>
      <c r="D278" s="5" t="s">
        <v>3782</v>
      </c>
      <c r="E278" s="5" t="s">
        <v>3799</v>
      </c>
      <c r="F278" s="5" t="s">
        <v>3584</v>
      </c>
      <c r="G278" s="5" t="s">
        <v>3493</v>
      </c>
      <c r="H278" s="5"/>
      <c r="I278" s="5" t="s">
        <v>3448</v>
      </c>
      <c r="J278" s="5" t="s">
        <v>3783</v>
      </c>
      <c r="K278" s="5" t="s">
        <v>3799</v>
      </c>
      <c r="L278" s="5">
        <v>75</v>
      </c>
      <c r="M278" s="5">
        <v>2</v>
      </c>
      <c r="N278" s="5" t="s">
        <v>3585</v>
      </c>
      <c r="O278" s="5" t="s">
        <v>3494</v>
      </c>
      <c r="P278" s="5">
        <v>8</v>
      </c>
      <c r="Q278" s="5">
        <v>1</v>
      </c>
      <c r="R278" s="5"/>
      <c r="S278" s="5">
        <v>110</v>
      </c>
      <c r="T278" s="5">
        <v>110</v>
      </c>
      <c r="U278" s="5">
        <v>110</v>
      </c>
    </row>
    <row r="279" spans="1:21" x14ac:dyDescent="0.25">
      <c r="A279" s="5" t="s">
        <v>4054</v>
      </c>
      <c r="B279" s="5" t="s">
        <v>4055</v>
      </c>
      <c r="C279" s="5" t="s">
        <v>3548</v>
      </c>
      <c r="D279" s="5" t="s">
        <v>3782</v>
      </c>
      <c r="E279" s="5" t="s">
        <v>3799</v>
      </c>
      <c r="F279" s="5" t="s">
        <v>3564</v>
      </c>
      <c r="G279" s="5"/>
      <c r="H279" s="5"/>
      <c r="I279" s="5" t="s">
        <v>3448</v>
      </c>
      <c r="J279" s="5" t="s">
        <v>3783</v>
      </c>
      <c r="K279" s="5" t="s">
        <v>3799</v>
      </c>
      <c r="L279" s="5">
        <v>75</v>
      </c>
      <c r="M279" s="5">
        <v>2</v>
      </c>
      <c r="N279" s="5" t="s">
        <v>3566</v>
      </c>
      <c r="O279" s="5"/>
      <c r="P279" s="5">
        <v>8</v>
      </c>
      <c r="Q279" s="5">
        <v>1</v>
      </c>
      <c r="R279" s="5"/>
      <c r="S279" s="5">
        <v>172</v>
      </c>
      <c r="T279" s="5">
        <v>123</v>
      </c>
      <c r="U279" s="5">
        <v>172</v>
      </c>
    </row>
    <row r="280" spans="1:21" x14ac:dyDescent="0.25">
      <c r="A280" s="5" t="s">
        <v>4056</v>
      </c>
      <c r="B280" s="5" t="s">
        <v>4057</v>
      </c>
      <c r="C280" s="5" t="s">
        <v>3548</v>
      </c>
      <c r="D280" s="5" t="s">
        <v>3782</v>
      </c>
      <c r="E280" s="5" t="s">
        <v>3799</v>
      </c>
      <c r="F280" s="5" t="s">
        <v>3822</v>
      </c>
      <c r="G280" s="5"/>
      <c r="H280" s="5"/>
      <c r="I280" s="5" t="s">
        <v>3448</v>
      </c>
      <c r="J280" s="5" t="s">
        <v>3783</v>
      </c>
      <c r="K280" s="5" t="s">
        <v>3799</v>
      </c>
      <c r="L280" s="5">
        <v>75</v>
      </c>
      <c r="M280" s="5">
        <v>2</v>
      </c>
      <c r="N280" s="5" t="s">
        <v>3823</v>
      </c>
      <c r="O280" s="5"/>
      <c r="P280" s="5">
        <v>8</v>
      </c>
      <c r="Q280" s="5">
        <v>1</v>
      </c>
      <c r="R280" s="5"/>
      <c r="S280" s="5">
        <v>158</v>
      </c>
      <c r="T280" s="5">
        <v>123</v>
      </c>
      <c r="U280" s="5">
        <v>158</v>
      </c>
    </row>
    <row r="281" spans="1:21" x14ac:dyDescent="0.25">
      <c r="A281" s="5" t="s">
        <v>4058</v>
      </c>
      <c r="B281" s="5" t="s">
        <v>4059</v>
      </c>
      <c r="C281" s="5" t="s">
        <v>3548</v>
      </c>
      <c r="D281" s="5" t="s">
        <v>3782</v>
      </c>
      <c r="E281" s="5" t="s">
        <v>3799</v>
      </c>
      <c r="F281" s="5" t="s">
        <v>3584</v>
      </c>
      <c r="G281" s="5" t="s">
        <v>3493</v>
      </c>
      <c r="H281" s="5"/>
      <c r="I281" s="5" t="s">
        <v>3448</v>
      </c>
      <c r="J281" s="5" t="s">
        <v>3783</v>
      </c>
      <c r="K281" s="5" t="s">
        <v>3799</v>
      </c>
      <c r="L281" s="5">
        <v>75</v>
      </c>
      <c r="M281" s="5">
        <v>3</v>
      </c>
      <c r="N281" s="5" t="s">
        <v>3585</v>
      </c>
      <c r="O281" s="5" t="s">
        <v>3494</v>
      </c>
      <c r="P281" s="5">
        <v>8</v>
      </c>
      <c r="Q281" s="5">
        <v>2</v>
      </c>
      <c r="R281" s="5"/>
      <c r="S281" s="5">
        <v>179</v>
      </c>
      <c r="T281" s="5">
        <v>179</v>
      </c>
      <c r="U281" s="5">
        <v>179</v>
      </c>
    </row>
    <row r="282" spans="1:21" x14ac:dyDescent="0.25">
      <c r="A282" s="5" t="s">
        <v>4060</v>
      </c>
      <c r="B282" s="5" t="s">
        <v>4061</v>
      </c>
      <c r="C282" s="5" t="s">
        <v>3548</v>
      </c>
      <c r="D282" s="5" t="s">
        <v>3782</v>
      </c>
      <c r="E282" s="5" t="s">
        <v>3799</v>
      </c>
      <c r="F282" s="5" t="s">
        <v>3822</v>
      </c>
      <c r="G282" s="5"/>
      <c r="H282" s="5"/>
      <c r="I282" s="5" t="s">
        <v>3448</v>
      </c>
      <c r="J282" s="5" t="s">
        <v>3783</v>
      </c>
      <c r="K282" s="5" t="s">
        <v>3799</v>
      </c>
      <c r="L282" s="5">
        <v>75</v>
      </c>
      <c r="M282" s="5">
        <v>3</v>
      </c>
      <c r="N282" s="5" t="s">
        <v>3823</v>
      </c>
      <c r="O282" s="5"/>
      <c r="P282" s="5">
        <v>8</v>
      </c>
      <c r="Q282" s="5">
        <v>1</v>
      </c>
      <c r="R282" s="5"/>
      <c r="S282" s="5">
        <v>264</v>
      </c>
      <c r="T282" s="5">
        <v>198</v>
      </c>
      <c r="U282" s="5">
        <v>264</v>
      </c>
    </row>
    <row r="283" spans="1:21" x14ac:dyDescent="0.25">
      <c r="A283" s="5" t="s">
        <v>4062</v>
      </c>
      <c r="B283" s="5" t="s">
        <v>4063</v>
      </c>
      <c r="C283" s="5" t="s">
        <v>3548</v>
      </c>
      <c r="D283" s="5" t="s">
        <v>3782</v>
      </c>
      <c r="E283" s="5" t="s">
        <v>3799</v>
      </c>
      <c r="F283" s="5" t="s">
        <v>3584</v>
      </c>
      <c r="G283" s="5" t="s">
        <v>3493</v>
      </c>
      <c r="H283" s="5"/>
      <c r="I283" s="5" t="s">
        <v>3448</v>
      </c>
      <c r="J283" s="5" t="s">
        <v>3783</v>
      </c>
      <c r="K283" s="5" t="s">
        <v>3799</v>
      </c>
      <c r="L283" s="5">
        <v>75</v>
      </c>
      <c r="M283" s="5">
        <v>4</v>
      </c>
      <c r="N283" s="5" t="s">
        <v>3585</v>
      </c>
      <c r="O283" s="5" t="s">
        <v>3494</v>
      </c>
      <c r="P283" s="5">
        <v>8</v>
      </c>
      <c r="Q283" s="5">
        <v>2</v>
      </c>
      <c r="R283" s="5"/>
      <c r="S283" s="5">
        <v>220</v>
      </c>
      <c r="T283" s="5">
        <v>220</v>
      </c>
      <c r="U283" s="5">
        <v>220</v>
      </c>
    </row>
    <row r="284" spans="1:21" x14ac:dyDescent="0.25">
      <c r="A284" s="5" t="s">
        <v>4064</v>
      </c>
      <c r="B284" s="5" t="s">
        <v>4065</v>
      </c>
      <c r="C284" s="5" t="s">
        <v>3548</v>
      </c>
      <c r="D284" s="5" t="s">
        <v>3782</v>
      </c>
      <c r="E284" s="5" t="s">
        <v>3799</v>
      </c>
      <c r="F284" s="5" t="s">
        <v>3822</v>
      </c>
      <c r="G284" s="5"/>
      <c r="H284" s="5"/>
      <c r="I284" s="5" t="s">
        <v>3448</v>
      </c>
      <c r="J284" s="5" t="s">
        <v>3783</v>
      </c>
      <c r="K284" s="5" t="s">
        <v>3799</v>
      </c>
      <c r="L284" s="5">
        <v>75</v>
      </c>
      <c r="M284" s="5">
        <v>4</v>
      </c>
      <c r="N284" s="5" t="s">
        <v>3823</v>
      </c>
      <c r="O284" s="5"/>
      <c r="P284" s="5">
        <v>8</v>
      </c>
      <c r="Q284" s="5">
        <v>1</v>
      </c>
      <c r="R284" s="5"/>
      <c r="S284" s="5">
        <v>316</v>
      </c>
      <c r="T284" s="5">
        <v>246</v>
      </c>
      <c r="U284" s="5">
        <v>316</v>
      </c>
    </row>
    <row r="285" spans="1:21" x14ac:dyDescent="0.25">
      <c r="A285" s="5" t="s">
        <v>4066</v>
      </c>
      <c r="B285" s="5" t="s">
        <v>4067</v>
      </c>
      <c r="C285" s="5" t="s">
        <v>3548</v>
      </c>
      <c r="D285" s="5" t="s">
        <v>3782</v>
      </c>
      <c r="E285" s="5" t="s">
        <v>3799</v>
      </c>
      <c r="F285" s="5" t="s">
        <v>3564</v>
      </c>
      <c r="G285" s="5"/>
      <c r="H285" s="5"/>
      <c r="I285" s="5" t="s">
        <v>3448</v>
      </c>
      <c r="J285" s="5" t="s">
        <v>3783</v>
      </c>
      <c r="K285" s="5" t="s">
        <v>3799</v>
      </c>
      <c r="L285" s="5">
        <v>75</v>
      </c>
      <c r="M285" s="5">
        <v>6</v>
      </c>
      <c r="N285" s="5" t="s">
        <v>3566</v>
      </c>
      <c r="O285" s="5"/>
      <c r="P285" s="5">
        <v>8</v>
      </c>
      <c r="Q285" s="5">
        <v>1</v>
      </c>
      <c r="R285" s="5"/>
      <c r="S285" s="5">
        <v>540</v>
      </c>
      <c r="T285" s="5">
        <v>328</v>
      </c>
      <c r="U285" s="5">
        <v>540</v>
      </c>
    </row>
    <row r="286" spans="1:21" x14ac:dyDescent="0.25">
      <c r="A286" s="5" t="s">
        <v>4068</v>
      </c>
      <c r="B286" s="5" t="s">
        <v>4069</v>
      </c>
      <c r="C286" s="5" t="s">
        <v>3548</v>
      </c>
      <c r="D286" s="5" t="s">
        <v>3782</v>
      </c>
      <c r="E286" s="5" t="s">
        <v>3799</v>
      </c>
      <c r="F286" s="5" t="s">
        <v>3822</v>
      </c>
      <c r="G286" s="5"/>
      <c r="H286" s="5"/>
      <c r="I286" s="5" t="s">
        <v>3448</v>
      </c>
      <c r="J286" s="5" t="s">
        <v>3783</v>
      </c>
      <c r="K286" s="5" t="s">
        <v>3799</v>
      </c>
      <c r="L286" s="5">
        <v>75</v>
      </c>
      <c r="M286" s="5">
        <v>6</v>
      </c>
      <c r="N286" s="5" t="s">
        <v>3823</v>
      </c>
      <c r="O286" s="5"/>
      <c r="P286" s="5">
        <v>8</v>
      </c>
      <c r="Q286" s="5">
        <v>1</v>
      </c>
      <c r="R286" s="5"/>
      <c r="S286" s="5">
        <v>474</v>
      </c>
      <c r="T286" s="5">
        <v>328</v>
      </c>
      <c r="U286" s="5">
        <v>474</v>
      </c>
    </row>
    <row r="287" spans="1:21" x14ac:dyDescent="0.25">
      <c r="A287" s="5" t="s">
        <v>4070</v>
      </c>
      <c r="B287" s="5" t="s">
        <v>4071</v>
      </c>
      <c r="C287" s="5" t="s">
        <v>3548</v>
      </c>
      <c r="D287" s="5" t="s">
        <v>3782</v>
      </c>
      <c r="E287" s="5" t="s">
        <v>3799</v>
      </c>
      <c r="F287" s="5" t="s">
        <v>3584</v>
      </c>
      <c r="G287" s="5" t="s">
        <v>3493</v>
      </c>
      <c r="H287" s="5"/>
      <c r="I287" s="5" t="s">
        <v>3448</v>
      </c>
      <c r="J287" s="5" t="s">
        <v>3783</v>
      </c>
      <c r="K287" s="5" t="s">
        <v>3799</v>
      </c>
      <c r="L287" s="5">
        <v>75</v>
      </c>
      <c r="M287" s="5">
        <v>1</v>
      </c>
      <c r="N287" s="5" t="s">
        <v>3585</v>
      </c>
      <c r="O287" s="5" t="s">
        <v>3494</v>
      </c>
      <c r="P287" s="5">
        <v>8</v>
      </c>
      <c r="Q287" s="5">
        <v>1</v>
      </c>
      <c r="R287" s="5"/>
      <c r="S287" s="5">
        <v>69</v>
      </c>
      <c r="T287" s="5">
        <v>69</v>
      </c>
      <c r="U287" s="5">
        <v>69</v>
      </c>
    </row>
    <row r="288" spans="1:21" x14ac:dyDescent="0.25">
      <c r="A288" s="5" t="s">
        <v>4074</v>
      </c>
      <c r="B288" s="5" t="s">
        <v>4075</v>
      </c>
      <c r="C288" s="5" t="s">
        <v>3548</v>
      </c>
      <c r="D288" s="5" t="s">
        <v>3782</v>
      </c>
      <c r="E288" s="5" t="s">
        <v>3799</v>
      </c>
      <c r="F288" s="5" t="s">
        <v>3564</v>
      </c>
      <c r="G288" s="5"/>
      <c r="H288" s="5"/>
      <c r="I288" s="5" t="s">
        <v>3448</v>
      </c>
      <c r="J288" s="5" t="s">
        <v>3783</v>
      </c>
      <c r="K288" s="5" t="s">
        <v>3799</v>
      </c>
      <c r="L288" s="5">
        <v>75</v>
      </c>
      <c r="M288" s="5">
        <v>1</v>
      </c>
      <c r="N288" s="5" t="s">
        <v>3566</v>
      </c>
      <c r="O288" s="5"/>
      <c r="P288" s="5">
        <v>8</v>
      </c>
      <c r="Q288" s="5">
        <v>1</v>
      </c>
      <c r="R288" s="5"/>
      <c r="S288" s="5">
        <v>90</v>
      </c>
      <c r="T288" s="5">
        <v>75</v>
      </c>
      <c r="U288" s="5">
        <v>90</v>
      </c>
    </row>
    <row r="289" spans="1:21" x14ac:dyDescent="0.25">
      <c r="A289" s="5" t="s">
        <v>4078</v>
      </c>
      <c r="B289" s="5" t="s">
        <v>4079</v>
      </c>
      <c r="C289" s="5" t="s">
        <v>3548</v>
      </c>
      <c r="D289" s="5" t="s">
        <v>3782</v>
      </c>
      <c r="E289" s="5" t="s">
        <v>3799</v>
      </c>
      <c r="F289" s="5" t="s">
        <v>3822</v>
      </c>
      <c r="G289" s="5"/>
      <c r="H289" s="5"/>
      <c r="I289" s="5" t="s">
        <v>3448</v>
      </c>
      <c r="J289" s="5" t="s">
        <v>3783</v>
      </c>
      <c r="K289" s="5" t="s">
        <v>3799</v>
      </c>
      <c r="L289" s="5">
        <v>75</v>
      </c>
      <c r="M289" s="5">
        <v>1</v>
      </c>
      <c r="N289" s="5" t="s">
        <v>3823</v>
      </c>
      <c r="O289" s="5"/>
      <c r="P289" s="5">
        <v>8</v>
      </c>
      <c r="Q289" s="5">
        <v>1</v>
      </c>
      <c r="R289" s="5"/>
      <c r="S289" s="5">
        <v>98</v>
      </c>
      <c r="T289" s="5">
        <v>75</v>
      </c>
      <c r="U289" s="5">
        <v>98</v>
      </c>
    </row>
    <row r="290" spans="1:21" x14ac:dyDescent="0.25">
      <c r="A290" s="5" t="s">
        <v>4082</v>
      </c>
      <c r="B290" s="5" t="s">
        <v>4083</v>
      </c>
      <c r="C290" s="5" t="s">
        <v>3548</v>
      </c>
      <c r="D290" s="5" t="s">
        <v>3782</v>
      </c>
      <c r="E290" s="5" t="s">
        <v>4084</v>
      </c>
      <c r="F290" s="5" t="s">
        <v>3584</v>
      </c>
      <c r="G290" s="5" t="s">
        <v>3493</v>
      </c>
      <c r="H290" s="5"/>
      <c r="I290" s="5" t="s">
        <v>3448</v>
      </c>
      <c r="J290" s="5" t="s">
        <v>3783</v>
      </c>
      <c r="K290" s="5" t="s">
        <v>4085</v>
      </c>
      <c r="L290" s="5">
        <v>110</v>
      </c>
      <c r="M290" s="5">
        <v>2</v>
      </c>
      <c r="N290" s="5" t="s">
        <v>3585</v>
      </c>
      <c r="O290" s="5" t="s">
        <v>3494</v>
      </c>
      <c r="P290" s="5">
        <v>8</v>
      </c>
      <c r="Q290" s="5">
        <v>1</v>
      </c>
      <c r="R290" s="5"/>
      <c r="S290" s="5">
        <v>173</v>
      </c>
      <c r="T290" s="5">
        <v>173</v>
      </c>
      <c r="U290" s="5">
        <v>173</v>
      </c>
    </row>
    <row r="291" spans="1:21" x14ac:dyDescent="0.25">
      <c r="A291" s="5" t="s">
        <v>4086</v>
      </c>
      <c r="B291" s="5" t="s">
        <v>4087</v>
      </c>
      <c r="C291" s="5" t="s">
        <v>3548</v>
      </c>
      <c r="D291" s="5" t="s">
        <v>3782</v>
      </c>
      <c r="E291" s="5" t="s">
        <v>4084</v>
      </c>
      <c r="F291" s="5" t="s">
        <v>3564</v>
      </c>
      <c r="G291" s="5"/>
      <c r="H291" s="5"/>
      <c r="I291" s="5" t="s">
        <v>3448</v>
      </c>
      <c r="J291" s="5" t="s">
        <v>3783</v>
      </c>
      <c r="K291" s="5" t="s">
        <v>4085</v>
      </c>
      <c r="L291" s="5">
        <v>110</v>
      </c>
      <c r="M291" s="5">
        <v>2</v>
      </c>
      <c r="N291" s="5" t="s">
        <v>3566</v>
      </c>
      <c r="O291" s="5"/>
      <c r="P291" s="5">
        <v>8</v>
      </c>
      <c r="Q291" s="5">
        <v>1</v>
      </c>
      <c r="R291" s="5"/>
      <c r="S291" s="5">
        <v>257</v>
      </c>
      <c r="T291" s="5">
        <v>207</v>
      </c>
      <c r="U291" s="5">
        <v>257</v>
      </c>
    </row>
    <row r="292" spans="1:21" x14ac:dyDescent="0.25">
      <c r="A292" s="5" t="s">
        <v>4088</v>
      </c>
      <c r="B292" s="5" t="s">
        <v>4089</v>
      </c>
      <c r="C292" s="5" t="s">
        <v>3548</v>
      </c>
      <c r="D292" s="5" t="s">
        <v>3782</v>
      </c>
      <c r="E292" s="5" t="s">
        <v>4084</v>
      </c>
      <c r="F292" s="5" t="s">
        <v>3822</v>
      </c>
      <c r="G292" s="5"/>
      <c r="H292" s="5"/>
      <c r="I292" s="5" t="s">
        <v>3448</v>
      </c>
      <c r="J292" s="5" t="s">
        <v>3783</v>
      </c>
      <c r="K292" s="5" t="s">
        <v>4085</v>
      </c>
      <c r="L292" s="5">
        <v>110</v>
      </c>
      <c r="M292" s="5">
        <v>2</v>
      </c>
      <c r="N292" s="5" t="s">
        <v>3823</v>
      </c>
      <c r="O292" s="5"/>
      <c r="P292" s="5">
        <v>8</v>
      </c>
      <c r="Q292" s="5">
        <v>1</v>
      </c>
      <c r="R292" s="5"/>
      <c r="S292" s="5">
        <v>227</v>
      </c>
      <c r="T292" s="5">
        <v>227</v>
      </c>
      <c r="U292" s="5">
        <v>227</v>
      </c>
    </row>
    <row r="293" spans="1:21" x14ac:dyDescent="0.25">
      <c r="A293" s="5" t="s">
        <v>4090</v>
      </c>
      <c r="B293" s="5" t="s">
        <v>4091</v>
      </c>
      <c r="C293" s="5" t="s">
        <v>3548</v>
      </c>
      <c r="D293" s="5" t="s">
        <v>3782</v>
      </c>
      <c r="E293" s="5" t="s">
        <v>4084</v>
      </c>
      <c r="F293" s="5" t="s">
        <v>3564</v>
      </c>
      <c r="G293" s="5"/>
      <c r="H293" s="5"/>
      <c r="I293" s="5" t="s">
        <v>3448</v>
      </c>
      <c r="J293" s="5" t="s">
        <v>3783</v>
      </c>
      <c r="K293" s="5" t="s">
        <v>4085</v>
      </c>
      <c r="L293" s="5">
        <v>110</v>
      </c>
      <c r="M293" s="5">
        <v>3</v>
      </c>
      <c r="N293" s="5" t="s">
        <v>3566</v>
      </c>
      <c r="O293" s="5"/>
      <c r="P293" s="5">
        <v>8</v>
      </c>
      <c r="Q293" s="5">
        <v>1</v>
      </c>
      <c r="R293" s="5"/>
      <c r="S293" s="5">
        <v>410</v>
      </c>
      <c r="T293" s="5">
        <v>319</v>
      </c>
      <c r="U293" s="5">
        <v>410</v>
      </c>
    </row>
    <row r="294" spans="1:21" x14ac:dyDescent="0.25">
      <c r="A294" s="5" t="s">
        <v>4092</v>
      </c>
      <c r="B294" s="5" t="s">
        <v>4093</v>
      </c>
      <c r="C294" s="5" t="s">
        <v>3548</v>
      </c>
      <c r="D294" s="5" t="s">
        <v>3782</v>
      </c>
      <c r="E294" s="5" t="s">
        <v>4084</v>
      </c>
      <c r="F294" s="5" t="s">
        <v>3822</v>
      </c>
      <c r="G294" s="5"/>
      <c r="H294" s="5"/>
      <c r="I294" s="5" t="s">
        <v>3448</v>
      </c>
      <c r="J294" s="5" t="s">
        <v>3783</v>
      </c>
      <c r="K294" s="5" t="s">
        <v>4085</v>
      </c>
      <c r="L294" s="5">
        <v>110</v>
      </c>
      <c r="M294" s="5">
        <v>3</v>
      </c>
      <c r="N294" s="5" t="s">
        <v>3823</v>
      </c>
      <c r="O294" s="5"/>
      <c r="P294" s="5">
        <v>8</v>
      </c>
      <c r="Q294" s="5">
        <v>1</v>
      </c>
      <c r="R294" s="5"/>
      <c r="S294" s="5">
        <v>381</v>
      </c>
      <c r="T294" s="5">
        <v>319</v>
      </c>
      <c r="U294" s="5">
        <v>381</v>
      </c>
    </row>
    <row r="295" spans="1:21" x14ac:dyDescent="0.25">
      <c r="A295" s="5" t="s">
        <v>4094</v>
      </c>
      <c r="B295" s="5" t="s">
        <v>4095</v>
      </c>
      <c r="C295" s="5" t="s">
        <v>3548</v>
      </c>
      <c r="D295" s="5" t="s">
        <v>3782</v>
      </c>
      <c r="E295" s="5" t="s">
        <v>4084</v>
      </c>
      <c r="F295" s="5" t="s">
        <v>3584</v>
      </c>
      <c r="G295" s="5" t="s">
        <v>3493</v>
      </c>
      <c r="H295" s="5"/>
      <c r="I295" s="5" t="s">
        <v>3448</v>
      </c>
      <c r="J295" s="5" t="s">
        <v>3783</v>
      </c>
      <c r="K295" s="5" t="s">
        <v>4085</v>
      </c>
      <c r="L295" s="5">
        <v>110</v>
      </c>
      <c r="M295" s="5">
        <v>4</v>
      </c>
      <c r="N295" s="5" t="s">
        <v>3585</v>
      </c>
      <c r="O295" s="5" t="s">
        <v>3494</v>
      </c>
      <c r="P295" s="5">
        <v>8</v>
      </c>
      <c r="Q295" s="5">
        <v>2</v>
      </c>
      <c r="R295" s="5"/>
      <c r="S295" s="5">
        <v>346</v>
      </c>
      <c r="T295" s="5">
        <v>346</v>
      </c>
      <c r="U295" s="5">
        <v>346</v>
      </c>
    </row>
    <row r="296" spans="1:21" x14ac:dyDescent="0.25">
      <c r="A296" s="5" t="s">
        <v>4096</v>
      </c>
      <c r="B296" s="5" t="s">
        <v>4097</v>
      </c>
      <c r="C296" s="5" t="s">
        <v>3548</v>
      </c>
      <c r="D296" s="5" t="s">
        <v>3782</v>
      </c>
      <c r="E296" s="5" t="s">
        <v>4084</v>
      </c>
      <c r="F296" s="5" t="s">
        <v>3564</v>
      </c>
      <c r="G296" s="5"/>
      <c r="H296" s="5"/>
      <c r="I296" s="5" t="s">
        <v>3448</v>
      </c>
      <c r="J296" s="5" t="s">
        <v>3783</v>
      </c>
      <c r="K296" s="5" t="s">
        <v>4085</v>
      </c>
      <c r="L296" s="5">
        <v>110</v>
      </c>
      <c r="M296" s="5">
        <v>4</v>
      </c>
      <c r="N296" s="5" t="s">
        <v>3566</v>
      </c>
      <c r="O296" s="5"/>
      <c r="P296" s="5">
        <v>8</v>
      </c>
      <c r="Q296" s="5">
        <v>1</v>
      </c>
      <c r="R296" s="5"/>
      <c r="S296" s="5">
        <v>514</v>
      </c>
      <c r="T296" s="5">
        <v>414</v>
      </c>
      <c r="U296" s="5">
        <v>514</v>
      </c>
    </row>
    <row r="297" spans="1:21" x14ac:dyDescent="0.25">
      <c r="A297" s="5" t="s">
        <v>4098</v>
      </c>
      <c r="B297" s="5" t="s">
        <v>4099</v>
      </c>
      <c r="C297" s="5" t="s">
        <v>3548</v>
      </c>
      <c r="D297" s="5" t="s">
        <v>3782</v>
      </c>
      <c r="E297" s="5" t="s">
        <v>4084</v>
      </c>
      <c r="F297" s="5" t="s">
        <v>3822</v>
      </c>
      <c r="G297" s="5"/>
      <c r="H297" s="5"/>
      <c r="I297" s="5" t="s">
        <v>3448</v>
      </c>
      <c r="J297" s="5" t="s">
        <v>3783</v>
      </c>
      <c r="K297" s="5" t="s">
        <v>4085</v>
      </c>
      <c r="L297" s="5">
        <v>110</v>
      </c>
      <c r="M297" s="5">
        <v>4</v>
      </c>
      <c r="N297" s="5" t="s">
        <v>3823</v>
      </c>
      <c r="O297" s="5"/>
      <c r="P297" s="5">
        <v>8</v>
      </c>
      <c r="Q297" s="5">
        <v>1</v>
      </c>
      <c r="R297" s="5"/>
      <c r="S297" s="5">
        <v>474</v>
      </c>
      <c r="T297" s="5">
        <v>414</v>
      </c>
      <c r="U297" s="5">
        <v>474</v>
      </c>
    </row>
    <row r="298" spans="1:21" x14ac:dyDescent="0.25">
      <c r="A298" s="5" t="s">
        <v>4100</v>
      </c>
      <c r="B298" s="5" t="s">
        <v>4101</v>
      </c>
      <c r="C298" s="5" t="s">
        <v>3548</v>
      </c>
      <c r="D298" s="5" t="s">
        <v>3782</v>
      </c>
      <c r="E298" s="5" t="s">
        <v>4084</v>
      </c>
      <c r="F298" s="5" t="s">
        <v>3564</v>
      </c>
      <c r="G298" s="5"/>
      <c r="H298" s="5"/>
      <c r="I298" s="5" t="s">
        <v>3448</v>
      </c>
      <c r="J298" s="5" t="s">
        <v>3783</v>
      </c>
      <c r="K298" s="5" t="s">
        <v>4085</v>
      </c>
      <c r="L298" s="5">
        <v>110</v>
      </c>
      <c r="M298" s="5">
        <v>8</v>
      </c>
      <c r="N298" s="5" t="s">
        <v>3566</v>
      </c>
      <c r="O298" s="5"/>
      <c r="P298" s="5">
        <v>8</v>
      </c>
      <c r="Q298" s="5">
        <v>1</v>
      </c>
      <c r="R298" s="5"/>
      <c r="S298" s="5">
        <v>1028</v>
      </c>
      <c r="T298" s="5">
        <v>828</v>
      </c>
      <c r="U298" s="5">
        <v>1028</v>
      </c>
    </row>
    <row r="299" spans="1:21" x14ac:dyDescent="0.25">
      <c r="A299" s="5" t="s">
        <v>4102</v>
      </c>
      <c r="B299" s="5" t="s">
        <v>4103</v>
      </c>
      <c r="C299" s="5" t="s">
        <v>3548</v>
      </c>
      <c r="D299" s="5" t="s">
        <v>3782</v>
      </c>
      <c r="E299" s="5" t="s">
        <v>4084</v>
      </c>
      <c r="F299" s="5" t="s">
        <v>3564</v>
      </c>
      <c r="G299" s="5"/>
      <c r="H299" s="5"/>
      <c r="I299" s="5" t="s">
        <v>3448</v>
      </c>
      <c r="J299" s="5" t="s">
        <v>3783</v>
      </c>
      <c r="K299" s="5" t="s">
        <v>4085</v>
      </c>
      <c r="L299" s="5">
        <v>110</v>
      </c>
      <c r="M299" s="5">
        <v>1</v>
      </c>
      <c r="N299" s="5" t="s">
        <v>3566</v>
      </c>
      <c r="O299" s="5"/>
      <c r="P299" s="5">
        <v>8</v>
      </c>
      <c r="Q299" s="5">
        <v>1</v>
      </c>
      <c r="R299" s="5"/>
      <c r="S299" s="5">
        <v>140</v>
      </c>
      <c r="T299" s="5">
        <v>121</v>
      </c>
      <c r="U299" s="5">
        <v>140</v>
      </c>
    </row>
    <row r="300" spans="1:21" x14ac:dyDescent="0.25">
      <c r="A300" s="5" t="s">
        <v>4104</v>
      </c>
      <c r="B300" s="5" t="s">
        <v>4105</v>
      </c>
      <c r="C300" s="5" t="s">
        <v>3548</v>
      </c>
      <c r="D300" s="5" t="s">
        <v>3782</v>
      </c>
      <c r="E300" s="5" t="s">
        <v>4084</v>
      </c>
      <c r="F300" s="5" t="s">
        <v>3564</v>
      </c>
      <c r="G300" s="5"/>
      <c r="H300" s="5"/>
      <c r="I300" s="5" t="s">
        <v>3448</v>
      </c>
      <c r="J300" s="5" t="s">
        <v>3783</v>
      </c>
      <c r="K300" s="5" t="s">
        <v>4085</v>
      </c>
      <c r="L300" s="5">
        <v>35</v>
      </c>
      <c r="M300" s="5">
        <v>2</v>
      </c>
      <c r="N300" s="5" t="s">
        <v>3566</v>
      </c>
      <c r="O300" s="5"/>
      <c r="P300" s="5">
        <v>2</v>
      </c>
      <c r="Q300" s="5">
        <v>1</v>
      </c>
      <c r="R300" s="5"/>
      <c r="S300" s="5">
        <v>90</v>
      </c>
      <c r="T300" s="5">
        <v>90</v>
      </c>
      <c r="U300" s="5">
        <v>90</v>
      </c>
    </row>
    <row r="301" spans="1:21" x14ac:dyDescent="0.25">
      <c r="A301" s="5" t="s">
        <v>4106</v>
      </c>
      <c r="B301" s="5" t="s">
        <v>4107</v>
      </c>
      <c r="C301" s="5" t="s">
        <v>3548</v>
      </c>
      <c r="D301" s="5" t="s">
        <v>3782</v>
      </c>
      <c r="E301" s="5" t="s">
        <v>4084</v>
      </c>
      <c r="F301" s="5" t="s">
        <v>3564</v>
      </c>
      <c r="G301" s="5"/>
      <c r="H301" s="5"/>
      <c r="I301" s="5" t="s">
        <v>3448</v>
      </c>
      <c r="J301" s="5" t="s">
        <v>3783</v>
      </c>
      <c r="K301" s="5" t="s">
        <v>4085</v>
      </c>
      <c r="L301" s="5">
        <v>35</v>
      </c>
      <c r="M301" s="5">
        <v>1</v>
      </c>
      <c r="N301" s="5" t="s">
        <v>3566</v>
      </c>
      <c r="O301" s="5"/>
      <c r="P301" s="5">
        <v>2</v>
      </c>
      <c r="Q301" s="5">
        <v>1</v>
      </c>
      <c r="R301" s="5"/>
      <c r="S301" s="5">
        <v>62</v>
      </c>
      <c r="T301" s="5">
        <v>62</v>
      </c>
      <c r="U301" s="5">
        <v>62</v>
      </c>
    </row>
    <row r="302" spans="1:21" x14ac:dyDescent="0.25">
      <c r="A302" s="5" t="s">
        <v>4108</v>
      </c>
      <c r="B302" s="5" t="s">
        <v>4109</v>
      </c>
      <c r="C302" s="5" t="s">
        <v>3548</v>
      </c>
      <c r="D302" s="5" t="s">
        <v>3782</v>
      </c>
      <c r="E302" s="5" t="s">
        <v>4084</v>
      </c>
      <c r="F302" s="5" t="s">
        <v>3564</v>
      </c>
      <c r="G302" s="5"/>
      <c r="H302" s="5"/>
      <c r="I302" s="5" t="s">
        <v>3448</v>
      </c>
      <c r="J302" s="5" t="s">
        <v>3783</v>
      </c>
      <c r="K302" s="5" t="s">
        <v>4085</v>
      </c>
      <c r="L302" s="5">
        <v>50</v>
      </c>
      <c r="M302" s="5">
        <v>2</v>
      </c>
      <c r="N302" s="5" t="s">
        <v>3566</v>
      </c>
      <c r="O302" s="5"/>
      <c r="P302" s="5">
        <v>3</v>
      </c>
      <c r="Q302" s="5">
        <v>1</v>
      </c>
      <c r="R302" s="5"/>
      <c r="S302" s="5">
        <v>114</v>
      </c>
      <c r="T302" s="5">
        <v>114</v>
      </c>
      <c r="U302" s="5">
        <v>114</v>
      </c>
    </row>
    <row r="303" spans="1:21" x14ac:dyDescent="0.25">
      <c r="A303" s="5" t="s">
        <v>4110</v>
      </c>
      <c r="B303" s="5" t="s">
        <v>4111</v>
      </c>
      <c r="C303" s="5" t="s">
        <v>3548</v>
      </c>
      <c r="D303" s="5" t="s">
        <v>3782</v>
      </c>
      <c r="E303" s="5" t="s">
        <v>4084</v>
      </c>
      <c r="F303" s="5" t="s">
        <v>3564</v>
      </c>
      <c r="G303" s="5"/>
      <c r="H303" s="5"/>
      <c r="I303" s="5" t="s">
        <v>3448</v>
      </c>
      <c r="J303" s="5" t="s">
        <v>3783</v>
      </c>
      <c r="K303" s="5" t="s">
        <v>4085</v>
      </c>
      <c r="L303" s="5">
        <v>50</v>
      </c>
      <c r="M303" s="5">
        <v>1</v>
      </c>
      <c r="N303" s="5" t="s">
        <v>3566</v>
      </c>
      <c r="O303" s="5"/>
      <c r="P303" s="5">
        <v>3</v>
      </c>
      <c r="Q303" s="5">
        <v>1</v>
      </c>
      <c r="R303" s="5"/>
      <c r="S303" s="5">
        <v>70</v>
      </c>
      <c r="T303" s="5">
        <v>70</v>
      </c>
      <c r="U303" s="5">
        <v>70</v>
      </c>
    </row>
    <row r="304" spans="1:21" x14ac:dyDescent="0.25">
      <c r="A304" s="5" t="s">
        <v>4112</v>
      </c>
      <c r="B304" s="5" t="s">
        <v>4113</v>
      </c>
      <c r="C304" s="5" t="s">
        <v>3548</v>
      </c>
      <c r="D304" s="5" t="s">
        <v>3782</v>
      </c>
      <c r="E304" s="5" t="s">
        <v>4084</v>
      </c>
      <c r="F304" s="5" t="s">
        <v>3564</v>
      </c>
      <c r="G304" s="5"/>
      <c r="H304" s="5"/>
      <c r="I304" s="5" t="s">
        <v>3448</v>
      </c>
      <c r="J304" s="5" t="s">
        <v>3783</v>
      </c>
      <c r="K304" s="5" t="s">
        <v>4085</v>
      </c>
      <c r="L304" s="5">
        <v>55</v>
      </c>
      <c r="M304" s="5">
        <v>2</v>
      </c>
      <c r="N304" s="5" t="s">
        <v>3566</v>
      </c>
      <c r="O304" s="5"/>
      <c r="P304" s="5">
        <v>4</v>
      </c>
      <c r="Q304" s="5">
        <v>1</v>
      </c>
      <c r="R304" s="5"/>
      <c r="S304" s="5">
        <v>135</v>
      </c>
      <c r="T304" s="5">
        <v>135</v>
      </c>
      <c r="U304" s="5">
        <v>135</v>
      </c>
    </row>
    <row r="305" spans="1:21" x14ac:dyDescent="0.25">
      <c r="A305" s="5" t="s">
        <v>4114</v>
      </c>
      <c r="B305" s="5" t="s">
        <v>4115</v>
      </c>
      <c r="C305" s="5" t="s">
        <v>3548</v>
      </c>
      <c r="D305" s="5" t="s">
        <v>3782</v>
      </c>
      <c r="E305" s="5" t="s">
        <v>4084</v>
      </c>
      <c r="F305" s="5" t="s">
        <v>3564</v>
      </c>
      <c r="G305" s="5"/>
      <c r="H305" s="5"/>
      <c r="I305" s="5" t="s">
        <v>3448</v>
      </c>
      <c r="J305" s="5" t="s">
        <v>3783</v>
      </c>
      <c r="K305" s="5" t="s">
        <v>4085</v>
      </c>
      <c r="L305" s="5">
        <v>55</v>
      </c>
      <c r="M305" s="5">
        <v>3</v>
      </c>
      <c r="N305" s="5" t="s">
        <v>3566</v>
      </c>
      <c r="O305" s="5"/>
      <c r="P305" s="5">
        <v>4</v>
      </c>
      <c r="Q305" s="5">
        <v>1</v>
      </c>
      <c r="R305" s="5"/>
      <c r="S305" s="5">
        <v>215</v>
      </c>
      <c r="T305" s="5">
        <v>215</v>
      </c>
      <c r="U305" s="5">
        <v>215</v>
      </c>
    </row>
    <row r="306" spans="1:21" x14ac:dyDescent="0.25">
      <c r="A306" s="5" t="s">
        <v>4116</v>
      </c>
      <c r="B306" s="5" t="s">
        <v>4117</v>
      </c>
      <c r="C306" s="5" t="s">
        <v>3548</v>
      </c>
      <c r="D306" s="5" t="s">
        <v>3782</v>
      </c>
      <c r="E306" s="5" t="s">
        <v>4084</v>
      </c>
      <c r="F306" s="5" t="s">
        <v>3564</v>
      </c>
      <c r="G306" s="5"/>
      <c r="H306" s="5"/>
      <c r="I306" s="5" t="s">
        <v>3448</v>
      </c>
      <c r="J306" s="5" t="s">
        <v>3783</v>
      </c>
      <c r="K306" s="5" t="s">
        <v>4085</v>
      </c>
      <c r="L306" s="5">
        <v>55</v>
      </c>
      <c r="M306" s="5">
        <v>4</v>
      </c>
      <c r="N306" s="5" t="s">
        <v>3566</v>
      </c>
      <c r="O306" s="5"/>
      <c r="P306" s="5">
        <v>4</v>
      </c>
      <c r="Q306" s="5">
        <v>2</v>
      </c>
      <c r="R306" s="5"/>
      <c r="S306" s="5">
        <v>270</v>
      </c>
      <c r="T306" s="5">
        <v>270</v>
      </c>
      <c r="U306" s="5">
        <v>270</v>
      </c>
    </row>
    <row r="307" spans="1:21" x14ac:dyDescent="0.25">
      <c r="A307" s="5" t="s">
        <v>4118</v>
      </c>
      <c r="B307" s="5" t="s">
        <v>4119</v>
      </c>
      <c r="C307" s="5" t="s">
        <v>3548</v>
      </c>
      <c r="D307" s="5" t="s">
        <v>3782</v>
      </c>
      <c r="E307" s="5" t="s">
        <v>4084</v>
      </c>
      <c r="F307" s="5" t="s">
        <v>3564</v>
      </c>
      <c r="G307" s="5"/>
      <c r="H307" s="5"/>
      <c r="I307" s="5" t="s">
        <v>3448</v>
      </c>
      <c r="J307" s="5" t="s">
        <v>3783</v>
      </c>
      <c r="K307" s="5" t="s">
        <v>4085</v>
      </c>
      <c r="L307" s="5">
        <v>55</v>
      </c>
      <c r="M307" s="5">
        <v>1</v>
      </c>
      <c r="N307" s="5" t="s">
        <v>3566</v>
      </c>
      <c r="O307" s="5"/>
      <c r="P307" s="5">
        <v>4</v>
      </c>
      <c r="Q307" s="5">
        <v>1</v>
      </c>
      <c r="R307" s="5"/>
      <c r="S307" s="5">
        <v>80</v>
      </c>
      <c r="T307" s="5">
        <v>80</v>
      </c>
      <c r="U307" s="5">
        <v>80</v>
      </c>
    </row>
    <row r="308" spans="1:21" x14ac:dyDescent="0.25">
      <c r="A308" s="5" t="s">
        <v>4120</v>
      </c>
      <c r="B308" s="5" t="s">
        <v>4121</v>
      </c>
      <c r="C308" s="5" t="s">
        <v>3548</v>
      </c>
      <c r="D308" s="5" t="s">
        <v>3782</v>
      </c>
      <c r="E308" s="5" t="s">
        <v>4084</v>
      </c>
      <c r="F308" s="5" t="s">
        <v>3564</v>
      </c>
      <c r="G308" s="5"/>
      <c r="H308" s="5"/>
      <c r="I308" s="5" t="s">
        <v>3448</v>
      </c>
      <c r="J308" s="5" t="s">
        <v>3783</v>
      </c>
      <c r="K308" s="5" t="s">
        <v>4085</v>
      </c>
      <c r="L308" s="5">
        <v>60</v>
      </c>
      <c r="M308" s="5">
        <v>2</v>
      </c>
      <c r="N308" s="5" t="s">
        <v>3566</v>
      </c>
      <c r="O308" s="5"/>
      <c r="P308" s="5">
        <v>4</v>
      </c>
      <c r="Q308" s="5">
        <v>1</v>
      </c>
      <c r="R308" s="5"/>
      <c r="S308" s="5">
        <v>145</v>
      </c>
      <c r="T308" s="5">
        <v>145</v>
      </c>
      <c r="U308" s="5">
        <v>145</v>
      </c>
    </row>
    <row r="309" spans="1:21" x14ac:dyDescent="0.25">
      <c r="A309" s="5" t="s">
        <v>4122</v>
      </c>
      <c r="B309" s="5" t="s">
        <v>4123</v>
      </c>
      <c r="C309" s="5" t="s">
        <v>3548</v>
      </c>
      <c r="D309" s="5" t="s">
        <v>3782</v>
      </c>
      <c r="E309" s="5" t="s">
        <v>4084</v>
      </c>
      <c r="F309" s="5" t="s">
        <v>3564</v>
      </c>
      <c r="G309" s="5"/>
      <c r="H309" s="5"/>
      <c r="I309" s="5" t="s">
        <v>3448</v>
      </c>
      <c r="J309" s="5" t="s">
        <v>3783</v>
      </c>
      <c r="K309" s="5" t="s">
        <v>4085</v>
      </c>
      <c r="L309" s="5">
        <v>60</v>
      </c>
      <c r="M309" s="5">
        <v>3</v>
      </c>
      <c r="N309" s="5" t="s">
        <v>3566</v>
      </c>
      <c r="O309" s="5"/>
      <c r="P309" s="5">
        <v>4</v>
      </c>
      <c r="Q309" s="5">
        <v>1</v>
      </c>
      <c r="R309" s="5"/>
      <c r="S309" s="5">
        <v>230</v>
      </c>
      <c r="T309" s="5">
        <v>230</v>
      </c>
      <c r="U309" s="5">
        <v>230</v>
      </c>
    </row>
    <row r="310" spans="1:21" x14ac:dyDescent="0.25">
      <c r="A310" s="5" t="s">
        <v>4124</v>
      </c>
      <c r="B310" s="5" t="s">
        <v>4125</v>
      </c>
      <c r="C310" s="5" t="s">
        <v>3548</v>
      </c>
      <c r="D310" s="5" t="s">
        <v>3782</v>
      </c>
      <c r="E310" s="5" t="s">
        <v>4084</v>
      </c>
      <c r="F310" s="5" t="s">
        <v>3564</v>
      </c>
      <c r="G310" s="5"/>
      <c r="H310" s="5"/>
      <c r="I310" s="5" t="s">
        <v>3448</v>
      </c>
      <c r="J310" s="5" t="s">
        <v>3783</v>
      </c>
      <c r="K310" s="5" t="s">
        <v>4085</v>
      </c>
      <c r="L310" s="5">
        <v>60</v>
      </c>
      <c r="M310" s="5">
        <v>4</v>
      </c>
      <c r="N310" s="5" t="s">
        <v>3566</v>
      </c>
      <c r="O310" s="5"/>
      <c r="P310" s="5">
        <v>4</v>
      </c>
      <c r="Q310" s="5">
        <v>2</v>
      </c>
      <c r="R310" s="5"/>
      <c r="S310" s="5">
        <v>290</v>
      </c>
      <c r="T310" s="5">
        <v>290</v>
      </c>
      <c r="U310" s="5">
        <v>290</v>
      </c>
    </row>
    <row r="311" spans="1:21" x14ac:dyDescent="0.25">
      <c r="A311" s="5" t="s">
        <v>4126</v>
      </c>
      <c r="B311" s="5" t="s">
        <v>4127</v>
      </c>
      <c r="C311" s="5" t="s">
        <v>3548</v>
      </c>
      <c r="D311" s="5" t="s">
        <v>3782</v>
      </c>
      <c r="E311" s="5" t="s">
        <v>4084</v>
      </c>
      <c r="F311" s="5" t="s">
        <v>3564</v>
      </c>
      <c r="G311" s="5"/>
      <c r="H311" s="5"/>
      <c r="I311" s="5" t="s">
        <v>3448</v>
      </c>
      <c r="J311" s="5" t="s">
        <v>3783</v>
      </c>
      <c r="K311" s="5" t="s">
        <v>4085</v>
      </c>
      <c r="L311" s="5">
        <v>60</v>
      </c>
      <c r="M311" s="5">
        <v>1</v>
      </c>
      <c r="N311" s="5" t="s">
        <v>3566</v>
      </c>
      <c r="O311" s="5"/>
      <c r="P311" s="5">
        <v>4</v>
      </c>
      <c r="Q311" s="5">
        <v>1</v>
      </c>
      <c r="R311" s="5"/>
      <c r="S311" s="5">
        <v>85</v>
      </c>
      <c r="T311" s="5">
        <v>85</v>
      </c>
      <c r="U311" s="5">
        <v>85</v>
      </c>
    </row>
    <row r="312" spans="1:21" x14ac:dyDescent="0.25">
      <c r="A312" s="5" t="s">
        <v>4128</v>
      </c>
      <c r="B312" s="5" t="s">
        <v>4129</v>
      </c>
      <c r="C312" s="5" t="s">
        <v>3548</v>
      </c>
      <c r="D312" s="5" t="s">
        <v>3782</v>
      </c>
      <c r="E312" s="5" t="s">
        <v>4084</v>
      </c>
      <c r="F312" s="5" t="s">
        <v>3584</v>
      </c>
      <c r="G312" s="5" t="s">
        <v>3493</v>
      </c>
      <c r="H312" s="5"/>
      <c r="I312" s="5" t="s">
        <v>3448</v>
      </c>
      <c r="J312" s="5" t="s">
        <v>3783</v>
      </c>
      <c r="K312" s="5" t="s">
        <v>4085</v>
      </c>
      <c r="L312" s="5">
        <v>75</v>
      </c>
      <c r="M312" s="5">
        <v>2</v>
      </c>
      <c r="N312" s="5" t="s">
        <v>3585</v>
      </c>
      <c r="O312" s="5" t="s">
        <v>3494</v>
      </c>
      <c r="P312" s="5">
        <v>5</v>
      </c>
      <c r="Q312" s="5">
        <v>1</v>
      </c>
      <c r="R312" s="5"/>
      <c r="S312" s="5">
        <v>138</v>
      </c>
      <c r="T312" s="5">
        <v>138</v>
      </c>
      <c r="U312" s="5">
        <v>138</v>
      </c>
    </row>
    <row r="313" spans="1:21" x14ac:dyDescent="0.25">
      <c r="A313" s="5" t="s">
        <v>4130</v>
      </c>
      <c r="B313" s="5" t="s">
        <v>4131</v>
      </c>
      <c r="C313" s="5" t="s">
        <v>3548</v>
      </c>
      <c r="D313" s="5" t="s">
        <v>3782</v>
      </c>
      <c r="E313" s="5" t="s">
        <v>4084</v>
      </c>
      <c r="F313" s="5" t="s">
        <v>3564</v>
      </c>
      <c r="G313" s="5"/>
      <c r="H313" s="5"/>
      <c r="I313" s="5" t="s">
        <v>3448</v>
      </c>
      <c r="J313" s="5" t="s">
        <v>3783</v>
      </c>
      <c r="K313" s="5" t="s">
        <v>4085</v>
      </c>
      <c r="L313" s="5">
        <v>75</v>
      </c>
      <c r="M313" s="5">
        <v>2</v>
      </c>
      <c r="N313" s="5" t="s">
        <v>3566</v>
      </c>
      <c r="O313" s="5"/>
      <c r="P313" s="5">
        <v>5</v>
      </c>
      <c r="Q313" s="5">
        <v>1</v>
      </c>
      <c r="R313" s="5"/>
      <c r="S313" s="5">
        <v>168</v>
      </c>
      <c r="T313" s="5">
        <v>168</v>
      </c>
      <c r="U313" s="5">
        <v>168</v>
      </c>
    </row>
    <row r="314" spans="1:21" x14ac:dyDescent="0.25">
      <c r="A314" s="5" t="s">
        <v>4132</v>
      </c>
      <c r="B314" s="5" t="s">
        <v>4133</v>
      </c>
      <c r="C314" s="5" t="s">
        <v>3548</v>
      </c>
      <c r="D314" s="5" t="s">
        <v>3782</v>
      </c>
      <c r="E314" s="5" t="s">
        <v>4084</v>
      </c>
      <c r="F314" s="5" t="s">
        <v>3822</v>
      </c>
      <c r="G314" s="5"/>
      <c r="H314" s="5"/>
      <c r="I314" s="5" t="s">
        <v>3448</v>
      </c>
      <c r="J314" s="5" t="s">
        <v>3783</v>
      </c>
      <c r="K314" s="5" t="s">
        <v>4085</v>
      </c>
      <c r="L314" s="5">
        <v>75</v>
      </c>
      <c r="M314" s="5">
        <v>2</v>
      </c>
      <c r="N314" s="5" t="s">
        <v>3823</v>
      </c>
      <c r="O314" s="5"/>
      <c r="P314" s="5">
        <v>5</v>
      </c>
      <c r="Q314" s="5">
        <v>1</v>
      </c>
      <c r="R314" s="5"/>
      <c r="S314" s="5">
        <v>176</v>
      </c>
      <c r="T314" s="5">
        <v>176</v>
      </c>
      <c r="U314" s="5">
        <v>176</v>
      </c>
    </row>
    <row r="315" spans="1:21" x14ac:dyDescent="0.25">
      <c r="A315" s="5" t="s">
        <v>4134</v>
      </c>
      <c r="B315" s="5" t="s">
        <v>4135</v>
      </c>
      <c r="C315" s="5" t="s">
        <v>3548</v>
      </c>
      <c r="D315" s="5" t="s">
        <v>3782</v>
      </c>
      <c r="E315" s="5" t="s">
        <v>4084</v>
      </c>
      <c r="F315" s="5" t="s">
        <v>3584</v>
      </c>
      <c r="G315" s="5" t="s">
        <v>3493</v>
      </c>
      <c r="H315" s="5"/>
      <c r="I315" s="5" t="s">
        <v>3448</v>
      </c>
      <c r="J315" s="5" t="s">
        <v>3783</v>
      </c>
      <c r="K315" s="5" t="s">
        <v>4085</v>
      </c>
      <c r="L315" s="5">
        <v>75</v>
      </c>
      <c r="M315" s="5">
        <v>1</v>
      </c>
      <c r="N315" s="5" t="s">
        <v>3585</v>
      </c>
      <c r="O315" s="5" t="s">
        <v>3494</v>
      </c>
      <c r="P315" s="5">
        <v>5</v>
      </c>
      <c r="Q315" s="5">
        <v>1</v>
      </c>
      <c r="R315" s="5"/>
      <c r="S315" s="5">
        <v>69</v>
      </c>
      <c r="T315" s="5">
        <v>69</v>
      </c>
      <c r="U315" s="5">
        <v>69</v>
      </c>
    </row>
    <row r="316" spans="1:21" x14ac:dyDescent="0.25">
      <c r="A316" s="5" t="s">
        <v>4136</v>
      </c>
      <c r="B316" s="5" t="s">
        <v>4137</v>
      </c>
      <c r="C316" s="5" t="s">
        <v>3548</v>
      </c>
      <c r="D316" s="5" t="s">
        <v>3782</v>
      </c>
      <c r="E316" s="5" t="s">
        <v>4084</v>
      </c>
      <c r="F316" s="5" t="s">
        <v>3564</v>
      </c>
      <c r="G316" s="5"/>
      <c r="H316" s="5"/>
      <c r="I316" s="5" t="s">
        <v>3448</v>
      </c>
      <c r="J316" s="5" t="s">
        <v>3783</v>
      </c>
      <c r="K316" s="5" t="s">
        <v>4085</v>
      </c>
      <c r="L316" s="5">
        <v>75</v>
      </c>
      <c r="M316" s="5">
        <v>1</v>
      </c>
      <c r="N316" s="5" t="s">
        <v>3566</v>
      </c>
      <c r="O316" s="5"/>
      <c r="P316" s="5">
        <v>5</v>
      </c>
      <c r="Q316" s="5">
        <v>1</v>
      </c>
      <c r="R316" s="5"/>
      <c r="S316" s="5">
        <v>92</v>
      </c>
      <c r="T316" s="5">
        <v>92</v>
      </c>
      <c r="U316" s="5">
        <v>92</v>
      </c>
    </row>
    <row r="317" spans="1:21" x14ac:dyDescent="0.25">
      <c r="A317" s="5" t="s">
        <v>4138</v>
      </c>
      <c r="B317" s="5" t="s">
        <v>4139</v>
      </c>
      <c r="C317" s="5" t="s">
        <v>3548</v>
      </c>
      <c r="D317" s="5" t="s">
        <v>3782</v>
      </c>
      <c r="E317" s="5" t="s">
        <v>4084</v>
      </c>
      <c r="F317" s="5" t="s">
        <v>3822</v>
      </c>
      <c r="G317" s="5"/>
      <c r="H317" s="5"/>
      <c r="I317" s="5" t="s">
        <v>3448</v>
      </c>
      <c r="J317" s="5" t="s">
        <v>3783</v>
      </c>
      <c r="K317" s="5" t="s">
        <v>4085</v>
      </c>
      <c r="L317" s="5">
        <v>75</v>
      </c>
      <c r="M317" s="5">
        <v>1</v>
      </c>
      <c r="N317" s="5" t="s">
        <v>3823</v>
      </c>
      <c r="O317" s="5"/>
      <c r="P317" s="5">
        <v>5</v>
      </c>
      <c r="Q317" s="5">
        <v>1</v>
      </c>
      <c r="R317" s="5"/>
      <c r="S317" s="5">
        <v>88</v>
      </c>
      <c r="T317" s="5">
        <v>88</v>
      </c>
      <c r="U317" s="5">
        <v>88</v>
      </c>
    </row>
    <row r="318" spans="1:21" x14ac:dyDescent="0.25">
      <c r="A318" s="5" t="s">
        <v>4140</v>
      </c>
      <c r="B318" s="5" t="s">
        <v>4141</v>
      </c>
      <c r="C318" s="5" t="s">
        <v>3548</v>
      </c>
      <c r="D318" s="5" t="s">
        <v>3782</v>
      </c>
      <c r="E318" s="5" t="s">
        <v>4084</v>
      </c>
      <c r="F318" s="5" t="s">
        <v>3584</v>
      </c>
      <c r="G318" s="5" t="s">
        <v>3493</v>
      </c>
      <c r="H318" s="5"/>
      <c r="I318" s="5" t="s">
        <v>3448</v>
      </c>
      <c r="J318" s="5" t="s">
        <v>3783</v>
      </c>
      <c r="K318" s="5" t="s">
        <v>4085</v>
      </c>
      <c r="L318" s="5">
        <v>85</v>
      </c>
      <c r="M318" s="5">
        <v>2</v>
      </c>
      <c r="N318" s="5" t="s">
        <v>3585</v>
      </c>
      <c r="O318" s="5" t="s">
        <v>3494</v>
      </c>
      <c r="P318" s="5">
        <v>6</v>
      </c>
      <c r="Q318" s="5">
        <v>1</v>
      </c>
      <c r="R318" s="5"/>
      <c r="S318" s="5">
        <v>167</v>
      </c>
      <c r="T318" s="5">
        <v>167</v>
      </c>
      <c r="U318" s="5">
        <v>167</v>
      </c>
    </row>
    <row r="319" spans="1:21" x14ac:dyDescent="0.25">
      <c r="A319" s="5" t="s">
        <v>4142</v>
      </c>
      <c r="B319" s="5" t="s">
        <v>4143</v>
      </c>
      <c r="C319" s="5" t="s">
        <v>3548</v>
      </c>
      <c r="D319" s="5" t="s">
        <v>3782</v>
      </c>
      <c r="E319" s="5" t="s">
        <v>4084</v>
      </c>
      <c r="F319" s="5" t="s">
        <v>3564</v>
      </c>
      <c r="G319" s="5"/>
      <c r="H319" s="5"/>
      <c r="I319" s="5" t="s">
        <v>3448</v>
      </c>
      <c r="J319" s="5" t="s">
        <v>3783</v>
      </c>
      <c r="K319" s="5" t="s">
        <v>4085</v>
      </c>
      <c r="L319" s="5">
        <v>85</v>
      </c>
      <c r="M319" s="5">
        <v>2</v>
      </c>
      <c r="N319" s="5" t="s">
        <v>3566</v>
      </c>
      <c r="O319" s="5"/>
      <c r="P319" s="5">
        <v>6</v>
      </c>
      <c r="Q319" s="5">
        <v>1</v>
      </c>
      <c r="R319" s="5"/>
      <c r="S319" s="5">
        <v>200</v>
      </c>
      <c r="T319" s="5">
        <v>200</v>
      </c>
      <c r="U319" s="5">
        <v>200</v>
      </c>
    </row>
    <row r="320" spans="1:21" x14ac:dyDescent="0.25">
      <c r="A320" s="5" t="s">
        <v>4144</v>
      </c>
      <c r="B320" s="5" t="s">
        <v>4145</v>
      </c>
      <c r="C320" s="5" t="s">
        <v>3548</v>
      </c>
      <c r="D320" s="5" t="s">
        <v>3782</v>
      </c>
      <c r="E320" s="5" t="s">
        <v>4084</v>
      </c>
      <c r="F320" s="5" t="s">
        <v>3822</v>
      </c>
      <c r="G320" s="5"/>
      <c r="H320" s="5"/>
      <c r="I320" s="5" t="s">
        <v>3448</v>
      </c>
      <c r="J320" s="5" t="s">
        <v>3783</v>
      </c>
      <c r="K320" s="5" t="s">
        <v>4085</v>
      </c>
      <c r="L320" s="5">
        <v>85</v>
      </c>
      <c r="M320" s="5">
        <v>2</v>
      </c>
      <c r="N320" s="5" t="s">
        <v>3823</v>
      </c>
      <c r="O320" s="5"/>
      <c r="P320" s="5">
        <v>6</v>
      </c>
      <c r="Q320" s="5">
        <v>1</v>
      </c>
      <c r="R320" s="5"/>
      <c r="S320" s="5">
        <v>194</v>
      </c>
      <c r="T320" s="5">
        <v>194</v>
      </c>
      <c r="U320" s="5">
        <v>194</v>
      </c>
    </row>
    <row r="321" spans="1:21" x14ac:dyDescent="0.25">
      <c r="A321" s="5" t="s">
        <v>4146</v>
      </c>
      <c r="B321" s="5" t="s">
        <v>4147</v>
      </c>
      <c r="C321" s="5" t="s">
        <v>3548</v>
      </c>
      <c r="D321" s="5" t="s">
        <v>3782</v>
      </c>
      <c r="E321" s="5" t="s">
        <v>4084</v>
      </c>
      <c r="F321" s="5" t="s">
        <v>3822</v>
      </c>
      <c r="G321" s="5"/>
      <c r="H321" s="5"/>
      <c r="I321" s="5" t="s">
        <v>3448</v>
      </c>
      <c r="J321" s="5" t="s">
        <v>3783</v>
      </c>
      <c r="K321" s="5" t="s">
        <v>4085</v>
      </c>
      <c r="L321" s="5">
        <v>85</v>
      </c>
      <c r="M321" s="5">
        <v>4</v>
      </c>
      <c r="N321" s="5" t="s">
        <v>3823</v>
      </c>
      <c r="O321" s="5"/>
      <c r="P321" s="5">
        <v>6</v>
      </c>
      <c r="Q321" s="5">
        <v>1</v>
      </c>
      <c r="R321" s="5"/>
      <c r="S321" s="5">
        <v>388</v>
      </c>
      <c r="T321" s="5">
        <v>388</v>
      </c>
      <c r="U321" s="5">
        <v>388</v>
      </c>
    </row>
    <row r="322" spans="1:21" x14ac:dyDescent="0.25">
      <c r="A322" s="5" t="s">
        <v>4148</v>
      </c>
      <c r="B322" s="5" t="s">
        <v>4149</v>
      </c>
      <c r="C322" s="5" t="s">
        <v>3548</v>
      </c>
      <c r="D322" s="5" t="s">
        <v>3782</v>
      </c>
      <c r="E322" s="5" t="s">
        <v>4084</v>
      </c>
      <c r="F322" s="5" t="s">
        <v>3564</v>
      </c>
      <c r="G322" s="5"/>
      <c r="H322" s="5"/>
      <c r="I322" s="5" t="s">
        <v>3448</v>
      </c>
      <c r="J322" s="5" t="s">
        <v>3783</v>
      </c>
      <c r="K322" s="5" t="s">
        <v>4085</v>
      </c>
      <c r="L322" s="5">
        <v>85</v>
      </c>
      <c r="M322" s="5">
        <v>1</v>
      </c>
      <c r="N322" s="5" t="s">
        <v>3566</v>
      </c>
      <c r="O322" s="5"/>
      <c r="P322" s="5">
        <v>6</v>
      </c>
      <c r="Q322" s="5">
        <v>1</v>
      </c>
      <c r="R322" s="5"/>
      <c r="S322" s="5">
        <v>106</v>
      </c>
      <c r="T322" s="5">
        <v>106</v>
      </c>
      <c r="U322" s="5">
        <v>106</v>
      </c>
    </row>
    <row r="323" spans="1:21" x14ac:dyDescent="0.25">
      <c r="A323" s="5" t="s">
        <v>4150</v>
      </c>
      <c r="B323" s="5" t="s">
        <v>4151</v>
      </c>
      <c r="C323" s="5" t="s">
        <v>3548</v>
      </c>
      <c r="D323" s="5" t="s">
        <v>3782</v>
      </c>
      <c r="E323" s="5" t="s">
        <v>4084</v>
      </c>
      <c r="F323" s="5" t="s">
        <v>3584</v>
      </c>
      <c r="G323" s="5" t="s">
        <v>3493</v>
      </c>
      <c r="H323" s="5"/>
      <c r="I323" s="5" t="s">
        <v>3448</v>
      </c>
      <c r="J323" s="5" t="s">
        <v>3783</v>
      </c>
      <c r="K323" s="5" t="s">
        <v>4085</v>
      </c>
      <c r="L323" s="5">
        <v>95</v>
      </c>
      <c r="M323" s="5">
        <v>2</v>
      </c>
      <c r="N323" s="5" t="s">
        <v>3585</v>
      </c>
      <c r="O323" s="5" t="s">
        <v>3494</v>
      </c>
      <c r="P323" s="5">
        <v>8</v>
      </c>
      <c r="Q323" s="5">
        <v>1</v>
      </c>
      <c r="R323" s="5"/>
      <c r="S323" s="5">
        <v>173</v>
      </c>
      <c r="T323" s="5">
        <v>173</v>
      </c>
      <c r="U323" s="5">
        <v>173</v>
      </c>
    </row>
    <row r="324" spans="1:21" x14ac:dyDescent="0.25">
      <c r="A324" s="5" t="s">
        <v>4152</v>
      </c>
      <c r="B324" s="5" t="s">
        <v>4153</v>
      </c>
      <c r="C324" s="5" t="s">
        <v>3548</v>
      </c>
      <c r="D324" s="5" t="s">
        <v>3782</v>
      </c>
      <c r="E324" s="5" t="s">
        <v>4084</v>
      </c>
      <c r="F324" s="5" t="s">
        <v>3564</v>
      </c>
      <c r="G324" s="5"/>
      <c r="H324" s="5"/>
      <c r="I324" s="5" t="s">
        <v>3448</v>
      </c>
      <c r="J324" s="5" t="s">
        <v>3783</v>
      </c>
      <c r="K324" s="5" t="s">
        <v>4085</v>
      </c>
      <c r="L324" s="5">
        <v>95</v>
      </c>
      <c r="M324" s="5">
        <v>2</v>
      </c>
      <c r="N324" s="5" t="s">
        <v>3566</v>
      </c>
      <c r="O324" s="5"/>
      <c r="P324" s="5">
        <v>8</v>
      </c>
      <c r="Q324" s="5">
        <v>1</v>
      </c>
      <c r="R324" s="5"/>
      <c r="S324" s="5">
        <v>207</v>
      </c>
      <c r="T324" s="5">
        <v>207</v>
      </c>
      <c r="U324" s="5">
        <v>207</v>
      </c>
    </row>
    <row r="325" spans="1:21" x14ac:dyDescent="0.25">
      <c r="A325" s="5" t="s">
        <v>4154</v>
      </c>
      <c r="B325" s="5" t="s">
        <v>4155</v>
      </c>
      <c r="C325" s="5" t="s">
        <v>3548</v>
      </c>
      <c r="D325" s="5" t="s">
        <v>3782</v>
      </c>
      <c r="E325" s="5" t="s">
        <v>4084</v>
      </c>
      <c r="F325" s="5" t="s">
        <v>3822</v>
      </c>
      <c r="G325" s="5"/>
      <c r="H325" s="5"/>
      <c r="I325" s="5" t="s">
        <v>3448</v>
      </c>
      <c r="J325" s="5" t="s">
        <v>3783</v>
      </c>
      <c r="K325" s="5" t="s">
        <v>4085</v>
      </c>
      <c r="L325" s="5">
        <v>95</v>
      </c>
      <c r="M325" s="5">
        <v>2</v>
      </c>
      <c r="N325" s="5" t="s">
        <v>3823</v>
      </c>
      <c r="O325" s="5"/>
      <c r="P325" s="5">
        <v>8</v>
      </c>
      <c r="Q325" s="5">
        <v>1</v>
      </c>
      <c r="R325" s="5"/>
      <c r="S325" s="5">
        <v>237</v>
      </c>
      <c r="T325" s="5">
        <v>207</v>
      </c>
      <c r="U325" s="5">
        <v>237</v>
      </c>
    </row>
    <row r="326" spans="1:21" x14ac:dyDescent="0.25">
      <c r="A326" s="5" t="s">
        <v>4156</v>
      </c>
      <c r="B326" s="5" t="s">
        <v>4157</v>
      </c>
      <c r="C326" s="5" t="s">
        <v>3548</v>
      </c>
      <c r="D326" s="5" t="s">
        <v>3782</v>
      </c>
      <c r="E326" s="5" t="s">
        <v>4084</v>
      </c>
      <c r="F326" s="5" t="s">
        <v>3564</v>
      </c>
      <c r="G326" s="5"/>
      <c r="H326" s="5"/>
      <c r="I326" s="5" t="s">
        <v>3448</v>
      </c>
      <c r="J326" s="5" t="s">
        <v>3783</v>
      </c>
      <c r="K326" s="5" t="s">
        <v>4085</v>
      </c>
      <c r="L326" s="5">
        <v>95</v>
      </c>
      <c r="M326" s="5">
        <v>3</v>
      </c>
      <c r="N326" s="5" t="s">
        <v>3566</v>
      </c>
      <c r="O326" s="5"/>
      <c r="P326" s="5">
        <v>8</v>
      </c>
      <c r="Q326" s="5">
        <v>1</v>
      </c>
      <c r="R326" s="5"/>
      <c r="S326" s="5">
        <v>380</v>
      </c>
      <c r="T326" s="5">
        <v>319</v>
      </c>
      <c r="U326" s="5">
        <v>380</v>
      </c>
    </row>
    <row r="327" spans="1:21" x14ac:dyDescent="0.25">
      <c r="A327" s="5" t="s">
        <v>4158</v>
      </c>
      <c r="B327" s="5" t="s">
        <v>4159</v>
      </c>
      <c r="C327" s="5" t="s">
        <v>3548</v>
      </c>
      <c r="D327" s="5" t="s">
        <v>3782</v>
      </c>
      <c r="E327" s="5" t="s">
        <v>4084</v>
      </c>
      <c r="F327" s="5" t="s">
        <v>3584</v>
      </c>
      <c r="G327" s="5" t="s">
        <v>3493</v>
      </c>
      <c r="H327" s="5"/>
      <c r="I327" s="5" t="s">
        <v>3448</v>
      </c>
      <c r="J327" s="5" t="s">
        <v>3783</v>
      </c>
      <c r="K327" s="5" t="s">
        <v>4085</v>
      </c>
      <c r="L327" s="5">
        <v>95</v>
      </c>
      <c r="M327" s="5">
        <v>4</v>
      </c>
      <c r="N327" s="5" t="s">
        <v>3585</v>
      </c>
      <c r="O327" s="5" t="s">
        <v>3494</v>
      </c>
      <c r="P327" s="5">
        <v>8</v>
      </c>
      <c r="Q327" s="5">
        <v>2</v>
      </c>
      <c r="R327" s="5"/>
      <c r="S327" s="5">
        <v>346</v>
      </c>
      <c r="T327" s="5">
        <v>346</v>
      </c>
      <c r="U327" s="5">
        <v>346</v>
      </c>
    </row>
    <row r="328" spans="1:21" x14ac:dyDescent="0.25">
      <c r="A328" s="5" t="s">
        <v>4160</v>
      </c>
      <c r="B328" s="5" t="s">
        <v>4161</v>
      </c>
      <c r="C328" s="5" t="s">
        <v>3548</v>
      </c>
      <c r="D328" s="5" t="s">
        <v>3782</v>
      </c>
      <c r="E328" s="5" t="s">
        <v>4084</v>
      </c>
      <c r="F328" s="5" t="s">
        <v>3564</v>
      </c>
      <c r="G328" s="5"/>
      <c r="H328" s="5"/>
      <c r="I328" s="5" t="s">
        <v>3448</v>
      </c>
      <c r="J328" s="5" t="s">
        <v>3783</v>
      </c>
      <c r="K328" s="5" t="s">
        <v>4085</v>
      </c>
      <c r="L328" s="5">
        <v>95</v>
      </c>
      <c r="M328" s="5">
        <v>4</v>
      </c>
      <c r="N328" s="5" t="s">
        <v>3566</v>
      </c>
      <c r="O328" s="5"/>
      <c r="P328" s="5">
        <v>8</v>
      </c>
      <c r="Q328" s="5">
        <v>1</v>
      </c>
      <c r="R328" s="5"/>
      <c r="S328" s="5">
        <v>454</v>
      </c>
      <c r="T328" s="5">
        <v>414</v>
      </c>
      <c r="U328" s="5">
        <v>454</v>
      </c>
    </row>
    <row r="329" spans="1:21" x14ac:dyDescent="0.25">
      <c r="A329" s="5" t="s">
        <v>4162</v>
      </c>
      <c r="B329" s="5" t="s">
        <v>4163</v>
      </c>
      <c r="C329" s="5" t="s">
        <v>3548</v>
      </c>
      <c r="D329" s="5" t="s">
        <v>3782</v>
      </c>
      <c r="E329" s="5" t="s">
        <v>4084</v>
      </c>
      <c r="F329" s="5" t="s">
        <v>3822</v>
      </c>
      <c r="G329" s="5"/>
      <c r="H329" s="5"/>
      <c r="I329" s="5" t="s">
        <v>3448</v>
      </c>
      <c r="J329" s="5" t="s">
        <v>3783</v>
      </c>
      <c r="K329" s="5" t="s">
        <v>4085</v>
      </c>
      <c r="L329" s="5">
        <v>95</v>
      </c>
      <c r="M329" s="5">
        <v>4</v>
      </c>
      <c r="N329" s="5" t="s">
        <v>3823</v>
      </c>
      <c r="O329" s="5"/>
      <c r="P329" s="5">
        <v>8</v>
      </c>
      <c r="Q329" s="5">
        <v>1</v>
      </c>
      <c r="R329" s="5"/>
      <c r="S329" s="5">
        <v>414</v>
      </c>
      <c r="T329" s="5">
        <v>414</v>
      </c>
      <c r="U329" s="5">
        <v>414</v>
      </c>
    </row>
    <row r="330" spans="1:21" x14ac:dyDescent="0.25">
      <c r="A330" s="5" t="s">
        <v>4164</v>
      </c>
      <c r="B330" s="5" t="s">
        <v>4165</v>
      </c>
      <c r="C330" s="5" t="s">
        <v>3548</v>
      </c>
      <c r="D330" s="5" t="s">
        <v>3782</v>
      </c>
      <c r="E330" s="5" t="s">
        <v>4084</v>
      </c>
      <c r="F330" s="5" t="s">
        <v>3564</v>
      </c>
      <c r="G330" s="5"/>
      <c r="H330" s="5"/>
      <c r="I330" s="5" t="s">
        <v>3448</v>
      </c>
      <c r="J330" s="5" t="s">
        <v>3783</v>
      </c>
      <c r="K330" s="5" t="s">
        <v>4085</v>
      </c>
      <c r="L330" s="5">
        <v>95</v>
      </c>
      <c r="M330" s="5">
        <v>6</v>
      </c>
      <c r="N330" s="5" t="s">
        <v>3566</v>
      </c>
      <c r="O330" s="5"/>
      <c r="P330" s="5">
        <v>8</v>
      </c>
      <c r="Q330" s="5">
        <v>1</v>
      </c>
      <c r="R330" s="5"/>
      <c r="S330" s="5">
        <v>721</v>
      </c>
      <c r="T330" s="5">
        <v>519</v>
      </c>
      <c r="U330" s="5">
        <v>721</v>
      </c>
    </row>
    <row r="331" spans="1:21" x14ac:dyDescent="0.25">
      <c r="A331" s="5" t="s">
        <v>4166</v>
      </c>
      <c r="B331" s="5" t="s">
        <v>4167</v>
      </c>
      <c r="C331" s="5" t="s">
        <v>3548</v>
      </c>
      <c r="D331" s="5" t="s">
        <v>3782</v>
      </c>
      <c r="E331" s="5" t="s">
        <v>4084</v>
      </c>
      <c r="F331" s="5" t="s">
        <v>3584</v>
      </c>
      <c r="G331" s="5" t="s">
        <v>3493</v>
      </c>
      <c r="H331" s="5"/>
      <c r="I331" s="5" t="s">
        <v>3448</v>
      </c>
      <c r="J331" s="5" t="s">
        <v>3783</v>
      </c>
      <c r="K331" s="5" t="s">
        <v>4085</v>
      </c>
      <c r="L331" s="5">
        <v>95</v>
      </c>
      <c r="M331" s="5">
        <v>1</v>
      </c>
      <c r="N331" s="5" t="s">
        <v>3585</v>
      </c>
      <c r="O331" s="5" t="s">
        <v>3494</v>
      </c>
      <c r="P331" s="5">
        <v>8</v>
      </c>
      <c r="Q331" s="5">
        <v>1</v>
      </c>
      <c r="R331" s="5"/>
      <c r="S331" s="5">
        <v>80</v>
      </c>
      <c r="T331" s="5">
        <v>80</v>
      </c>
      <c r="U331" s="5">
        <v>80</v>
      </c>
    </row>
    <row r="332" spans="1:21" x14ac:dyDescent="0.25">
      <c r="A332" s="5" t="s">
        <v>4168</v>
      </c>
      <c r="B332" s="5" t="s">
        <v>4169</v>
      </c>
      <c r="C332" s="5" t="s">
        <v>3548</v>
      </c>
      <c r="D332" s="5" t="s">
        <v>3782</v>
      </c>
      <c r="E332" s="5" t="s">
        <v>4084</v>
      </c>
      <c r="F332" s="5" t="s">
        <v>3822</v>
      </c>
      <c r="G332" s="5"/>
      <c r="H332" s="5"/>
      <c r="I332" s="5" t="s">
        <v>3448</v>
      </c>
      <c r="J332" s="5" t="s">
        <v>3783</v>
      </c>
      <c r="K332" s="5" t="s">
        <v>4085</v>
      </c>
      <c r="L332" s="5">
        <v>95</v>
      </c>
      <c r="M332" s="5">
        <v>8</v>
      </c>
      <c r="N332" s="5" t="s">
        <v>3823</v>
      </c>
      <c r="O332" s="5"/>
      <c r="P332" s="5">
        <v>8</v>
      </c>
      <c r="Q332" s="5">
        <v>1</v>
      </c>
      <c r="R332" s="5"/>
      <c r="S332" s="5">
        <v>828</v>
      </c>
      <c r="T332" s="5">
        <v>828</v>
      </c>
      <c r="U332" s="5">
        <v>828</v>
      </c>
    </row>
    <row r="333" spans="1:21" x14ac:dyDescent="0.25">
      <c r="A333" s="5" t="s">
        <v>4170</v>
      </c>
      <c r="B333" s="5" t="s">
        <v>4171</v>
      </c>
      <c r="C333" s="5" t="s">
        <v>3548</v>
      </c>
      <c r="D333" s="5" t="s">
        <v>3782</v>
      </c>
      <c r="E333" s="5" t="s">
        <v>4084</v>
      </c>
      <c r="F333" s="5" t="s">
        <v>3564</v>
      </c>
      <c r="G333" s="5"/>
      <c r="H333" s="5"/>
      <c r="I333" s="5" t="s">
        <v>3448</v>
      </c>
      <c r="J333" s="5" t="s">
        <v>3783</v>
      </c>
      <c r="K333" s="5" t="s">
        <v>4085</v>
      </c>
      <c r="L333" s="5">
        <v>95</v>
      </c>
      <c r="M333" s="5">
        <v>1</v>
      </c>
      <c r="N333" s="5" t="s">
        <v>3566</v>
      </c>
      <c r="O333" s="5"/>
      <c r="P333" s="5">
        <v>8</v>
      </c>
      <c r="Q333" s="5">
        <v>1</v>
      </c>
      <c r="R333" s="5"/>
      <c r="S333" s="5">
        <v>106</v>
      </c>
      <c r="T333" s="5">
        <v>106</v>
      </c>
      <c r="U333" s="5">
        <v>106</v>
      </c>
    </row>
    <row r="334" spans="1:21" x14ac:dyDescent="0.25">
      <c r="A334" s="5" t="s">
        <v>4172</v>
      </c>
      <c r="B334" s="5" t="s">
        <v>4173</v>
      </c>
      <c r="C334" s="5" t="s">
        <v>3548</v>
      </c>
      <c r="D334" s="5" t="s">
        <v>3782</v>
      </c>
      <c r="E334" s="5" t="s">
        <v>4174</v>
      </c>
      <c r="F334" s="5" t="s">
        <v>3564</v>
      </c>
      <c r="G334" s="5"/>
      <c r="H334" s="5"/>
      <c r="I334" s="5" t="s">
        <v>3448</v>
      </c>
      <c r="J334" s="5" t="s">
        <v>3783</v>
      </c>
      <c r="K334" s="5" t="s">
        <v>4175</v>
      </c>
      <c r="L334" s="5">
        <v>110</v>
      </c>
      <c r="M334" s="5">
        <v>2</v>
      </c>
      <c r="N334" s="5" t="s">
        <v>3566</v>
      </c>
      <c r="O334" s="5"/>
      <c r="P334" s="5">
        <v>4</v>
      </c>
      <c r="Q334" s="5">
        <v>1</v>
      </c>
      <c r="R334" s="5"/>
      <c r="S334" s="5">
        <v>252</v>
      </c>
      <c r="T334" s="5">
        <v>252</v>
      </c>
      <c r="U334" s="5">
        <v>252</v>
      </c>
    </row>
    <row r="335" spans="1:21" x14ac:dyDescent="0.25">
      <c r="A335" s="5" t="s">
        <v>4176</v>
      </c>
      <c r="B335" s="5" t="s">
        <v>4177</v>
      </c>
      <c r="C335" s="5" t="s">
        <v>3548</v>
      </c>
      <c r="D335" s="5" t="s">
        <v>3782</v>
      </c>
      <c r="E335" s="5" t="s">
        <v>4174</v>
      </c>
      <c r="F335" s="5" t="s">
        <v>3564</v>
      </c>
      <c r="G335" s="5"/>
      <c r="H335" s="5"/>
      <c r="I335" s="5" t="s">
        <v>3448</v>
      </c>
      <c r="J335" s="5" t="s">
        <v>3783</v>
      </c>
      <c r="K335" s="5" t="s">
        <v>4175</v>
      </c>
      <c r="L335" s="5">
        <v>110</v>
      </c>
      <c r="M335" s="5">
        <v>3</v>
      </c>
      <c r="N335" s="5" t="s">
        <v>3566</v>
      </c>
      <c r="O335" s="5"/>
      <c r="P335" s="5">
        <v>4</v>
      </c>
      <c r="Q335" s="5">
        <v>1</v>
      </c>
      <c r="R335" s="5"/>
      <c r="S335" s="5">
        <v>377</v>
      </c>
      <c r="T335" s="5">
        <v>377</v>
      </c>
      <c r="U335" s="5">
        <v>377</v>
      </c>
    </row>
    <row r="336" spans="1:21" x14ac:dyDescent="0.25">
      <c r="A336" s="5" t="s">
        <v>4178</v>
      </c>
      <c r="B336" s="5" t="s">
        <v>4179</v>
      </c>
      <c r="C336" s="5" t="s">
        <v>3548</v>
      </c>
      <c r="D336" s="5" t="s">
        <v>3782</v>
      </c>
      <c r="E336" s="5" t="s">
        <v>4174</v>
      </c>
      <c r="F336" s="5" t="s">
        <v>3564</v>
      </c>
      <c r="G336" s="5"/>
      <c r="H336" s="5"/>
      <c r="I336" s="5" t="s">
        <v>3448</v>
      </c>
      <c r="J336" s="5" t="s">
        <v>3783</v>
      </c>
      <c r="K336" s="5" t="s">
        <v>4175</v>
      </c>
      <c r="L336" s="5">
        <v>110</v>
      </c>
      <c r="M336" s="5">
        <v>4</v>
      </c>
      <c r="N336" s="5" t="s">
        <v>3566</v>
      </c>
      <c r="O336" s="5"/>
      <c r="P336" s="5">
        <v>4</v>
      </c>
      <c r="Q336" s="5">
        <v>2</v>
      </c>
      <c r="R336" s="5"/>
      <c r="S336" s="5">
        <v>484</v>
      </c>
      <c r="T336" s="5">
        <v>484</v>
      </c>
      <c r="U336" s="5">
        <v>484</v>
      </c>
    </row>
    <row r="337" spans="1:21" x14ac:dyDescent="0.25">
      <c r="A337" s="5" t="s">
        <v>4180</v>
      </c>
      <c r="B337" s="5" t="s">
        <v>4181</v>
      </c>
      <c r="C337" s="5" t="s">
        <v>3548</v>
      </c>
      <c r="D337" s="5" t="s">
        <v>3782</v>
      </c>
      <c r="E337" s="5" t="s">
        <v>4174</v>
      </c>
      <c r="F337" s="5" t="s">
        <v>3564</v>
      </c>
      <c r="G337" s="5"/>
      <c r="H337" s="5"/>
      <c r="I337" s="5" t="s">
        <v>3448</v>
      </c>
      <c r="J337" s="5" t="s">
        <v>3783</v>
      </c>
      <c r="K337" s="5" t="s">
        <v>4175</v>
      </c>
      <c r="L337" s="5">
        <v>110</v>
      </c>
      <c r="M337" s="5">
        <v>1</v>
      </c>
      <c r="N337" s="5" t="s">
        <v>3566</v>
      </c>
      <c r="O337" s="5"/>
      <c r="P337" s="5">
        <v>4</v>
      </c>
      <c r="Q337" s="5">
        <v>1</v>
      </c>
      <c r="R337" s="5"/>
      <c r="S337" s="5">
        <v>140</v>
      </c>
      <c r="T337" s="5">
        <v>140</v>
      </c>
      <c r="U337" s="5">
        <v>140</v>
      </c>
    </row>
    <row r="338" spans="1:21" x14ac:dyDescent="0.25">
      <c r="A338" s="5" t="s">
        <v>4182</v>
      </c>
      <c r="B338" s="5" t="s">
        <v>4183</v>
      </c>
      <c r="C338" s="5" t="s">
        <v>3548</v>
      </c>
      <c r="D338" s="5" t="s">
        <v>3782</v>
      </c>
      <c r="E338" s="5" t="s">
        <v>4174</v>
      </c>
      <c r="F338" s="5" t="s">
        <v>3564</v>
      </c>
      <c r="G338" s="5"/>
      <c r="H338" s="5"/>
      <c r="I338" s="5" t="s">
        <v>3448</v>
      </c>
      <c r="J338" s="5" t="s">
        <v>3783</v>
      </c>
      <c r="K338" s="5" t="s">
        <v>4175</v>
      </c>
      <c r="L338" s="5">
        <v>135</v>
      </c>
      <c r="M338" s="5">
        <v>2</v>
      </c>
      <c r="N338" s="5" t="s">
        <v>3566</v>
      </c>
      <c r="O338" s="5"/>
      <c r="P338" s="5">
        <v>5</v>
      </c>
      <c r="Q338" s="5">
        <v>1</v>
      </c>
      <c r="R338" s="5"/>
      <c r="S338" s="5">
        <v>310</v>
      </c>
      <c r="T338" s="5">
        <v>310</v>
      </c>
      <c r="U338" s="5">
        <v>310</v>
      </c>
    </row>
    <row r="339" spans="1:21" x14ac:dyDescent="0.25">
      <c r="A339" s="5" t="s">
        <v>4184</v>
      </c>
      <c r="B339" s="5" t="s">
        <v>4185</v>
      </c>
      <c r="C339" s="5" t="s">
        <v>3548</v>
      </c>
      <c r="D339" s="5" t="s">
        <v>3782</v>
      </c>
      <c r="E339" s="5" t="s">
        <v>4174</v>
      </c>
      <c r="F339" s="5" t="s">
        <v>3564</v>
      </c>
      <c r="G339" s="5"/>
      <c r="H339" s="5"/>
      <c r="I339" s="5" t="s">
        <v>3448</v>
      </c>
      <c r="J339" s="5" t="s">
        <v>3783</v>
      </c>
      <c r="K339" s="5" t="s">
        <v>4175</v>
      </c>
      <c r="L339" s="5">
        <v>135</v>
      </c>
      <c r="M339" s="5">
        <v>1</v>
      </c>
      <c r="N339" s="5" t="s">
        <v>3566</v>
      </c>
      <c r="O339" s="5"/>
      <c r="P339" s="5">
        <v>5</v>
      </c>
      <c r="Q339" s="5">
        <v>1</v>
      </c>
      <c r="R339" s="5"/>
      <c r="S339" s="5">
        <v>165</v>
      </c>
      <c r="T339" s="5">
        <v>165</v>
      </c>
      <c r="U339" s="5">
        <v>165</v>
      </c>
    </row>
    <row r="340" spans="1:21" x14ac:dyDescent="0.25">
      <c r="A340" s="5" t="s">
        <v>4186</v>
      </c>
      <c r="B340" s="5" t="s">
        <v>4187</v>
      </c>
      <c r="C340" s="5" t="s">
        <v>3548</v>
      </c>
      <c r="D340" s="5" t="s">
        <v>3782</v>
      </c>
      <c r="E340" s="5" t="s">
        <v>4174</v>
      </c>
      <c r="F340" s="5" t="s">
        <v>3564</v>
      </c>
      <c r="G340" s="5"/>
      <c r="H340" s="5"/>
      <c r="I340" s="5" t="s">
        <v>3448</v>
      </c>
      <c r="J340" s="5" t="s">
        <v>3783</v>
      </c>
      <c r="K340" s="5" t="s">
        <v>4175</v>
      </c>
      <c r="L340" s="5">
        <v>160</v>
      </c>
      <c r="M340" s="5">
        <v>2</v>
      </c>
      <c r="N340" s="5" t="s">
        <v>3566</v>
      </c>
      <c r="O340" s="5"/>
      <c r="P340" s="5">
        <v>6</v>
      </c>
      <c r="Q340" s="5">
        <v>1</v>
      </c>
      <c r="R340" s="5"/>
      <c r="S340" s="5">
        <v>330</v>
      </c>
      <c r="T340" s="5">
        <v>330</v>
      </c>
      <c r="U340" s="5">
        <v>330</v>
      </c>
    </row>
    <row r="341" spans="1:21" x14ac:dyDescent="0.25">
      <c r="A341" s="5" t="s">
        <v>4188</v>
      </c>
      <c r="B341" s="5" t="s">
        <v>4189</v>
      </c>
      <c r="C341" s="5" t="s">
        <v>3548</v>
      </c>
      <c r="D341" s="5" t="s">
        <v>3782</v>
      </c>
      <c r="E341" s="5" t="s">
        <v>4174</v>
      </c>
      <c r="F341" s="5" t="s">
        <v>3564</v>
      </c>
      <c r="G341" s="5"/>
      <c r="H341" s="5"/>
      <c r="I341" s="5" t="s">
        <v>3448</v>
      </c>
      <c r="J341" s="5" t="s">
        <v>3783</v>
      </c>
      <c r="K341" s="5" t="s">
        <v>4175</v>
      </c>
      <c r="L341" s="5">
        <v>160</v>
      </c>
      <c r="M341" s="5">
        <v>1</v>
      </c>
      <c r="N341" s="5" t="s">
        <v>3566</v>
      </c>
      <c r="O341" s="5"/>
      <c r="P341" s="5">
        <v>6</v>
      </c>
      <c r="Q341" s="5">
        <v>1</v>
      </c>
      <c r="R341" s="5"/>
      <c r="S341" s="5">
        <v>180</v>
      </c>
      <c r="T341" s="5">
        <v>180</v>
      </c>
      <c r="U341" s="5">
        <v>180</v>
      </c>
    </row>
    <row r="342" spans="1:21" x14ac:dyDescent="0.25">
      <c r="A342" s="5" t="s">
        <v>4190</v>
      </c>
      <c r="B342" s="5" t="s">
        <v>4191</v>
      </c>
      <c r="C342" s="5" t="s">
        <v>3548</v>
      </c>
      <c r="D342" s="5" t="s">
        <v>3782</v>
      </c>
      <c r="E342" s="5" t="s">
        <v>4174</v>
      </c>
      <c r="F342" s="5" t="s">
        <v>3564</v>
      </c>
      <c r="G342" s="5"/>
      <c r="H342" s="5"/>
      <c r="I342" s="5" t="s">
        <v>3448</v>
      </c>
      <c r="J342" s="5" t="s">
        <v>3783</v>
      </c>
      <c r="K342" s="5" t="s">
        <v>4175</v>
      </c>
      <c r="L342" s="5">
        <v>185</v>
      </c>
      <c r="M342" s="5">
        <v>3</v>
      </c>
      <c r="N342" s="5" t="s">
        <v>3566</v>
      </c>
      <c r="O342" s="5"/>
      <c r="P342" s="5">
        <v>8</v>
      </c>
      <c r="Q342" s="5">
        <v>1</v>
      </c>
      <c r="R342" s="5"/>
      <c r="S342" s="5">
        <v>585</v>
      </c>
      <c r="T342" s="5">
        <v>585</v>
      </c>
      <c r="U342" s="5">
        <v>585</v>
      </c>
    </row>
    <row r="343" spans="1:21" x14ac:dyDescent="0.25">
      <c r="A343" s="5" t="s">
        <v>4192</v>
      </c>
      <c r="B343" s="5" t="s">
        <v>4193</v>
      </c>
      <c r="C343" s="5" t="s">
        <v>3548</v>
      </c>
      <c r="D343" s="5" t="s">
        <v>3782</v>
      </c>
      <c r="E343" s="5" t="s">
        <v>4174</v>
      </c>
      <c r="F343" s="5" t="s">
        <v>3564</v>
      </c>
      <c r="G343" s="5"/>
      <c r="H343" s="5"/>
      <c r="I343" s="5" t="s">
        <v>3448</v>
      </c>
      <c r="J343" s="5" t="s">
        <v>3783</v>
      </c>
      <c r="K343" s="5" t="s">
        <v>4175</v>
      </c>
      <c r="L343" s="5">
        <v>185</v>
      </c>
      <c r="M343" s="5">
        <v>4</v>
      </c>
      <c r="N343" s="5" t="s">
        <v>3566</v>
      </c>
      <c r="O343" s="5"/>
      <c r="P343" s="5">
        <v>8</v>
      </c>
      <c r="Q343" s="5">
        <v>1</v>
      </c>
      <c r="R343" s="5"/>
      <c r="S343" s="5">
        <v>760</v>
      </c>
      <c r="T343" s="5">
        <v>760</v>
      </c>
      <c r="U343" s="5">
        <v>760</v>
      </c>
    </row>
    <row r="344" spans="1:21" x14ac:dyDescent="0.25">
      <c r="A344" s="5" t="s">
        <v>4194</v>
      </c>
      <c r="B344" s="5" t="s">
        <v>4195</v>
      </c>
      <c r="C344" s="5" t="s">
        <v>3548</v>
      </c>
      <c r="D344" s="5" t="s">
        <v>3782</v>
      </c>
      <c r="E344" s="5" t="s">
        <v>4174</v>
      </c>
      <c r="F344" s="5" t="s">
        <v>3564</v>
      </c>
      <c r="G344" s="5"/>
      <c r="H344" s="5"/>
      <c r="I344" s="5" t="s">
        <v>3448</v>
      </c>
      <c r="J344" s="5" t="s">
        <v>3783</v>
      </c>
      <c r="K344" s="5" t="s">
        <v>4175</v>
      </c>
      <c r="L344" s="5">
        <v>185</v>
      </c>
      <c r="M344" s="5">
        <v>1</v>
      </c>
      <c r="N344" s="5" t="s">
        <v>3566</v>
      </c>
      <c r="O344" s="5"/>
      <c r="P344" s="5">
        <v>8</v>
      </c>
      <c r="Q344" s="5">
        <v>1</v>
      </c>
      <c r="R344" s="5"/>
      <c r="S344" s="5">
        <v>205</v>
      </c>
      <c r="T344" s="5">
        <v>205</v>
      </c>
      <c r="U344" s="5">
        <v>205</v>
      </c>
    </row>
    <row r="345" spans="1:21" x14ac:dyDescent="0.25">
      <c r="A345" s="5" t="s">
        <v>4196</v>
      </c>
      <c r="B345" s="5" t="s">
        <v>4197</v>
      </c>
      <c r="C345" s="5" t="s">
        <v>3548</v>
      </c>
      <c r="D345" s="5" t="s">
        <v>3782</v>
      </c>
      <c r="E345" s="5" t="s">
        <v>4174</v>
      </c>
      <c r="F345" s="5" t="s">
        <v>3564</v>
      </c>
      <c r="G345" s="5"/>
      <c r="H345" s="5"/>
      <c r="I345" s="5" t="s">
        <v>3448</v>
      </c>
      <c r="J345" s="5" t="s">
        <v>3783</v>
      </c>
      <c r="K345" s="5" t="s">
        <v>4175</v>
      </c>
      <c r="L345" s="5">
        <v>195</v>
      </c>
      <c r="M345" s="5">
        <v>2</v>
      </c>
      <c r="N345" s="5" t="s">
        <v>3566</v>
      </c>
      <c r="O345" s="5"/>
      <c r="P345" s="5">
        <v>8</v>
      </c>
      <c r="Q345" s="5">
        <v>1</v>
      </c>
      <c r="R345" s="5"/>
      <c r="S345" s="5">
        <v>390</v>
      </c>
      <c r="T345" s="5">
        <v>390</v>
      </c>
      <c r="U345" s="5">
        <v>390</v>
      </c>
    </row>
    <row r="346" spans="1:21" x14ac:dyDescent="0.25">
      <c r="A346" s="5" t="s">
        <v>4198</v>
      </c>
      <c r="B346" s="5" t="s">
        <v>4199</v>
      </c>
      <c r="C346" s="5" t="s">
        <v>3548</v>
      </c>
      <c r="D346" s="5" t="s">
        <v>3782</v>
      </c>
      <c r="E346" s="5" t="s">
        <v>4174</v>
      </c>
      <c r="F346" s="5" t="s">
        <v>3564</v>
      </c>
      <c r="G346" s="5"/>
      <c r="H346" s="5"/>
      <c r="I346" s="5" t="s">
        <v>3448</v>
      </c>
      <c r="J346" s="5" t="s">
        <v>3783</v>
      </c>
      <c r="K346" s="5" t="s">
        <v>4175</v>
      </c>
      <c r="L346" s="5">
        <v>215</v>
      </c>
      <c r="M346" s="5">
        <v>2</v>
      </c>
      <c r="N346" s="5" t="s">
        <v>3566</v>
      </c>
      <c r="O346" s="5"/>
      <c r="P346" s="5">
        <v>8</v>
      </c>
      <c r="Q346" s="5">
        <v>1</v>
      </c>
      <c r="R346" s="5"/>
      <c r="S346" s="5">
        <v>440</v>
      </c>
      <c r="T346" s="5">
        <v>380</v>
      </c>
      <c r="U346" s="5">
        <v>440</v>
      </c>
    </row>
    <row r="347" spans="1:21" x14ac:dyDescent="0.25">
      <c r="A347" s="5" t="s">
        <v>4200</v>
      </c>
      <c r="B347" s="5" t="s">
        <v>4201</v>
      </c>
      <c r="C347" s="5" t="s">
        <v>3548</v>
      </c>
      <c r="D347" s="5" t="s">
        <v>3782</v>
      </c>
      <c r="E347" s="5" t="s">
        <v>4174</v>
      </c>
      <c r="F347" s="5" t="s">
        <v>3564</v>
      </c>
      <c r="G347" s="5"/>
      <c r="H347" s="5"/>
      <c r="I347" s="5" t="s">
        <v>3448</v>
      </c>
      <c r="J347" s="5" t="s">
        <v>3783</v>
      </c>
      <c r="K347" s="5" t="s">
        <v>4175</v>
      </c>
      <c r="L347" s="5">
        <v>215</v>
      </c>
      <c r="M347" s="5">
        <v>3</v>
      </c>
      <c r="N347" s="5" t="s">
        <v>3566</v>
      </c>
      <c r="O347" s="5"/>
      <c r="P347" s="5">
        <v>8</v>
      </c>
      <c r="Q347" s="5">
        <v>1</v>
      </c>
      <c r="R347" s="5"/>
      <c r="S347" s="5">
        <v>672</v>
      </c>
      <c r="T347" s="5">
        <v>585</v>
      </c>
      <c r="U347" s="5">
        <v>672</v>
      </c>
    </row>
    <row r="348" spans="1:21" x14ac:dyDescent="0.25">
      <c r="A348" s="5" t="s">
        <v>4202</v>
      </c>
      <c r="B348" s="5" t="s">
        <v>4203</v>
      </c>
      <c r="C348" s="5" t="s">
        <v>3548</v>
      </c>
      <c r="D348" s="5" t="s">
        <v>3782</v>
      </c>
      <c r="E348" s="5" t="s">
        <v>4174</v>
      </c>
      <c r="F348" s="5" t="s">
        <v>3564</v>
      </c>
      <c r="G348" s="5"/>
      <c r="H348" s="5"/>
      <c r="I348" s="5" t="s">
        <v>3448</v>
      </c>
      <c r="J348" s="5" t="s">
        <v>3783</v>
      </c>
      <c r="K348" s="5" t="s">
        <v>4175</v>
      </c>
      <c r="L348" s="5">
        <v>215</v>
      </c>
      <c r="M348" s="5">
        <v>4</v>
      </c>
      <c r="N348" s="5" t="s">
        <v>3566</v>
      </c>
      <c r="O348" s="5"/>
      <c r="P348" s="5">
        <v>8</v>
      </c>
      <c r="Q348" s="5">
        <v>1</v>
      </c>
      <c r="R348" s="5"/>
      <c r="S348" s="5">
        <v>880</v>
      </c>
      <c r="T348" s="5">
        <v>760</v>
      </c>
      <c r="U348" s="5">
        <v>880</v>
      </c>
    </row>
    <row r="349" spans="1:21" x14ac:dyDescent="0.25">
      <c r="A349" s="5" t="s">
        <v>4204</v>
      </c>
      <c r="B349" s="5" t="s">
        <v>4205</v>
      </c>
      <c r="C349" s="5" t="s">
        <v>3548</v>
      </c>
      <c r="D349" s="5" t="s">
        <v>3782</v>
      </c>
      <c r="E349" s="5" t="s">
        <v>4174</v>
      </c>
      <c r="F349" s="5" t="s">
        <v>3564</v>
      </c>
      <c r="G349" s="5"/>
      <c r="H349" s="5"/>
      <c r="I349" s="5" t="s">
        <v>3448</v>
      </c>
      <c r="J349" s="5" t="s">
        <v>3783</v>
      </c>
      <c r="K349" s="5" t="s">
        <v>4175</v>
      </c>
      <c r="L349" s="5">
        <v>215</v>
      </c>
      <c r="M349" s="5">
        <v>1</v>
      </c>
      <c r="N349" s="5" t="s">
        <v>3566</v>
      </c>
      <c r="O349" s="5"/>
      <c r="P349" s="5">
        <v>8</v>
      </c>
      <c r="Q349" s="5">
        <v>1</v>
      </c>
      <c r="R349" s="5"/>
      <c r="S349" s="5">
        <v>232</v>
      </c>
      <c r="T349" s="5">
        <v>205</v>
      </c>
      <c r="U349" s="5">
        <v>232</v>
      </c>
    </row>
    <row r="350" spans="1:21" x14ac:dyDescent="0.25">
      <c r="A350" s="5" t="s">
        <v>4206</v>
      </c>
      <c r="B350" s="5" t="s">
        <v>4207</v>
      </c>
      <c r="C350" s="5" t="s">
        <v>3548</v>
      </c>
      <c r="D350" s="5" t="s">
        <v>3782</v>
      </c>
      <c r="E350" s="5" t="s">
        <v>4174</v>
      </c>
      <c r="F350" s="5" t="s">
        <v>3564</v>
      </c>
      <c r="G350" s="5"/>
      <c r="H350" s="5"/>
      <c r="I350" s="5" t="s">
        <v>3448</v>
      </c>
      <c r="J350" s="5" t="s">
        <v>3783</v>
      </c>
      <c r="K350" s="5" t="s">
        <v>4175</v>
      </c>
      <c r="L350" s="5">
        <v>94</v>
      </c>
      <c r="M350" s="5">
        <v>4</v>
      </c>
      <c r="N350" s="5" t="s">
        <v>3566</v>
      </c>
      <c r="O350" s="5"/>
      <c r="P350" s="5">
        <v>4</v>
      </c>
      <c r="Q350" s="5">
        <v>2</v>
      </c>
      <c r="R350" s="5"/>
      <c r="S350" s="5">
        <v>420</v>
      </c>
      <c r="T350" s="5">
        <v>420</v>
      </c>
      <c r="U350" s="5">
        <v>420</v>
      </c>
    </row>
    <row r="351" spans="1:21" x14ac:dyDescent="0.25">
      <c r="A351" s="5" t="s">
        <v>4208</v>
      </c>
      <c r="B351" s="5" t="s">
        <v>4209</v>
      </c>
      <c r="C351" s="5" t="s">
        <v>3548</v>
      </c>
      <c r="D351" s="5" t="s">
        <v>3782</v>
      </c>
      <c r="E351" s="5" t="s">
        <v>4210</v>
      </c>
      <c r="F351" s="5" t="s">
        <v>3564</v>
      </c>
      <c r="G351" s="5"/>
      <c r="H351" s="5"/>
      <c r="I351" s="5" t="s">
        <v>3448</v>
      </c>
      <c r="J351" s="5" t="s">
        <v>3783</v>
      </c>
      <c r="K351" s="5" t="s">
        <v>4210</v>
      </c>
      <c r="L351" s="5">
        <v>215</v>
      </c>
      <c r="M351" s="5">
        <v>1</v>
      </c>
      <c r="N351" s="5" t="s">
        <v>3566</v>
      </c>
      <c r="O351" s="5"/>
      <c r="P351" s="5">
        <v>8</v>
      </c>
      <c r="Q351" s="5">
        <v>1</v>
      </c>
      <c r="R351" s="5"/>
      <c r="S351" s="5">
        <v>235</v>
      </c>
      <c r="T351" s="5">
        <v>235</v>
      </c>
      <c r="U351" s="5">
        <v>235</v>
      </c>
    </row>
    <row r="352" spans="1:21" x14ac:dyDescent="0.25">
      <c r="A352" s="5" t="s">
        <v>4211</v>
      </c>
      <c r="B352" s="5" t="s">
        <v>4212</v>
      </c>
      <c r="C352" s="5" t="s">
        <v>3548</v>
      </c>
      <c r="D352" s="5" t="s">
        <v>3782</v>
      </c>
      <c r="E352" s="5" t="s">
        <v>4213</v>
      </c>
      <c r="F352" s="5" t="s">
        <v>3564</v>
      </c>
      <c r="G352" s="5"/>
      <c r="H352" s="5"/>
      <c r="I352" s="5" t="s">
        <v>3448</v>
      </c>
      <c r="J352" s="5" t="s">
        <v>3783</v>
      </c>
      <c r="K352" s="5" t="s">
        <v>4213</v>
      </c>
      <c r="L352" s="5">
        <v>13</v>
      </c>
      <c r="M352" s="5">
        <v>2</v>
      </c>
      <c r="N352" s="5" t="s">
        <v>3566</v>
      </c>
      <c r="O352" s="5"/>
      <c r="P352" s="5">
        <v>2</v>
      </c>
      <c r="Q352" s="5">
        <v>1</v>
      </c>
      <c r="R352" s="5"/>
      <c r="S352" s="5">
        <v>26</v>
      </c>
      <c r="T352" s="5">
        <v>26</v>
      </c>
      <c r="U352" s="5">
        <v>26</v>
      </c>
    </row>
    <row r="353" spans="1:21" x14ac:dyDescent="0.25">
      <c r="A353" s="5" t="s">
        <v>4214</v>
      </c>
      <c r="B353" s="5" t="s">
        <v>4215</v>
      </c>
      <c r="C353" s="5" t="s">
        <v>3548</v>
      </c>
      <c r="D353" s="5" t="s">
        <v>3782</v>
      </c>
      <c r="E353" s="5" t="s">
        <v>4213</v>
      </c>
      <c r="F353" s="5" t="s">
        <v>3564</v>
      </c>
      <c r="G353" s="5"/>
      <c r="H353" s="5"/>
      <c r="I353" s="5" t="s">
        <v>3448</v>
      </c>
      <c r="J353" s="5" t="s">
        <v>3783</v>
      </c>
      <c r="K353" s="5" t="s">
        <v>4213</v>
      </c>
      <c r="L353" s="5">
        <v>13</v>
      </c>
      <c r="M353" s="5">
        <v>4</v>
      </c>
      <c r="N353" s="5" t="s">
        <v>3566</v>
      </c>
      <c r="O353" s="5"/>
      <c r="P353" s="5">
        <v>2</v>
      </c>
      <c r="Q353" s="5">
        <v>1</v>
      </c>
      <c r="R353" s="5"/>
      <c r="S353" s="5">
        <v>53</v>
      </c>
      <c r="T353" s="5">
        <v>53</v>
      </c>
      <c r="U353" s="5">
        <v>53</v>
      </c>
    </row>
    <row r="354" spans="1:21" x14ac:dyDescent="0.25">
      <c r="A354" s="5" t="s">
        <v>4216</v>
      </c>
      <c r="B354" s="5" t="s">
        <v>4217</v>
      </c>
      <c r="C354" s="5" t="s">
        <v>3548</v>
      </c>
      <c r="D354" s="5" t="s">
        <v>3782</v>
      </c>
      <c r="E354" s="5" t="s">
        <v>4213</v>
      </c>
      <c r="F354" s="5" t="s">
        <v>4004</v>
      </c>
      <c r="G354" s="5" t="s">
        <v>3501</v>
      </c>
      <c r="H354" s="5"/>
      <c r="I354" s="5" t="s">
        <v>3448</v>
      </c>
      <c r="J354" s="5" t="s">
        <v>3783</v>
      </c>
      <c r="K354" s="5" t="s">
        <v>4213</v>
      </c>
      <c r="L354" s="5">
        <v>14</v>
      </c>
      <c r="M354" s="5">
        <v>2</v>
      </c>
      <c r="N354" s="5" t="s">
        <v>4005</v>
      </c>
      <c r="O354" s="5" t="s">
        <v>3502</v>
      </c>
      <c r="P354" s="5">
        <v>2</v>
      </c>
      <c r="Q354" s="5">
        <v>1</v>
      </c>
      <c r="R354" s="5"/>
      <c r="S354" s="5">
        <v>33</v>
      </c>
      <c r="T354" s="5">
        <v>33</v>
      </c>
      <c r="U354" s="5">
        <v>33</v>
      </c>
    </row>
    <row r="355" spans="1:21" x14ac:dyDescent="0.25">
      <c r="A355" s="5" t="s">
        <v>4218</v>
      </c>
      <c r="B355" s="5" t="s">
        <v>4219</v>
      </c>
      <c r="C355" s="5" t="s">
        <v>3548</v>
      </c>
      <c r="D355" s="5" t="s">
        <v>3782</v>
      </c>
      <c r="E355" s="5" t="s">
        <v>4213</v>
      </c>
      <c r="F355" s="5" t="s">
        <v>4004</v>
      </c>
      <c r="G355" s="5" t="s">
        <v>3501</v>
      </c>
      <c r="H355" s="5"/>
      <c r="I355" s="5" t="s">
        <v>3448</v>
      </c>
      <c r="J355" s="5" t="s">
        <v>3783</v>
      </c>
      <c r="K355" s="5" t="s">
        <v>4213</v>
      </c>
      <c r="L355" s="5">
        <v>14</v>
      </c>
      <c r="M355" s="5">
        <v>1</v>
      </c>
      <c r="N355" s="5" t="s">
        <v>4005</v>
      </c>
      <c r="O355" s="5" t="s">
        <v>3502</v>
      </c>
      <c r="P355" s="5">
        <v>2</v>
      </c>
      <c r="Q355" s="5">
        <v>1</v>
      </c>
      <c r="R355" s="5"/>
      <c r="S355" s="5">
        <v>18</v>
      </c>
      <c r="T355" s="5">
        <v>18</v>
      </c>
      <c r="U355" s="5">
        <v>18</v>
      </c>
    </row>
    <row r="356" spans="1:21" x14ac:dyDescent="0.25">
      <c r="A356" s="5" t="s">
        <v>4220</v>
      </c>
      <c r="B356" s="5" t="s">
        <v>4221</v>
      </c>
      <c r="C356" s="5" t="s">
        <v>3548</v>
      </c>
      <c r="D356" s="5" t="s">
        <v>3782</v>
      </c>
      <c r="E356" s="5" t="s">
        <v>4213</v>
      </c>
      <c r="F356" s="5" t="s">
        <v>4004</v>
      </c>
      <c r="G356" s="5" t="s">
        <v>3501</v>
      </c>
      <c r="H356" s="5"/>
      <c r="I356" s="5" t="s">
        <v>3448</v>
      </c>
      <c r="J356" s="5" t="s">
        <v>3783</v>
      </c>
      <c r="K356" s="5" t="s">
        <v>4213</v>
      </c>
      <c r="L356" s="5">
        <v>14</v>
      </c>
      <c r="M356" s="5">
        <v>3</v>
      </c>
      <c r="N356" s="5" t="s">
        <v>4005</v>
      </c>
      <c r="O356" s="5" t="s">
        <v>3502</v>
      </c>
      <c r="P356" s="5">
        <v>2</v>
      </c>
      <c r="Q356" s="5">
        <v>2</v>
      </c>
      <c r="R356" s="5"/>
      <c r="S356" s="5">
        <v>51</v>
      </c>
      <c r="T356" s="5">
        <v>51</v>
      </c>
      <c r="U356" s="5">
        <v>51</v>
      </c>
    </row>
    <row r="357" spans="1:21" x14ac:dyDescent="0.25">
      <c r="A357" s="5" t="s">
        <v>4222</v>
      </c>
      <c r="B357" s="5" t="s">
        <v>4223</v>
      </c>
      <c r="C357" s="5" t="s">
        <v>3548</v>
      </c>
      <c r="D357" s="5" t="s">
        <v>3782</v>
      </c>
      <c r="E357" s="5" t="s">
        <v>4213</v>
      </c>
      <c r="F357" s="5" t="s">
        <v>4004</v>
      </c>
      <c r="G357" s="5" t="s">
        <v>3501</v>
      </c>
      <c r="H357" s="5"/>
      <c r="I357" s="5" t="s">
        <v>3448</v>
      </c>
      <c r="J357" s="5" t="s">
        <v>3783</v>
      </c>
      <c r="K357" s="5" t="s">
        <v>4213</v>
      </c>
      <c r="L357" s="5">
        <v>14</v>
      </c>
      <c r="M357" s="5">
        <v>4</v>
      </c>
      <c r="N357" s="5" t="s">
        <v>4005</v>
      </c>
      <c r="O357" s="5" t="s">
        <v>3502</v>
      </c>
      <c r="P357" s="5">
        <v>2</v>
      </c>
      <c r="Q357" s="5">
        <v>2</v>
      </c>
      <c r="R357" s="5"/>
      <c r="S357" s="5">
        <v>67</v>
      </c>
      <c r="T357" s="5">
        <v>67</v>
      </c>
      <c r="U357" s="5">
        <v>67</v>
      </c>
    </row>
    <row r="358" spans="1:21" x14ac:dyDescent="0.25">
      <c r="A358" s="5" t="s">
        <v>4224</v>
      </c>
      <c r="B358" s="5" t="s">
        <v>4225</v>
      </c>
      <c r="C358" s="5" t="s">
        <v>3548</v>
      </c>
      <c r="D358" s="5" t="s">
        <v>3782</v>
      </c>
      <c r="E358" s="5" t="s">
        <v>4213</v>
      </c>
      <c r="F358" s="5" t="s">
        <v>4004</v>
      </c>
      <c r="G358" s="5" t="s">
        <v>3501</v>
      </c>
      <c r="H358" s="5"/>
      <c r="I358" s="5" t="s">
        <v>3448</v>
      </c>
      <c r="J358" s="5" t="s">
        <v>3783</v>
      </c>
      <c r="K358" s="5" t="s">
        <v>4213</v>
      </c>
      <c r="L358" s="5">
        <v>21</v>
      </c>
      <c r="M358" s="5">
        <v>2</v>
      </c>
      <c r="N358" s="5" t="s">
        <v>4005</v>
      </c>
      <c r="O358" s="5" t="s">
        <v>3502</v>
      </c>
      <c r="P358" s="5">
        <v>3</v>
      </c>
      <c r="Q358" s="5">
        <v>1</v>
      </c>
      <c r="R358" s="5"/>
      <c r="S358" s="5">
        <v>48</v>
      </c>
      <c r="T358" s="5">
        <v>48</v>
      </c>
      <c r="U358" s="5">
        <v>48</v>
      </c>
    </row>
    <row r="359" spans="1:21" x14ac:dyDescent="0.25">
      <c r="A359" s="5" t="s">
        <v>4226</v>
      </c>
      <c r="B359" s="5" t="s">
        <v>4227</v>
      </c>
      <c r="C359" s="5" t="s">
        <v>3548</v>
      </c>
      <c r="D359" s="5" t="s">
        <v>3782</v>
      </c>
      <c r="E359" s="5" t="s">
        <v>4213</v>
      </c>
      <c r="F359" s="5" t="s">
        <v>4004</v>
      </c>
      <c r="G359" s="5" t="s">
        <v>3501</v>
      </c>
      <c r="H359" s="5"/>
      <c r="I359" s="5" t="s">
        <v>3448</v>
      </c>
      <c r="J359" s="5" t="s">
        <v>3783</v>
      </c>
      <c r="K359" s="5" t="s">
        <v>4213</v>
      </c>
      <c r="L359" s="5">
        <v>21</v>
      </c>
      <c r="M359" s="5">
        <v>3</v>
      </c>
      <c r="N359" s="5" t="s">
        <v>4005</v>
      </c>
      <c r="O359" s="5" t="s">
        <v>3502</v>
      </c>
      <c r="P359" s="5">
        <v>3</v>
      </c>
      <c r="Q359" s="5">
        <v>2</v>
      </c>
      <c r="R359" s="5"/>
      <c r="S359" s="5">
        <v>73</v>
      </c>
      <c r="T359" s="5">
        <v>73</v>
      </c>
      <c r="U359" s="5">
        <v>73</v>
      </c>
    </row>
    <row r="360" spans="1:21" x14ac:dyDescent="0.25">
      <c r="A360" s="5" t="s">
        <v>4228</v>
      </c>
      <c r="B360" s="5" t="s">
        <v>4229</v>
      </c>
      <c r="C360" s="5" t="s">
        <v>3548</v>
      </c>
      <c r="D360" s="5" t="s">
        <v>3782</v>
      </c>
      <c r="E360" s="5" t="s">
        <v>4213</v>
      </c>
      <c r="F360" s="5" t="s">
        <v>4004</v>
      </c>
      <c r="G360" s="5" t="s">
        <v>3501</v>
      </c>
      <c r="H360" s="5"/>
      <c r="I360" s="5" t="s">
        <v>3448</v>
      </c>
      <c r="J360" s="5" t="s">
        <v>3783</v>
      </c>
      <c r="K360" s="5" t="s">
        <v>4213</v>
      </c>
      <c r="L360" s="5">
        <v>21</v>
      </c>
      <c r="M360" s="5">
        <v>1</v>
      </c>
      <c r="N360" s="5" t="s">
        <v>4005</v>
      </c>
      <c r="O360" s="5" t="s">
        <v>3502</v>
      </c>
      <c r="P360" s="5">
        <v>3</v>
      </c>
      <c r="Q360" s="5">
        <v>1</v>
      </c>
      <c r="R360" s="5"/>
      <c r="S360" s="5">
        <v>25</v>
      </c>
      <c r="T360" s="5">
        <v>25</v>
      </c>
      <c r="U360" s="5">
        <v>25</v>
      </c>
    </row>
    <row r="361" spans="1:21" x14ac:dyDescent="0.25">
      <c r="A361" s="5" t="s">
        <v>4230</v>
      </c>
      <c r="B361" s="5" t="s">
        <v>4231</v>
      </c>
      <c r="C361" s="5" t="s">
        <v>3548</v>
      </c>
      <c r="D361" s="5" t="s">
        <v>3782</v>
      </c>
      <c r="E361" s="5" t="s">
        <v>4213</v>
      </c>
      <c r="F361" s="5" t="s">
        <v>4004</v>
      </c>
      <c r="G361" s="5" t="s">
        <v>3501</v>
      </c>
      <c r="H361" s="5"/>
      <c r="I361" s="5" t="s">
        <v>3448</v>
      </c>
      <c r="J361" s="5" t="s">
        <v>3783</v>
      </c>
      <c r="K361" s="5" t="s">
        <v>4213</v>
      </c>
      <c r="L361" s="5">
        <v>21</v>
      </c>
      <c r="M361" s="5">
        <v>4</v>
      </c>
      <c r="N361" s="5" t="s">
        <v>4005</v>
      </c>
      <c r="O361" s="5" t="s">
        <v>3502</v>
      </c>
      <c r="P361" s="5">
        <v>3</v>
      </c>
      <c r="Q361" s="5">
        <v>2</v>
      </c>
      <c r="R361" s="5"/>
      <c r="S361" s="5">
        <v>96</v>
      </c>
      <c r="T361" s="5">
        <v>96</v>
      </c>
      <c r="U361" s="5">
        <v>96</v>
      </c>
    </row>
    <row r="362" spans="1:21" x14ac:dyDescent="0.25">
      <c r="A362" s="5" t="s">
        <v>4232</v>
      </c>
      <c r="B362" s="5" t="s">
        <v>4233</v>
      </c>
      <c r="C362" s="5" t="s">
        <v>3548</v>
      </c>
      <c r="D362" s="5" t="s">
        <v>3782</v>
      </c>
      <c r="E362" s="5" t="s">
        <v>4213</v>
      </c>
      <c r="F362" s="5" t="s">
        <v>4004</v>
      </c>
      <c r="G362" s="5" t="s">
        <v>3501</v>
      </c>
      <c r="H362" s="5"/>
      <c r="I362" s="5" t="s">
        <v>3448</v>
      </c>
      <c r="J362" s="5" t="s">
        <v>3783</v>
      </c>
      <c r="K362" s="5" t="s">
        <v>4213</v>
      </c>
      <c r="L362" s="5">
        <v>24</v>
      </c>
      <c r="M362" s="5">
        <v>4</v>
      </c>
      <c r="N362" s="5" t="s">
        <v>4005</v>
      </c>
      <c r="O362" s="5" t="s">
        <v>3502</v>
      </c>
      <c r="P362" s="5">
        <v>2</v>
      </c>
      <c r="Q362" s="5">
        <v>2</v>
      </c>
      <c r="R362" s="5"/>
      <c r="S362" s="5">
        <v>105</v>
      </c>
      <c r="T362" s="5">
        <v>105</v>
      </c>
      <c r="U362" s="5">
        <v>105</v>
      </c>
    </row>
    <row r="363" spans="1:21" x14ac:dyDescent="0.25">
      <c r="A363" s="5" t="s">
        <v>4234</v>
      </c>
      <c r="B363" s="5" t="s">
        <v>4235</v>
      </c>
      <c r="C363" s="5" t="s">
        <v>3548</v>
      </c>
      <c r="D363" s="5" t="s">
        <v>3782</v>
      </c>
      <c r="E363" s="5" t="s">
        <v>4213</v>
      </c>
      <c r="F363" s="5" t="s">
        <v>4004</v>
      </c>
      <c r="G363" s="5" t="s">
        <v>3501</v>
      </c>
      <c r="H363" s="5"/>
      <c r="I363" s="5" t="s">
        <v>3448</v>
      </c>
      <c r="J363" s="5" t="s">
        <v>3783</v>
      </c>
      <c r="K363" s="5" t="s">
        <v>4213</v>
      </c>
      <c r="L363" s="5">
        <v>28</v>
      </c>
      <c r="M363" s="5">
        <v>2</v>
      </c>
      <c r="N363" s="5" t="s">
        <v>4005</v>
      </c>
      <c r="O363" s="5" t="s">
        <v>3502</v>
      </c>
      <c r="P363" s="5">
        <v>4</v>
      </c>
      <c r="Q363" s="5">
        <v>1</v>
      </c>
      <c r="R363" s="5"/>
      <c r="S363" s="5">
        <v>63</v>
      </c>
      <c r="T363" s="5">
        <v>63</v>
      </c>
      <c r="U363" s="5">
        <v>63</v>
      </c>
    </row>
    <row r="364" spans="1:21" x14ac:dyDescent="0.25">
      <c r="A364" s="5" t="s">
        <v>4236</v>
      </c>
      <c r="B364" s="5" t="s">
        <v>4237</v>
      </c>
      <c r="C364" s="5" t="s">
        <v>3548</v>
      </c>
      <c r="D364" s="5" t="s">
        <v>3782</v>
      </c>
      <c r="E364" s="5" t="s">
        <v>4213</v>
      </c>
      <c r="F364" s="5" t="s">
        <v>4004</v>
      </c>
      <c r="G364" s="5" t="s">
        <v>3501</v>
      </c>
      <c r="H364" s="5"/>
      <c r="I364" s="5" t="s">
        <v>3448</v>
      </c>
      <c r="J364" s="5" t="s">
        <v>3783</v>
      </c>
      <c r="K364" s="5" t="s">
        <v>4213</v>
      </c>
      <c r="L364" s="5">
        <v>28</v>
      </c>
      <c r="M364" s="5">
        <v>3</v>
      </c>
      <c r="N364" s="5" t="s">
        <v>4005</v>
      </c>
      <c r="O364" s="5" t="s">
        <v>3502</v>
      </c>
      <c r="P364" s="5">
        <v>4</v>
      </c>
      <c r="Q364" s="5">
        <v>2</v>
      </c>
      <c r="R364" s="5"/>
      <c r="S364" s="5">
        <v>96</v>
      </c>
      <c r="T364" s="5">
        <v>96</v>
      </c>
      <c r="U364" s="5">
        <v>96</v>
      </c>
    </row>
    <row r="365" spans="1:21" x14ac:dyDescent="0.25">
      <c r="A365" s="5" t="s">
        <v>4238</v>
      </c>
      <c r="B365" s="5" t="s">
        <v>4239</v>
      </c>
      <c r="C365" s="5" t="s">
        <v>3548</v>
      </c>
      <c r="D365" s="5" t="s">
        <v>3782</v>
      </c>
      <c r="E365" s="5" t="s">
        <v>4213</v>
      </c>
      <c r="F365" s="5" t="s">
        <v>4004</v>
      </c>
      <c r="G365" s="5" t="s">
        <v>3501</v>
      </c>
      <c r="H365" s="5"/>
      <c r="I365" s="5" t="s">
        <v>3448</v>
      </c>
      <c r="J365" s="5" t="s">
        <v>3783</v>
      </c>
      <c r="K365" s="5" t="s">
        <v>4213</v>
      </c>
      <c r="L365" s="5">
        <v>28</v>
      </c>
      <c r="M365" s="5">
        <v>4</v>
      </c>
      <c r="N365" s="5" t="s">
        <v>4005</v>
      </c>
      <c r="O365" s="5" t="s">
        <v>3502</v>
      </c>
      <c r="P365" s="5">
        <v>4</v>
      </c>
      <c r="Q365" s="5">
        <v>2</v>
      </c>
      <c r="R365" s="5"/>
      <c r="S365" s="5">
        <v>126</v>
      </c>
      <c r="T365" s="5">
        <v>126</v>
      </c>
      <c r="U365" s="5">
        <v>126</v>
      </c>
    </row>
    <row r="366" spans="1:21" x14ac:dyDescent="0.25">
      <c r="A366" s="5" t="s">
        <v>4240</v>
      </c>
      <c r="B366" s="5" t="s">
        <v>4241</v>
      </c>
      <c r="C366" s="5" t="s">
        <v>3548</v>
      </c>
      <c r="D366" s="5" t="s">
        <v>3782</v>
      </c>
      <c r="E366" s="5" t="s">
        <v>4213</v>
      </c>
      <c r="F366" s="5" t="s">
        <v>4004</v>
      </c>
      <c r="G366" s="5" t="s">
        <v>3501</v>
      </c>
      <c r="H366" s="5"/>
      <c r="I366" s="5" t="s">
        <v>3448</v>
      </c>
      <c r="J366" s="5" t="s">
        <v>3783</v>
      </c>
      <c r="K366" s="5" t="s">
        <v>4213</v>
      </c>
      <c r="L366" s="5">
        <v>28</v>
      </c>
      <c r="M366" s="5">
        <v>1</v>
      </c>
      <c r="N366" s="5" t="s">
        <v>4005</v>
      </c>
      <c r="O366" s="5" t="s">
        <v>3502</v>
      </c>
      <c r="P366" s="5">
        <v>4</v>
      </c>
      <c r="Q366" s="5">
        <v>1</v>
      </c>
      <c r="R366" s="5"/>
      <c r="S366" s="5">
        <v>33</v>
      </c>
      <c r="T366" s="5">
        <v>33</v>
      </c>
      <c r="U366" s="5">
        <v>33</v>
      </c>
    </row>
    <row r="367" spans="1:21" x14ac:dyDescent="0.25">
      <c r="A367" s="5" t="s">
        <v>4244</v>
      </c>
      <c r="B367" s="5" t="s">
        <v>4245</v>
      </c>
      <c r="C367" s="5" t="s">
        <v>3548</v>
      </c>
      <c r="D367" s="5" t="s">
        <v>3782</v>
      </c>
      <c r="E367" s="5" t="s">
        <v>4213</v>
      </c>
      <c r="F367" s="5" t="s">
        <v>4004</v>
      </c>
      <c r="G367" s="5" t="s">
        <v>3501</v>
      </c>
      <c r="H367" s="5"/>
      <c r="I367" s="5" t="s">
        <v>3448</v>
      </c>
      <c r="J367" s="5" t="s">
        <v>3783</v>
      </c>
      <c r="K367" s="5" t="s">
        <v>4213</v>
      </c>
      <c r="L367" s="5">
        <v>35</v>
      </c>
      <c r="M367" s="5">
        <v>2</v>
      </c>
      <c r="N367" s="5" t="s">
        <v>4005</v>
      </c>
      <c r="O367" s="5" t="s">
        <v>3502</v>
      </c>
      <c r="P367" s="5">
        <v>5</v>
      </c>
      <c r="Q367" s="5">
        <v>1</v>
      </c>
      <c r="R367" s="5"/>
      <c r="S367" s="5">
        <v>78</v>
      </c>
      <c r="T367" s="5">
        <v>78</v>
      </c>
      <c r="U367" s="5">
        <v>78</v>
      </c>
    </row>
    <row r="368" spans="1:21" x14ac:dyDescent="0.25">
      <c r="A368" s="5" t="s">
        <v>4246</v>
      </c>
      <c r="B368" s="5" t="s">
        <v>4247</v>
      </c>
      <c r="C368" s="5" t="s">
        <v>3548</v>
      </c>
      <c r="D368" s="5" t="s">
        <v>3782</v>
      </c>
      <c r="E368" s="5" t="s">
        <v>4213</v>
      </c>
      <c r="F368" s="5" t="s">
        <v>4004</v>
      </c>
      <c r="G368" s="5" t="s">
        <v>3501</v>
      </c>
      <c r="H368" s="5"/>
      <c r="I368" s="5" t="s">
        <v>3448</v>
      </c>
      <c r="J368" s="5" t="s">
        <v>3783</v>
      </c>
      <c r="K368" s="5" t="s">
        <v>4213</v>
      </c>
      <c r="L368" s="5">
        <v>35</v>
      </c>
      <c r="M368" s="5">
        <v>4</v>
      </c>
      <c r="N368" s="5" t="s">
        <v>4005</v>
      </c>
      <c r="O368" s="5" t="s">
        <v>3502</v>
      </c>
      <c r="P368" s="5">
        <v>5</v>
      </c>
      <c r="Q368" s="5">
        <v>2</v>
      </c>
      <c r="R368" s="5"/>
      <c r="S368" s="5">
        <v>157</v>
      </c>
      <c r="T368" s="5">
        <v>157</v>
      </c>
      <c r="U368" s="5">
        <v>157</v>
      </c>
    </row>
    <row r="369" spans="1:21" x14ac:dyDescent="0.25">
      <c r="A369" s="5" t="s">
        <v>4248</v>
      </c>
      <c r="B369" s="5" t="s">
        <v>4249</v>
      </c>
      <c r="C369" s="5" t="s">
        <v>3548</v>
      </c>
      <c r="D369" s="5" t="s">
        <v>3782</v>
      </c>
      <c r="E369" s="5" t="s">
        <v>4213</v>
      </c>
      <c r="F369" s="5" t="s">
        <v>4004</v>
      </c>
      <c r="G369" s="5" t="s">
        <v>3501</v>
      </c>
      <c r="H369" s="5"/>
      <c r="I369" s="5" t="s">
        <v>3448</v>
      </c>
      <c r="J369" s="5" t="s">
        <v>3783</v>
      </c>
      <c r="K369" s="5" t="s">
        <v>4213</v>
      </c>
      <c r="L369" s="5">
        <v>35</v>
      </c>
      <c r="M369" s="5">
        <v>1</v>
      </c>
      <c r="N369" s="5" t="s">
        <v>4005</v>
      </c>
      <c r="O369" s="5" t="s">
        <v>3502</v>
      </c>
      <c r="P369" s="5">
        <v>5</v>
      </c>
      <c r="Q369" s="5">
        <v>1</v>
      </c>
      <c r="R369" s="5"/>
      <c r="S369" s="5">
        <v>40</v>
      </c>
      <c r="T369" s="5">
        <v>40</v>
      </c>
      <c r="U369" s="5">
        <v>40</v>
      </c>
    </row>
    <row r="370" spans="1:21" x14ac:dyDescent="0.25">
      <c r="A370" s="5" t="s">
        <v>4250</v>
      </c>
      <c r="B370" s="5" t="s">
        <v>4251</v>
      </c>
      <c r="C370" s="5" t="s">
        <v>3548</v>
      </c>
      <c r="D370" s="5" t="s">
        <v>3782</v>
      </c>
      <c r="E370" s="5" t="s">
        <v>4252</v>
      </c>
      <c r="F370" s="5" t="s">
        <v>4004</v>
      </c>
      <c r="G370" s="5" t="s">
        <v>3501</v>
      </c>
      <c r="H370" s="5"/>
      <c r="I370" s="5" t="s">
        <v>3448</v>
      </c>
      <c r="J370" s="5" t="s">
        <v>3783</v>
      </c>
      <c r="K370" s="5" t="s">
        <v>4253</v>
      </c>
      <c r="L370" s="5">
        <v>24</v>
      </c>
      <c r="M370" s="5">
        <v>2</v>
      </c>
      <c r="N370" s="5" t="s">
        <v>4005</v>
      </c>
      <c r="O370" s="5" t="s">
        <v>3502</v>
      </c>
      <c r="P370" s="5">
        <v>2</v>
      </c>
      <c r="Q370" s="5">
        <v>1</v>
      </c>
      <c r="R370" s="5"/>
      <c r="S370" s="5">
        <v>52</v>
      </c>
      <c r="T370" s="5">
        <v>52</v>
      </c>
      <c r="U370" s="5">
        <v>52</v>
      </c>
    </row>
    <row r="371" spans="1:21" x14ac:dyDescent="0.25">
      <c r="A371" s="5" t="s">
        <v>6976</v>
      </c>
      <c r="B371" s="5" t="s">
        <v>4381</v>
      </c>
      <c r="C371" s="5" t="s">
        <v>3548</v>
      </c>
      <c r="D371" s="5" t="s">
        <v>3782</v>
      </c>
      <c r="E371" s="5" t="s">
        <v>4363</v>
      </c>
      <c r="F371" s="5" t="s">
        <v>3584</v>
      </c>
      <c r="G371" s="5" t="s">
        <v>3782</v>
      </c>
      <c r="H371" s="5"/>
      <c r="I371" s="5" t="s">
        <v>3448</v>
      </c>
      <c r="J371" s="5" t="s">
        <v>3783</v>
      </c>
      <c r="K371" s="5" t="s">
        <v>4363</v>
      </c>
      <c r="L371" s="5">
        <v>17</v>
      </c>
      <c r="M371" s="5">
        <v>1</v>
      </c>
      <c r="N371" s="5" t="s">
        <v>3585</v>
      </c>
      <c r="O371" s="5" t="s">
        <v>3827</v>
      </c>
      <c r="P371" s="5">
        <v>2</v>
      </c>
      <c r="Q371" s="5">
        <v>1</v>
      </c>
      <c r="R371" s="5"/>
      <c r="S371" s="5">
        <v>17</v>
      </c>
      <c r="T371" s="5">
        <v>17</v>
      </c>
      <c r="U371" s="5">
        <v>17</v>
      </c>
    </row>
    <row r="372" spans="1:21" x14ac:dyDescent="0.25">
      <c r="A372" s="5" t="s">
        <v>4257</v>
      </c>
      <c r="B372" s="5" t="s">
        <v>4258</v>
      </c>
      <c r="C372" s="5" t="s">
        <v>3548</v>
      </c>
      <c r="D372" s="5" t="s">
        <v>3782</v>
      </c>
      <c r="E372" s="5" t="s">
        <v>4252</v>
      </c>
      <c r="F372" s="5" t="s">
        <v>4004</v>
      </c>
      <c r="G372" s="5" t="s">
        <v>3501</v>
      </c>
      <c r="H372" s="5"/>
      <c r="I372" s="5" t="s">
        <v>3448</v>
      </c>
      <c r="J372" s="5" t="s">
        <v>3783</v>
      </c>
      <c r="K372" s="5" t="s">
        <v>4253</v>
      </c>
      <c r="L372" s="5">
        <v>24</v>
      </c>
      <c r="M372" s="5">
        <v>1</v>
      </c>
      <c r="N372" s="5" t="s">
        <v>4005</v>
      </c>
      <c r="O372" s="5" t="s">
        <v>3502</v>
      </c>
      <c r="P372" s="5">
        <v>2</v>
      </c>
      <c r="Q372" s="5">
        <v>1</v>
      </c>
      <c r="R372" s="5"/>
      <c r="S372" s="5">
        <v>27</v>
      </c>
      <c r="T372" s="5">
        <v>27</v>
      </c>
      <c r="U372" s="5">
        <v>27</v>
      </c>
    </row>
    <row r="373" spans="1:21" x14ac:dyDescent="0.25">
      <c r="A373" s="5" t="s">
        <v>4259</v>
      </c>
      <c r="B373" s="5" t="s">
        <v>4260</v>
      </c>
      <c r="C373" s="5" t="s">
        <v>3548</v>
      </c>
      <c r="D373" s="5" t="s">
        <v>3782</v>
      </c>
      <c r="E373" s="5" t="s">
        <v>4252</v>
      </c>
      <c r="F373" s="5" t="s">
        <v>4004</v>
      </c>
      <c r="G373" s="5" t="s">
        <v>3501</v>
      </c>
      <c r="H373" s="5"/>
      <c r="I373" s="5" t="s">
        <v>3448</v>
      </c>
      <c r="J373" s="5" t="s">
        <v>3783</v>
      </c>
      <c r="K373" s="5" t="s">
        <v>4253</v>
      </c>
      <c r="L373" s="5">
        <v>24</v>
      </c>
      <c r="M373" s="5">
        <v>3</v>
      </c>
      <c r="N373" s="5" t="s">
        <v>4005</v>
      </c>
      <c r="O373" s="5" t="s">
        <v>3502</v>
      </c>
      <c r="P373" s="5">
        <v>2</v>
      </c>
      <c r="Q373" s="5">
        <v>2</v>
      </c>
      <c r="R373" s="5"/>
      <c r="S373" s="5">
        <v>80</v>
      </c>
      <c r="T373" s="5">
        <v>80</v>
      </c>
      <c r="U373" s="5">
        <v>80</v>
      </c>
    </row>
    <row r="374" spans="1:21" x14ac:dyDescent="0.25">
      <c r="A374" s="5" t="s">
        <v>4261</v>
      </c>
      <c r="B374" s="5" t="s">
        <v>4262</v>
      </c>
      <c r="C374" s="5" t="s">
        <v>3548</v>
      </c>
      <c r="D374" s="5" t="s">
        <v>3782</v>
      </c>
      <c r="E374" s="5" t="s">
        <v>4252</v>
      </c>
      <c r="F374" s="5" t="s">
        <v>4004</v>
      </c>
      <c r="G374" s="5" t="s">
        <v>3501</v>
      </c>
      <c r="H374" s="5"/>
      <c r="I374" s="5" t="s">
        <v>3448</v>
      </c>
      <c r="J374" s="5" t="s">
        <v>3783</v>
      </c>
      <c r="K374" s="5" t="s">
        <v>4253</v>
      </c>
      <c r="L374" s="5">
        <v>35</v>
      </c>
      <c r="M374" s="5">
        <v>3</v>
      </c>
      <c r="N374" s="5" t="s">
        <v>4005</v>
      </c>
      <c r="O374" s="5" t="s">
        <v>3502</v>
      </c>
      <c r="P374" s="5">
        <v>5</v>
      </c>
      <c r="Q374" s="5">
        <v>2</v>
      </c>
      <c r="R374" s="5"/>
      <c r="S374" s="5">
        <v>119</v>
      </c>
      <c r="T374" s="5">
        <v>119</v>
      </c>
      <c r="U374" s="5">
        <v>119</v>
      </c>
    </row>
    <row r="375" spans="1:21" x14ac:dyDescent="0.25">
      <c r="A375" s="5" t="s">
        <v>4263</v>
      </c>
      <c r="B375" s="5" t="s">
        <v>4264</v>
      </c>
      <c r="C375" s="5" t="s">
        <v>3548</v>
      </c>
      <c r="D375" s="5" t="s">
        <v>3782</v>
      </c>
      <c r="E375" s="5" t="s">
        <v>4252</v>
      </c>
      <c r="F375" s="5" t="s">
        <v>4004</v>
      </c>
      <c r="G375" s="5" t="s">
        <v>3501</v>
      </c>
      <c r="H375" s="5"/>
      <c r="I375" s="5" t="s">
        <v>3448</v>
      </c>
      <c r="J375" s="5" t="s">
        <v>3783</v>
      </c>
      <c r="K375" s="5" t="s">
        <v>4253</v>
      </c>
      <c r="L375" s="5">
        <v>39</v>
      </c>
      <c r="M375" s="5">
        <v>2</v>
      </c>
      <c r="N375" s="5" t="s">
        <v>4005</v>
      </c>
      <c r="O375" s="5" t="s">
        <v>3502</v>
      </c>
      <c r="P375" s="5">
        <v>3</v>
      </c>
      <c r="Q375" s="5">
        <v>1</v>
      </c>
      <c r="R375" s="5"/>
      <c r="S375" s="5">
        <v>86</v>
      </c>
      <c r="T375" s="5">
        <v>86</v>
      </c>
      <c r="U375" s="5">
        <v>86</v>
      </c>
    </row>
    <row r="376" spans="1:21" x14ac:dyDescent="0.25">
      <c r="A376" s="5" t="s">
        <v>6977</v>
      </c>
      <c r="B376" s="5" t="s">
        <v>4393</v>
      </c>
      <c r="C376" s="5" t="s">
        <v>3548</v>
      </c>
      <c r="D376" s="5" t="s">
        <v>3782</v>
      </c>
      <c r="E376" s="5" t="s">
        <v>4363</v>
      </c>
      <c r="F376" s="5" t="s">
        <v>4390</v>
      </c>
      <c r="G376" s="5" t="s">
        <v>3782</v>
      </c>
      <c r="H376" s="5"/>
      <c r="I376" s="5" t="s">
        <v>3448</v>
      </c>
      <c r="J376" s="5" t="s">
        <v>3783</v>
      </c>
      <c r="K376" s="5" t="s">
        <v>4363</v>
      </c>
      <c r="L376" s="5">
        <v>17</v>
      </c>
      <c r="M376" s="5">
        <v>1</v>
      </c>
      <c r="N376" s="5" t="s">
        <v>4391</v>
      </c>
      <c r="O376" s="5" t="s">
        <v>3827</v>
      </c>
      <c r="P376" s="5">
        <v>2</v>
      </c>
      <c r="Q376" s="5">
        <v>1</v>
      </c>
      <c r="R376" s="5"/>
      <c r="S376" s="5">
        <v>15</v>
      </c>
      <c r="T376" s="5">
        <v>15</v>
      </c>
      <c r="U376" s="5">
        <v>15</v>
      </c>
    </row>
    <row r="377" spans="1:21" x14ac:dyDescent="0.25">
      <c r="A377" s="5" t="s">
        <v>4267</v>
      </c>
      <c r="B377" s="5" t="s">
        <v>4268</v>
      </c>
      <c r="C377" s="5" t="s">
        <v>3548</v>
      </c>
      <c r="D377" s="5" t="s">
        <v>3782</v>
      </c>
      <c r="E377" s="5" t="s">
        <v>4252</v>
      </c>
      <c r="F377" s="5" t="s">
        <v>4004</v>
      </c>
      <c r="G377" s="5" t="s">
        <v>3501</v>
      </c>
      <c r="H377" s="5"/>
      <c r="I377" s="5" t="s">
        <v>3448</v>
      </c>
      <c r="J377" s="5" t="s">
        <v>3783</v>
      </c>
      <c r="K377" s="5" t="s">
        <v>4253</v>
      </c>
      <c r="L377" s="5">
        <v>39</v>
      </c>
      <c r="M377" s="5">
        <v>3</v>
      </c>
      <c r="N377" s="5" t="s">
        <v>4005</v>
      </c>
      <c r="O377" s="5" t="s">
        <v>3502</v>
      </c>
      <c r="P377" s="5">
        <v>3</v>
      </c>
      <c r="Q377" s="5">
        <v>2</v>
      </c>
      <c r="R377" s="5"/>
      <c r="S377" s="5">
        <v>130</v>
      </c>
      <c r="T377" s="5">
        <v>130</v>
      </c>
      <c r="U377" s="5">
        <v>130</v>
      </c>
    </row>
    <row r="378" spans="1:21" x14ac:dyDescent="0.25">
      <c r="A378" s="5" t="s">
        <v>6978</v>
      </c>
      <c r="B378" s="5" t="s">
        <v>4399</v>
      </c>
      <c r="C378" s="5" t="s">
        <v>3548</v>
      </c>
      <c r="D378" s="5" t="s">
        <v>3782</v>
      </c>
      <c r="E378" s="5" t="s">
        <v>4363</v>
      </c>
      <c r="F378" s="5" t="s">
        <v>3584</v>
      </c>
      <c r="G378" s="5" t="s">
        <v>3782</v>
      </c>
      <c r="H378" s="5"/>
      <c r="I378" s="5" t="s">
        <v>3448</v>
      </c>
      <c r="J378" s="5" t="s">
        <v>3783</v>
      </c>
      <c r="K378" s="5" t="s">
        <v>4363</v>
      </c>
      <c r="L378" s="5">
        <v>17</v>
      </c>
      <c r="M378" s="5">
        <v>2</v>
      </c>
      <c r="N378" s="5" t="s">
        <v>3585</v>
      </c>
      <c r="O378" s="5" t="s">
        <v>3827</v>
      </c>
      <c r="P378" s="5">
        <v>2</v>
      </c>
      <c r="Q378" s="5">
        <v>1</v>
      </c>
      <c r="R378" s="5"/>
      <c r="S378" s="5">
        <v>29</v>
      </c>
      <c r="T378" s="5">
        <v>29</v>
      </c>
      <c r="U378" s="5">
        <v>29</v>
      </c>
    </row>
    <row r="379" spans="1:21" x14ac:dyDescent="0.25">
      <c r="A379" s="5" t="s">
        <v>4271</v>
      </c>
      <c r="B379" s="5" t="s">
        <v>4272</v>
      </c>
      <c r="C379" s="5" t="s">
        <v>3548</v>
      </c>
      <c r="D379" s="5" t="s">
        <v>3782</v>
      </c>
      <c r="E379" s="5" t="s">
        <v>4252</v>
      </c>
      <c r="F379" s="5" t="s">
        <v>4004</v>
      </c>
      <c r="G379" s="5" t="s">
        <v>3501</v>
      </c>
      <c r="H379" s="5"/>
      <c r="I379" s="5" t="s">
        <v>3448</v>
      </c>
      <c r="J379" s="5" t="s">
        <v>3783</v>
      </c>
      <c r="K379" s="5" t="s">
        <v>4253</v>
      </c>
      <c r="L379" s="5">
        <v>39</v>
      </c>
      <c r="M379" s="5">
        <v>1</v>
      </c>
      <c r="N379" s="5" t="s">
        <v>4005</v>
      </c>
      <c r="O379" s="5" t="s">
        <v>3502</v>
      </c>
      <c r="P379" s="5">
        <v>3</v>
      </c>
      <c r="Q379" s="5">
        <v>1</v>
      </c>
      <c r="R379" s="5"/>
      <c r="S379" s="5">
        <v>44</v>
      </c>
      <c r="T379" s="5">
        <v>44</v>
      </c>
      <c r="U379" s="5">
        <v>44</v>
      </c>
    </row>
    <row r="380" spans="1:21" x14ac:dyDescent="0.25">
      <c r="A380" s="5" t="s">
        <v>6979</v>
      </c>
      <c r="B380" s="5" t="s">
        <v>4405</v>
      </c>
      <c r="C380" s="5" t="s">
        <v>3548</v>
      </c>
      <c r="D380" s="5" t="s">
        <v>3782</v>
      </c>
      <c r="E380" s="5" t="s">
        <v>4363</v>
      </c>
      <c r="F380" s="5" t="s">
        <v>4390</v>
      </c>
      <c r="G380" s="5" t="s">
        <v>3782</v>
      </c>
      <c r="H380" s="5"/>
      <c r="I380" s="5" t="s">
        <v>3448</v>
      </c>
      <c r="J380" s="5" t="s">
        <v>3783</v>
      </c>
      <c r="K380" s="5" t="s">
        <v>4363</v>
      </c>
      <c r="L380" s="5">
        <v>17</v>
      </c>
      <c r="M380" s="5">
        <v>2</v>
      </c>
      <c r="N380" s="5" t="s">
        <v>4406</v>
      </c>
      <c r="O380" s="5" t="s">
        <v>3827</v>
      </c>
      <c r="P380" s="5">
        <v>2</v>
      </c>
      <c r="Q380" s="5">
        <v>1</v>
      </c>
      <c r="R380" s="5"/>
      <c r="S380" s="5">
        <v>29</v>
      </c>
      <c r="T380" s="5">
        <v>29</v>
      </c>
      <c r="U380" s="5">
        <v>29</v>
      </c>
    </row>
    <row r="381" spans="1:21" x14ac:dyDescent="0.25">
      <c r="A381" s="5" t="s">
        <v>4275</v>
      </c>
      <c r="B381" s="5" t="s">
        <v>4276</v>
      </c>
      <c r="C381" s="5" t="s">
        <v>3548</v>
      </c>
      <c r="D381" s="5" t="s">
        <v>3782</v>
      </c>
      <c r="E381" s="5" t="s">
        <v>4252</v>
      </c>
      <c r="F381" s="5" t="s">
        <v>4004</v>
      </c>
      <c r="G381" s="5" t="s">
        <v>3501</v>
      </c>
      <c r="H381" s="5"/>
      <c r="I381" s="5" t="s">
        <v>3448</v>
      </c>
      <c r="J381" s="5" t="s">
        <v>3783</v>
      </c>
      <c r="K381" s="5" t="s">
        <v>4253</v>
      </c>
      <c r="L381" s="5">
        <v>39</v>
      </c>
      <c r="M381" s="5">
        <v>4</v>
      </c>
      <c r="N381" s="5" t="s">
        <v>4005</v>
      </c>
      <c r="O381" s="5" t="s">
        <v>3502</v>
      </c>
      <c r="P381" s="5">
        <v>3</v>
      </c>
      <c r="Q381" s="5">
        <v>2</v>
      </c>
      <c r="R381" s="5"/>
      <c r="S381" s="5">
        <v>172</v>
      </c>
      <c r="T381" s="5">
        <v>172</v>
      </c>
      <c r="U381" s="5">
        <v>172</v>
      </c>
    </row>
    <row r="382" spans="1:21" x14ac:dyDescent="0.25">
      <c r="A382" s="5" t="s">
        <v>6980</v>
      </c>
      <c r="B382" s="5" t="s">
        <v>4412</v>
      </c>
      <c r="C382" s="5" t="s">
        <v>3548</v>
      </c>
      <c r="D382" s="5" t="s">
        <v>3782</v>
      </c>
      <c r="E382" s="5" t="s">
        <v>4363</v>
      </c>
      <c r="F382" s="5" t="s">
        <v>4004</v>
      </c>
      <c r="G382" s="5" t="s">
        <v>3782</v>
      </c>
      <c r="H382" s="5"/>
      <c r="I382" s="5" t="s">
        <v>3448</v>
      </c>
      <c r="J382" s="5" t="s">
        <v>3783</v>
      </c>
      <c r="K382" s="5" t="s">
        <v>4363</v>
      </c>
      <c r="L382" s="5">
        <v>17</v>
      </c>
      <c r="M382" s="5">
        <v>2</v>
      </c>
      <c r="N382" s="5" t="s">
        <v>4005</v>
      </c>
      <c r="O382" s="5" t="s">
        <v>3827</v>
      </c>
      <c r="P382" s="5">
        <v>2</v>
      </c>
      <c r="Q382" s="5">
        <v>1</v>
      </c>
      <c r="R382" s="5"/>
      <c r="S382" s="5">
        <v>28</v>
      </c>
      <c r="T382" s="5">
        <v>28</v>
      </c>
      <c r="U382" s="5">
        <v>28</v>
      </c>
    </row>
    <row r="383" spans="1:21" x14ac:dyDescent="0.25">
      <c r="A383" s="5" t="s">
        <v>4279</v>
      </c>
      <c r="B383" s="5" t="s">
        <v>4280</v>
      </c>
      <c r="C383" s="5" t="s">
        <v>3548</v>
      </c>
      <c r="D383" s="5" t="s">
        <v>3782</v>
      </c>
      <c r="E383" s="5" t="s">
        <v>4252</v>
      </c>
      <c r="F383" s="5" t="s">
        <v>4004</v>
      </c>
      <c r="G383" s="5" t="s">
        <v>3501</v>
      </c>
      <c r="H383" s="5"/>
      <c r="I383" s="5" t="s">
        <v>3448</v>
      </c>
      <c r="J383" s="5" t="s">
        <v>3783</v>
      </c>
      <c r="K383" s="5" t="s">
        <v>4253</v>
      </c>
      <c r="L383" s="5">
        <v>49</v>
      </c>
      <c r="M383" s="5">
        <v>10</v>
      </c>
      <c r="N383" s="5" t="s">
        <v>4005</v>
      </c>
      <c r="O383" s="5" t="s">
        <v>3502</v>
      </c>
      <c r="P383" s="5">
        <v>4</v>
      </c>
      <c r="Q383" s="5">
        <v>3</v>
      </c>
      <c r="R383" s="5"/>
      <c r="S383" s="5">
        <v>541</v>
      </c>
      <c r="T383" s="5">
        <v>541</v>
      </c>
      <c r="U383" s="5">
        <v>541</v>
      </c>
    </row>
    <row r="384" spans="1:21" x14ac:dyDescent="0.25">
      <c r="A384" s="5" t="s">
        <v>6981</v>
      </c>
      <c r="B384" s="5" t="s">
        <v>4438</v>
      </c>
      <c r="C384" s="5" t="s">
        <v>3548</v>
      </c>
      <c r="D384" s="5" t="s">
        <v>3782</v>
      </c>
      <c r="E384" s="5" t="s">
        <v>4363</v>
      </c>
      <c r="F384" s="5" t="s">
        <v>4004</v>
      </c>
      <c r="G384" s="5" t="s">
        <v>3782</v>
      </c>
      <c r="H384" s="5"/>
      <c r="I384" s="5" t="s">
        <v>3448</v>
      </c>
      <c r="J384" s="5" t="s">
        <v>3783</v>
      </c>
      <c r="K384" s="5" t="s">
        <v>4363</v>
      </c>
      <c r="L384" s="5">
        <v>17</v>
      </c>
      <c r="M384" s="5">
        <v>1</v>
      </c>
      <c r="N384" s="5" t="s">
        <v>4005</v>
      </c>
      <c r="O384" s="5" t="s">
        <v>3827</v>
      </c>
      <c r="P384" s="5">
        <v>2</v>
      </c>
      <c r="Q384" s="5">
        <v>1</v>
      </c>
      <c r="R384" s="5"/>
      <c r="S384" s="5">
        <v>15</v>
      </c>
      <c r="T384" s="5">
        <v>15</v>
      </c>
      <c r="U384" s="5">
        <v>15</v>
      </c>
    </row>
    <row r="385" spans="1:21" x14ac:dyDescent="0.25">
      <c r="A385" s="5" t="s">
        <v>4281</v>
      </c>
      <c r="B385" s="5" t="s">
        <v>4282</v>
      </c>
      <c r="C385" s="5" t="s">
        <v>3548</v>
      </c>
      <c r="D385" s="5" t="s">
        <v>3782</v>
      </c>
      <c r="E385" s="5" t="s">
        <v>4252</v>
      </c>
      <c r="F385" s="5" t="s">
        <v>4004</v>
      </c>
      <c r="G385" s="5" t="s">
        <v>3501</v>
      </c>
      <c r="H385" s="5"/>
      <c r="I385" s="5" t="s">
        <v>3448</v>
      </c>
      <c r="J385" s="5" t="s">
        <v>3783</v>
      </c>
      <c r="K385" s="5" t="s">
        <v>4253</v>
      </c>
      <c r="L385" s="5">
        <v>49</v>
      </c>
      <c r="M385" s="5">
        <v>12</v>
      </c>
      <c r="N385" s="5" t="s">
        <v>4005</v>
      </c>
      <c r="O385" s="5" t="s">
        <v>3502</v>
      </c>
      <c r="P385" s="5">
        <v>4</v>
      </c>
      <c r="Q385" s="5">
        <v>3</v>
      </c>
      <c r="R385" s="5"/>
      <c r="S385" s="5">
        <v>648</v>
      </c>
      <c r="T385" s="5">
        <v>648</v>
      </c>
      <c r="U385" s="5">
        <v>648</v>
      </c>
    </row>
    <row r="386" spans="1:21" x14ac:dyDescent="0.25">
      <c r="A386" s="5" t="s">
        <v>6982</v>
      </c>
      <c r="B386" s="5" t="s">
        <v>4450</v>
      </c>
      <c r="C386" s="5" t="s">
        <v>3548</v>
      </c>
      <c r="D386" s="5" t="s">
        <v>3782</v>
      </c>
      <c r="E386" s="5" t="s">
        <v>4363</v>
      </c>
      <c r="F386" s="5" t="s">
        <v>3584</v>
      </c>
      <c r="G386" s="5" t="s">
        <v>3782</v>
      </c>
      <c r="H386" s="5"/>
      <c r="I386" s="5" t="s">
        <v>3448</v>
      </c>
      <c r="J386" s="5" t="s">
        <v>3783</v>
      </c>
      <c r="K386" s="5" t="s">
        <v>4363</v>
      </c>
      <c r="L386" s="5">
        <v>17</v>
      </c>
      <c r="M386" s="5">
        <v>3</v>
      </c>
      <c r="N386" s="5" t="s">
        <v>3585</v>
      </c>
      <c r="O386" s="5" t="s">
        <v>3827</v>
      </c>
      <c r="P386" s="5">
        <v>2</v>
      </c>
      <c r="Q386" s="5">
        <v>1</v>
      </c>
      <c r="R386" s="5"/>
      <c r="S386" s="5">
        <v>43</v>
      </c>
      <c r="T386" s="5">
        <v>43</v>
      </c>
      <c r="U386" s="5">
        <v>43</v>
      </c>
    </row>
    <row r="387" spans="1:21" x14ac:dyDescent="0.25">
      <c r="A387" s="5" t="s">
        <v>4283</v>
      </c>
      <c r="B387" s="5" t="s">
        <v>4284</v>
      </c>
      <c r="C387" s="5" t="s">
        <v>3548</v>
      </c>
      <c r="D387" s="5" t="s">
        <v>3782</v>
      </c>
      <c r="E387" s="5" t="s">
        <v>4252</v>
      </c>
      <c r="F387" s="5" t="s">
        <v>4004</v>
      </c>
      <c r="G387" s="5" t="s">
        <v>3501</v>
      </c>
      <c r="H387" s="5"/>
      <c r="I387" s="5" t="s">
        <v>3448</v>
      </c>
      <c r="J387" s="5" t="s">
        <v>3783</v>
      </c>
      <c r="K387" s="5" t="s">
        <v>4253</v>
      </c>
      <c r="L387" s="5">
        <v>49</v>
      </c>
      <c r="M387" s="5">
        <v>2</v>
      </c>
      <c r="N387" s="5" t="s">
        <v>4005</v>
      </c>
      <c r="O387" s="5" t="s">
        <v>3502</v>
      </c>
      <c r="P387" s="5">
        <v>4</v>
      </c>
      <c r="Q387" s="5">
        <v>1</v>
      </c>
      <c r="R387" s="5"/>
      <c r="S387" s="5">
        <v>109</v>
      </c>
      <c r="T387" s="5">
        <v>109</v>
      </c>
      <c r="U387" s="5">
        <v>109</v>
      </c>
    </row>
    <row r="388" spans="1:21" x14ac:dyDescent="0.25">
      <c r="A388" s="5" t="s">
        <v>6983</v>
      </c>
      <c r="B388" s="5" t="s">
        <v>4454</v>
      </c>
      <c r="C388" s="5" t="s">
        <v>3548</v>
      </c>
      <c r="D388" s="5" t="s">
        <v>3782</v>
      </c>
      <c r="E388" s="5" t="s">
        <v>4363</v>
      </c>
      <c r="F388" s="5" t="s">
        <v>4390</v>
      </c>
      <c r="G388" s="5" t="s">
        <v>3782</v>
      </c>
      <c r="H388" s="5"/>
      <c r="I388" s="5" t="s">
        <v>3448</v>
      </c>
      <c r="J388" s="5" t="s">
        <v>3783</v>
      </c>
      <c r="K388" s="5" t="s">
        <v>4363</v>
      </c>
      <c r="L388" s="5">
        <v>17</v>
      </c>
      <c r="M388" s="5">
        <v>3</v>
      </c>
      <c r="N388" s="5" t="s">
        <v>4391</v>
      </c>
      <c r="O388" s="5" t="s">
        <v>3827</v>
      </c>
      <c r="P388" s="5">
        <v>2</v>
      </c>
      <c r="Q388" s="5">
        <v>1</v>
      </c>
      <c r="R388" s="5"/>
      <c r="S388" s="5">
        <v>40</v>
      </c>
      <c r="T388" s="5">
        <v>40</v>
      </c>
      <c r="U388" s="5">
        <v>40</v>
      </c>
    </row>
    <row r="389" spans="1:21" x14ac:dyDescent="0.25">
      <c r="A389" s="5" t="s">
        <v>4291</v>
      </c>
      <c r="B389" s="5" t="s">
        <v>4292</v>
      </c>
      <c r="C389" s="5" t="s">
        <v>3548</v>
      </c>
      <c r="D389" s="5" t="s">
        <v>3782</v>
      </c>
      <c r="E389" s="5" t="s">
        <v>4252</v>
      </c>
      <c r="F389" s="5" t="s">
        <v>4004</v>
      </c>
      <c r="G389" s="5" t="s">
        <v>3501</v>
      </c>
      <c r="H389" s="5"/>
      <c r="I389" s="5" t="s">
        <v>3448</v>
      </c>
      <c r="J389" s="5" t="s">
        <v>3783</v>
      </c>
      <c r="K389" s="5" t="s">
        <v>4253</v>
      </c>
      <c r="L389" s="5">
        <v>49</v>
      </c>
      <c r="M389" s="5">
        <v>3</v>
      </c>
      <c r="N389" s="5" t="s">
        <v>4005</v>
      </c>
      <c r="O389" s="5" t="s">
        <v>3502</v>
      </c>
      <c r="P389" s="5">
        <v>4</v>
      </c>
      <c r="Q389" s="5">
        <v>1</v>
      </c>
      <c r="R389" s="5"/>
      <c r="S389" s="5">
        <v>165</v>
      </c>
      <c r="T389" s="5">
        <v>165</v>
      </c>
      <c r="U389" s="5">
        <v>165</v>
      </c>
    </row>
    <row r="390" spans="1:21" x14ac:dyDescent="0.25">
      <c r="A390" s="5" t="s">
        <v>6984</v>
      </c>
      <c r="B390" s="5" t="s">
        <v>4460</v>
      </c>
      <c r="C390" s="5" t="s">
        <v>3548</v>
      </c>
      <c r="D390" s="5" t="s">
        <v>3782</v>
      </c>
      <c r="E390" s="5" t="s">
        <v>4363</v>
      </c>
      <c r="F390" s="5" t="s">
        <v>4004</v>
      </c>
      <c r="G390" s="5" t="s">
        <v>3782</v>
      </c>
      <c r="H390" s="5"/>
      <c r="I390" s="5" t="s">
        <v>3448</v>
      </c>
      <c r="J390" s="5" t="s">
        <v>3783</v>
      </c>
      <c r="K390" s="5" t="s">
        <v>4363</v>
      </c>
      <c r="L390" s="5">
        <v>17</v>
      </c>
      <c r="M390" s="5">
        <v>3</v>
      </c>
      <c r="N390" s="5" t="s">
        <v>4005</v>
      </c>
      <c r="O390" s="5" t="s">
        <v>3827</v>
      </c>
      <c r="P390" s="5">
        <v>2</v>
      </c>
      <c r="Q390" s="5">
        <v>1</v>
      </c>
      <c r="R390" s="5"/>
      <c r="S390" s="5">
        <v>41</v>
      </c>
      <c r="T390" s="5">
        <v>41</v>
      </c>
      <c r="U390" s="5">
        <v>41</v>
      </c>
    </row>
    <row r="391" spans="1:21" x14ac:dyDescent="0.25">
      <c r="A391" s="5" t="s">
        <v>4295</v>
      </c>
      <c r="B391" s="5" t="s">
        <v>4296</v>
      </c>
      <c r="C391" s="5" t="s">
        <v>3548</v>
      </c>
      <c r="D391" s="5" t="s">
        <v>3782</v>
      </c>
      <c r="E391" s="5" t="s">
        <v>4252</v>
      </c>
      <c r="F391" s="5" t="s">
        <v>4004</v>
      </c>
      <c r="G391" s="5" t="s">
        <v>3501</v>
      </c>
      <c r="H391" s="5"/>
      <c r="I391" s="5" t="s">
        <v>3448</v>
      </c>
      <c r="J391" s="5" t="s">
        <v>3783</v>
      </c>
      <c r="K391" s="5" t="s">
        <v>4253</v>
      </c>
      <c r="L391" s="5">
        <v>49</v>
      </c>
      <c r="M391" s="5">
        <v>4</v>
      </c>
      <c r="N391" s="5" t="s">
        <v>4005</v>
      </c>
      <c r="O391" s="5" t="s">
        <v>3502</v>
      </c>
      <c r="P391" s="5">
        <v>4</v>
      </c>
      <c r="Q391" s="5">
        <v>1</v>
      </c>
      <c r="R391" s="5"/>
      <c r="S391" s="5">
        <v>216</v>
      </c>
      <c r="T391" s="5">
        <v>216</v>
      </c>
      <c r="U391" s="5">
        <v>216</v>
      </c>
    </row>
    <row r="392" spans="1:21" x14ac:dyDescent="0.25">
      <c r="A392" s="5" t="s">
        <v>6985</v>
      </c>
      <c r="B392" s="5" t="s">
        <v>6986</v>
      </c>
      <c r="C392" s="5" t="s">
        <v>3548</v>
      </c>
      <c r="D392" s="5" t="s">
        <v>3782</v>
      </c>
      <c r="E392" s="5" t="s">
        <v>4252</v>
      </c>
      <c r="F392" s="5" t="s">
        <v>4004</v>
      </c>
      <c r="G392" s="5" t="s">
        <v>3501</v>
      </c>
      <c r="H392" s="5"/>
      <c r="I392" s="5" t="s">
        <v>3448</v>
      </c>
      <c r="J392" s="5" t="s">
        <v>3783</v>
      </c>
      <c r="K392" s="5" t="s">
        <v>4253</v>
      </c>
      <c r="L392" s="5">
        <v>49</v>
      </c>
      <c r="M392" s="5">
        <v>5</v>
      </c>
      <c r="N392" s="5" t="s">
        <v>4005</v>
      </c>
      <c r="O392" s="5" t="s">
        <v>3502</v>
      </c>
      <c r="P392" s="5">
        <v>4</v>
      </c>
      <c r="Q392" s="5">
        <v>2</v>
      </c>
      <c r="R392" s="5"/>
      <c r="S392" s="5">
        <v>272</v>
      </c>
      <c r="T392" s="5">
        <v>272</v>
      </c>
      <c r="U392" s="5">
        <v>272</v>
      </c>
    </row>
    <row r="393" spans="1:21" x14ac:dyDescent="0.25">
      <c r="A393" s="5" t="s">
        <v>6987</v>
      </c>
      <c r="B393" s="5" t="s">
        <v>4474</v>
      </c>
      <c r="C393" s="5" t="s">
        <v>3548</v>
      </c>
      <c r="D393" s="5" t="s">
        <v>3782</v>
      </c>
      <c r="E393" s="5" t="s">
        <v>4363</v>
      </c>
      <c r="F393" s="5" t="s">
        <v>3584</v>
      </c>
      <c r="G393" s="5" t="s">
        <v>3782</v>
      </c>
      <c r="H393" s="5"/>
      <c r="I393" s="5" t="s">
        <v>3448</v>
      </c>
      <c r="J393" s="5" t="s">
        <v>3783</v>
      </c>
      <c r="K393" s="5" t="s">
        <v>4363</v>
      </c>
      <c r="L393" s="5">
        <v>17</v>
      </c>
      <c r="M393" s="5">
        <v>4</v>
      </c>
      <c r="N393" s="5" t="s">
        <v>3585</v>
      </c>
      <c r="O393" s="5" t="s">
        <v>3827</v>
      </c>
      <c r="P393" s="5">
        <v>2</v>
      </c>
      <c r="Q393" s="5">
        <v>1</v>
      </c>
      <c r="R393" s="5"/>
      <c r="S393" s="5">
        <v>55</v>
      </c>
      <c r="T393" s="5">
        <v>55</v>
      </c>
      <c r="U393" s="5">
        <v>55</v>
      </c>
    </row>
    <row r="394" spans="1:21" x14ac:dyDescent="0.25">
      <c r="A394" s="5" t="s">
        <v>4299</v>
      </c>
      <c r="B394" s="5" t="s">
        <v>4300</v>
      </c>
      <c r="C394" s="5" t="s">
        <v>3548</v>
      </c>
      <c r="D394" s="5" t="s">
        <v>3782</v>
      </c>
      <c r="E394" s="5" t="s">
        <v>4252</v>
      </c>
      <c r="F394" s="5" t="s">
        <v>4004</v>
      </c>
      <c r="G394" s="5" t="s">
        <v>3501</v>
      </c>
      <c r="H394" s="5"/>
      <c r="I394" s="5" t="s">
        <v>3448</v>
      </c>
      <c r="J394" s="5" t="s">
        <v>3783</v>
      </c>
      <c r="K394" s="5" t="s">
        <v>4253</v>
      </c>
      <c r="L394" s="5">
        <v>49</v>
      </c>
      <c r="M394" s="5">
        <v>1</v>
      </c>
      <c r="N394" s="5" t="s">
        <v>4005</v>
      </c>
      <c r="O394" s="5" t="s">
        <v>3502</v>
      </c>
      <c r="P394" s="5">
        <v>4</v>
      </c>
      <c r="Q394" s="5">
        <v>1</v>
      </c>
      <c r="R394" s="5"/>
      <c r="S394" s="5">
        <v>58</v>
      </c>
      <c r="T394" s="5">
        <v>58</v>
      </c>
      <c r="U394" s="5">
        <v>58</v>
      </c>
    </row>
    <row r="395" spans="1:21" x14ac:dyDescent="0.25">
      <c r="A395" s="5" t="s">
        <v>6988</v>
      </c>
      <c r="B395" s="5" t="s">
        <v>4478</v>
      </c>
      <c r="C395" s="5" t="s">
        <v>3548</v>
      </c>
      <c r="D395" s="5" t="s">
        <v>3782</v>
      </c>
      <c r="E395" s="5" t="s">
        <v>4363</v>
      </c>
      <c r="F395" s="5" t="s">
        <v>4390</v>
      </c>
      <c r="G395" s="5" t="s">
        <v>3782</v>
      </c>
      <c r="H395" s="5"/>
      <c r="I395" s="5" t="s">
        <v>3448</v>
      </c>
      <c r="J395" s="5" t="s">
        <v>3783</v>
      </c>
      <c r="K395" s="5" t="s">
        <v>4363</v>
      </c>
      <c r="L395" s="5">
        <v>17</v>
      </c>
      <c r="M395" s="5">
        <v>4</v>
      </c>
      <c r="N395" s="5" t="s">
        <v>4391</v>
      </c>
      <c r="O395" s="5" t="s">
        <v>3827</v>
      </c>
      <c r="P395" s="5">
        <v>2</v>
      </c>
      <c r="Q395" s="5">
        <v>1</v>
      </c>
      <c r="R395" s="5"/>
      <c r="S395" s="5">
        <v>51</v>
      </c>
      <c r="T395" s="5">
        <v>51</v>
      </c>
      <c r="U395" s="5">
        <v>51</v>
      </c>
    </row>
    <row r="396" spans="1:21" x14ac:dyDescent="0.25">
      <c r="A396" s="5" t="s">
        <v>4315</v>
      </c>
      <c r="B396" s="5" t="s">
        <v>4316</v>
      </c>
      <c r="C396" s="5" t="s">
        <v>3548</v>
      </c>
      <c r="D396" s="5" t="s">
        <v>3782</v>
      </c>
      <c r="E396" s="5" t="s">
        <v>4252</v>
      </c>
      <c r="F396" s="5" t="s">
        <v>4004</v>
      </c>
      <c r="G396" s="5" t="s">
        <v>3501</v>
      </c>
      <c r="H396" s="5"/>
      <c r="I396" s="5" t="s">
        <v>3448</v>
      </c>
      <c r="J396" s="5" t="s">
        <v>3783</v>
      </c>
      <c r="K396" s="5" t="s">
        <v>4253</v>
      </c>
      <c r="L396" s="5">
        <v>49</v>
      </c>
      <c r="M396" s="5">
        <v>6</v>
      </c>
      <c r="N396" s="5" t="s">
        <v>4005</v>
      </c>
      <c r="O396" s="5" t="s">
        <v>3502</v>
      </c>
      <c r="P396" s="5">
        <v>4</v>
      </c>
      <c r="Q396" s="5">
        <v>2</v>
      </c>
      <c r="R396" s="5"/>
      <c r="S396" s="5">
        <v>330</v>
      </c>
      <c r="T396" s="5">
        <v>330</v>
      </c>
      <c r="U396" s="5">
        <v>330</v>
      </c>
    </row>
    <row r="397" spans="1:21" x14ac:dyDescent="0.25">
      <c r="A397" s="5" t="s">
        <v>6989</v>
      </c>
      <c r="B397" s="5" t="s">
        <v>4482</v>
      </c>
      <c r="C397" s="5" t="s">
        <v>3548</v>
      </c>
      <c r="D397" s="5" t="s">
        <v>3782</v>
      </c>
      <c r="E397" s="5" t="s">
        <v>4363</v>
      </c>
      <c r="F397" s="5" t="s">
        <v>4004</v>
      </c>
      <c r="G397" s="5" t="s">
        <v>3782</v>
      </c>
      <c r="H397" s="5"/>
      <c r="I397" s="5" t="s">
        <v>3448</v>
      </c>
      <c r="J397" s="5" t="s">
        <v>3783</v>
      </c>
      <c r="K397" s="5" t="s">
        <v>4363</v>
      </c>
      <c r="L397" s="5">
        <v>17</v>
      </c>
      <c r="M397" s="5">
        <v>4</v>
      </c>
      <c r="N397" s="5" t="s">
        <v>4005</v>
      </c>
      <c r="O397" s="5" t="s">
        <v>3827</v>
      </c>
      <c r="P397" s="5">
        <v>2</v>
      </c>
      <c r="Q397" s="5">
        <v>1</v>
      </c>
      <c r="R397" s="5"/>
      <c r="S397" s="5">
        <v>57</v>
      </c>
      <c r="T397" s="5">
        <v>57</v>
      </c>
      <c r="U397" s="5">
        <v>57</v>
      </c>
    </row>
    <row r="398" spans="1:21" x14ac:dyDescent="0.25">
      <c r="A398" s="5" t="s">
        <v>4317</v>
      </c>
      <c r="B398" s="5" t="s">
        <v>4318</v>
      </c>
      <c r="C398" s="5" t="s">
        <v>3548</v>
      </c>
      <c r="D398" s="5" t="s">
        <v>3782</v>
      </c>
      <c r="E398" s="5" t="s">
        <v>4252</v>
      </c>
      <c r="F398" s="5" t="s">
        <v>4004</v>
      </c>
      <c r="G398" s="5" t="s">
        <v>3501</v>
      </c>
      <c r="H398" s="5"/>
      <c r="I398" s="5" t="s">
        <v>3448</v>
      </c>
      <c r="J398" s="5" t="s">
        <v>3783</v>
      </c>
      <c r="K398" s="5" t="s">
        <v>4253</v>
      </c>
      <c r="L398" s="5">
        <v>49</v>
      </c>
      <c r="M398" s="5">
        <v>8</v>
      </c>
      <c r="N398" s="5" t="s">
        <v>4005</v>
      </c>
      <c r="O398" s="5" t="s">
        <v>3502</v>
      </c>
      <c r="P398" s="5">
        <v>4</v>
      </c>
      <c r="Q398" s="5">
        <v>2</v>
      </c>
      <c r="R398" s="5"/>
      <c r="S398" s="5">
        <v>432</v>
      </c>
      <c r="T398" s="5">
        <v>432</v>
      </c>
      <c r="U398" s="5">
        <v>432</v>
      </c>
    </row>
    <row r="399" spans="1:21" x14ac:dyDescent="0.25">
      <c r="A399" s="5" t="s">
        <v>6990</v>
      </c>
      <c r="B399" s="5" t="s">
        <v>4504</v>
      </c>
      <c r="C399" s="5" t="s">
        <v>3548</v>
      </c>
      <c r="D399" s="5" t="s">
        <v>3782</v>
      </c>
      <c r="E399" s="5" t="s">
        <v>4363</v>
      </c>
      <c r="F399" s="5" t="s">
        <v>3584</v>
      </c>
      <c r="G399" s="5" t="s">
        <v>3782</v>
      </c>
      <c r="H399" s="5"/>
      <c r="I399" s="5" t="s">
        <v>3448</v>
      </c>
      <c r="J399" s="5" t="s">
        <v>3783</v>
      </c>
      <c r="K399" s="5" t="s">
        <v>4363</v>
      </c>
      <c r="L399" s="5">
        <v>25</v>
      </c>
      <c r="M399" s="5">
        <v>2</v>
      </c>
      <c r="N399" s="5" t="s">
        <v>3585</v>
      </c>
      <c r="O399" s="5" t="s">
        <v>3827</v>
      </c>
      <c r="P399" s="5">
        <v>3</v>
      </c>
      <c r="Q399" s="5">
        <v>2</v>
      </c>
      <c r="R399" s="5"/>
      <c r="S399" s="5">
        <v>54</v>
      </c>
      <c r="T399" s="5">
        <v>54</v>
      </c>
      <c r="U399" s="5">
        <v>54</v>
      </c>
    </row>
    <row r="400" spans="1:21" x14ac:dyDescent="0.25">
      <c r="A400" s="5" t="s">
        <v>4319</v>
      </c>
      <c r="B400" s="5" t="s">
        <v>4320</v>
      </c>
      <c r="C400" s="5" t="s">
        <v>3548</v>
      </c>
      <c r="D400" s="5" t="s">
        <v>3782</v>
      </c>
      <c r="E400" s="5" t="s">
        <v>4252</v>
      </c>
      <c r="F400" s="5" t="s">
        <v>4004</v>
      </c>
      <c r="G400" s="5" t="s">
        <v>3501</v>
      </c>
      <c r="H400" s="5"/>
      <c r="I400" s="5" t="s">
        <v>3448</v>
      </c>
      <c r="J400" s="5" t="s">
        <v>3783</v>
      </c>
      <c r="K400" s="5" t="s">
        <v>4253</v>
      </c>
      <c r="L400" s="5">
        <v>51</v>
      </c>
      <c r="M400" s="5">
        <v>10</v>
      </c>
      <c r="N400" s="5" t="s">
        <v>4005</v>
      </c>
      <c r="O400" s="5" t="s">
        <v>3502</v>
      </c>
      <c r="P400" s="5">
        <v>4</v>
      </c>
      <c r="Q400" s="5">
        <v>3</v>
      </c>
      <c r="R400" s="5"/>
      <c r="S400" s="5">
        <v>543</v>
      </c>
      <c r="T400" s="5">
        <v>543</v>
      </c>
      <c r="U400" s="5">
        <v>543</v>
      </c>
    </row>
    <row r="401" spans="1:21" x14ac:dyDescent="0.25">
      <c r="A401" s="5" t="s">
        <v>4321</v>
      </c>
      <c r="B401" s="5" t="s">
        <v>4322</v>
      </c>
      <c r="C401" s="5" t="s">
        <v>3548</v>
      </c>
      <c r="D401" s="5" t="s">
        <v>3782</v>
      </c>
      <c r="E401" s="5" t="s">
        <v>4252</v>
      </c>
      <c r="F401" s="5" t="s">
        <v>4004</v>
      </c>
      <c r="G401" s="5" t="s">
        <v>3501</v>
      </c>
      <c r="H401" s="5"/>
      <c r="I401" s="5" t="s">
        <v>3448</v>
      </c>
      <c r="J401" s="5" t="s">
        <v>3783</v>
      </c>
      <c r="K401" s="5" t="s">
        <v>4253</v>
      </c>
      <c r="L401" s="5">
        <v>51</v>
      </c>
      <c r="M401" s="5">
        <v>12</v>
      </c>
      <c r="N401" s="5" t="s">
        <v>4005</v>
      </c>
      <c r="O401" s="5" t="s">
        <v>3502</v>
      </c>
      <c r="P401" s="5">
        <v>4</v>
      </c>
      <c r="Q401" s="5">
        <v>3</v>
      </c>
      <c r="R401" s="5"/>
      <c r="S401" s="5">
        <v>648</v>
      </c>
      <c r="T401" s="5">
        <v>648</v>
      </c>
      <c r="U401" s="5">
        <v>648</v>
      </c>
    </row>
    <row r="402" spans="1:21" x14ac:dyDescent="0.25">
      <c r="A402" s="5" t="s">
        <v>4323</v>
      </c>
      <c r="B402" s="5" t="s">
        <v>4324</v>
      </c>
      <c r="C402" s="5" t="s">
        <v>3548</v>
      </c>
      <c r="D402" s="5" t="s">
        <v>3782</v>
      </c>
      <c r="E402" s="5" t="s">
        <v>4252</v>
      </c>
      <c r="F402" s="5" t="s">
        <v>4004</v>
      </c>
      <c r="G402" s="5" t="s">
        <v>3501</v>
      </c>
      <c r="H402" s="5"/>
      <c r="I402" s="5" t="s">
        <v>3448</v>
      </c>
      <c r="J402" s="5" t="s">
        <v>3783</v>
      </c>
      <c r="K402" s="5" t="s">
        <v>4253</v>
      </c>
      <c r="L402" s="5">
        <v>51</v>
      </c>
      <c r="M402" s="5">
        <v>2</v>
      </c>
      <c r="N402" s="5" t="s">
        <v>4005</v>
      </c>
      <c r="O402" s="5" t="s">
        <v>3502</v>
      </c>
      <c r="P402" s="5">
        <v>4</v>
      </c>
      <c r="Q402" s="5">
        <v>1</v>
      </c>
      <c r="R402" s="5"/>
      <c r="S402" s="5">
        <v>111</v>
      </c>
      <c r="T402" s="5">
        <v>111</v>
      </c>
      <c r="U402" s="5">
        <v>111</v>
      </c>
    </row>
    <row r="403" spans="1:21" x14ac:dyDescent="0.25">
      <c r="A403" s="5" t="s">
        <v>4327</v>
      </c>
      <c r="B403" s="5" t="s">
        <v>4328</v>
      </c>
      <c r="C403" s="5" t="s">
        <v>3548</v>
      </c>
      <c r="D403" s="5" t="s">
        <v>3782</v>
      </c>
      <c r="E403" s="5" t="s">
        <v>4252</v>
      </c>
      <c r="F403" s="5" t="s">
        <v>4004</v>
      </c>
      <c r="G403" s="5" t="s">
        <v>3501</v>
      </c>
      <c r="H403" s="5"/>
      <c r="I403" s="5" t="s">
        <v>3448</v>
      </c>
      <c r="J403" s="5" t="s">
        <v>3783</v>
      </c>
      <c r="K403" s="5" t="s">
        <v>4253</v>
      </c>
      <c r="L403" s="5">
        <v>51</v>
      </c>
      <c r="M403" s="5">
        <v>3</v>
      </c>
      <c r="N403" s="5" t="s">
        <v>4005</v>
      </c>
      <c r="O403" s="5" t="s">
        <v>3502</v>
      </c>
      <c r="P403" s="5">
        <v>4</v>
      </c>
      <c r="Q403" s="5">
        <v>1</v>
      </c>
      <c r="R403" s="5"/>
      <c r="S403" s="5">
        <v>174</v>
      </c>
      <c r="T403" s="5">
        <v>174</v>
      </c>
      <c r="U403" s="5">
        <v>174</v>
      </c>
    </row>
    <row r="404" spans="1:21" x14ac:dyDescent="0.25">
      <c r="A404" s="5" t="s">
        <v>4329</v>
      </c>
      <c r="B404" s="5" t="s">
        <v>4330</v>
      </c>
      <c r="C404" s="5" t="s">
        <v>3548</v>
      </c>
      <c r="D404" s="5" t="s">
        <v>3782</v>
      </c>
      <c r="E404" s="5" t="s">
        <v>4252</v>
      </c>
      <c r="F404" s="5" t="s">
        <v>4004</v>
      </c>
      <c r="G404" s="5" t="s">
        <v>3501</v>
      </c>
      <c r="H404" s="5"/>
      <c r="I404" s="5" t="s">
        <v>3448</v>
      </c>
      <c r="J404" s="5" t="s">
        <v>3783</v>
      </c>
      <c r="K404" s="5" t="s">
        <v>4253</v>
      </c>
      <c r="L404" s="5">
        <v>51</v>
      </c>
      <c r="M404" s="5">
        <v>4</v>
      </c>
      <c r="N404" s="5" t="s">
        <v>4005</v>
      </c>
      <c r="O404" s="5" t="s">
        <v>3502</v>
      </c>
      <c r="P404" s="5">
        <v>4</v>
      </c>
      <c r="Q404" s="5">
        <v>1</v>
      </c>
      <c r="R404" s="5"/>
      <c r="S404" s="5">
        <v>216</v>
      </c>
      <c r="T404" s="5">
        <v>216</v>
      </c>
      <c r="U404" s="5">
        <v>216</v>
      </c>
    </row>
    <row r="405" spans="1:21" x14ac:dyDescent="0.25">
      <c r="A405" s="5" t="s">
        <v>6991</v>
      </c>
      <c r="B405" s="5" t="s">
        <v>4512</v>
      </c>
      <c r="C405" s="5" t="s">
        <v>3548</v>
      </c>
      <c r="D405" s="5" t="s">
        <v>3782</v>
      </c>
      <c r="E405" s="5" t="s">
        <v>4363</v>
      </c>
      <c r="F405" s="5" t="s">
        <v>3584</v>
      </c>
      <c r="G405" s="5" t="s">
        <v>3782</v>
      </c>
      <c r="H405" s="5"/>
      <c r="I405" s="5" t="s">
        <v>3448</v>
      </c>
      <c r="J405" s="5" t="s">
        <v>3783</v>
      </c>
      <c r="K405" s="5" t="s">
        <v>4363</v>
      </c>
      <c r="L405" s="5">
        <v>25</v>
      </c>
      <c r="M405" s="5">
        <v>2</v>
      </c>
      <c r="N405" s="5" t="s">
        <v>3585</v>
      </c>
      <c r="O405" s="5" t="s">
        <v>3827</v>
      </c>
      <c r="P405" s="5">
        <v>3</v>
      </c>
      <c r="Q405" s="5">
        <v>1</v>
      </c>
      <c r="R405" s="5"/>
      <c r="S405" s="5">
        <v>46</v>
      </c>
      <c r="T405" s="5">
        <v>46</v>
      </c>
      <c r="U405" s="5">
        <v>46</v>
      </c>
    </row>
    <row r="406" spans="1:21" x14ac:dyDescent="0.25">
      <c r="A406" s="5" t="s">
        <v>6992</v>
      </c>
      <c r="B406" s="5" t="s">
        <v>6993</v>
      </c>
      <c r="C406" s="5" t="s">
        <v>3548</v>
      </c>
      <c r="D406" s="5" t="s">
        <v>3782</v>
      </c>
      <c r="E406" s="5" t="s">
        <v>4252</v>
      </c>
      <c r="F406" s="5" t="s">
        <v>4004</v>
      </c>
      <c r="G406" s="5" t="s">
        <v>3501</v>
      </c>
      <c r="H406" s="5"/>
      <c r="I406" s="5" t="s">
        <v>3448</v>
      </c>
      <c r="J406" s="5" t="s">
        <v>3783</v>
      </c>
      <c r="K406" s="5" t="s">
        <v>4253</v>
      </c>
      <c r="L406" s="5">
        <v>51</v>
      </c>
      <c r="M406" s="5">
        <v>5</v>
      </c>
      <c r="N406" s="5" t="s">
        <v>4005</v>
      </c>
      <c r="O406" s="5" t="s">
        <v>3502</v>
      </c>
      <c r="P406" s="5">
        <v>4</v>
      </c>
      <c r="Q406" s="5">
        <v>2</v>
      </c>
      <c r="R406" s="5"/>
      <c r="S406" s="5">
        <v>278</v>
      </c>
      <c r="T406" s="5">
        <v>278</v>
      </c>
      <c r="U406" s="5">
        <v>278</v>
      </c>
    </row>
    <row r="407" spans="1:21" x14ac:dyDescent="0.25">
      <c r="A407" s="5" t="s">
        <v>4339</v>
      </c>
      <c r="B407" s="5" t="s">
        <v>4340</v>
      </c>
      <c r="C407" s="5" t="s">
        <v>3548</v>
      </c>
      <c r="D407" s="5" t="s">
        <v>3782</v>
      </c>
      <c r="E407" s="5" t="s">
        <v>4252</v>
      </c>
      <c r="F407" s="5" t="s">
        <v>4004</v>
      </c>
      <c r="G407" s="5" t="s">
        <v>3501</v>
      </c>
      <c r="H407" s="5"/>
      <c r="I407" s="5" t="s">
        <v>3448</v>
      </c>
      <c r="J407" s="5" t="s">
        <v>3783</v>
      </c>
      <c r="K407" s="5" t="s">
        <v>4253</v>
      </c>
      <c r="L407" s="5">
        <v>51</v>
      </c>
      <c r="M407" s="5">
        <v>6</v>
      </c>
      <c r="N407" s="5" t="s">
        <v>4005</v>
      </c>
      <c r="O407" s="5" t="s">
        <v>3502</v>
      </c>
      <c r="P407" s="5">
        <v>4</v>
      </c>
      <c r="Q407" s="5">
        <v>2</v>
      </c>
      <c r="R407" s="5"/>
      <c r="S407" s="5">
        <v>348</v>
      </c>
      <c r="T407" s="5">
        <v>348</v>
      </c>
      <c r="U407" s="5">
        <v>348</v>
      </c>
    </row>
    <row r="408" spans="1:21" x14ac:dyDescent="0.25">
      <c r="A408" s="5" t="s">
        <v>4341</v>
      </c>
      <c r="B408" s="5" t="s">
        <v>4342</v>
      </c>
      <c r="C408" s="5" t="s">
        <v>3548</v>
      </c>
      <c r="D408" s="5" t="s">
        <v>3782</v>
      </c>
      <c r="E408" s="5" t="s">
        <v>4252</v>
      </c>
      <c r="F408" s="5" t="s">
        <v>4004</v>
      </c>
      <c r="G408" s="5" t="s">
        <v>3501</v>
      </c>
      <c r="H408" s="5"/>
      <c r="I408" s="5" t="s">
        <v>3448</v>
      </c>
      <c r="J408" s="5" t="s">
        <v>3783</v>
      </c>
      <c r="K408" s="5" t="s">
        <v>4253</v>
      </c>
      <c r="L408" s="5">
        <v>51</v>
      </c>
      <c r="M408" s="5">
        <v>8</v>
      </c>
      <c r="N408" s="5" t="s">
        <v>4005</v>
      </c>
      <c r="O408" s="5" t="s">
        <v>3502</v>
      </c>
      <c r="P408" s="5">
        <v>4</v>
      </c>
      <c r="Q408" s="5">
        <v>2</v>
      </c>
      <c r="R408" s="5"/>
      <c r="S408" s="5">
        <v>432</v>
      </c>
      <c r="T408" s="5">
        <v>432</v>
      </c>
      <c r="U408" s="5">
        <v>432</v>
      </c>
    </row>
    <row r="409" spans="1:21" x14ac:dyDescent="0.25">
      <c r="A409" s="5" t="s">
        <v>6994</v>
      </c>
      <c r="B409" s="5" t="s">
        <v>6995</v>
      </c>
      <c r="C409" s="5" t="s">
        <v>3548</v>
      </c>
      <c r="D409" s="5" t="s">
        <v>3782</v>
      </c>
      <c r="E409" s="5" t="s">
        <v>4252</v>
      </c>
      <c r="F409" s="5" t="s">
        <v>4004</v>
      </c>
      <c r="G409" s="5" t="s">
        <v>3501</v>
      </c>
      <c r="H409" s="5"/>
      <c r="I409" s="5" t="s">
        <v>3448</v>
      </c>
      <c r="J409" s="5" t="s">
        <v>3783</v>
      </c>
      <c r="K409" s="5" t="s">
        <v>4253</v>
      </c>
      <c r="L409" s="5">
        <v>51</v>
      </c>
      <c r="M409" s="5">
        <v>10</v>
      </c>
      <c r="N409" s="5" t="s">
        <v>4005</v>
      </c>
      <c r="O409" s="5" t="s">
        <v>3502</v>
      </c>
      <c r="P409" s="5">
        <v>4</v>
      </c>
      <c r="Q409" s="5">
        <v>2</v>
      </c>
      <c r="R409" s="5"/>
      <c r="S409" s="5">
        <v>432</v>
      </c>
      <c r="T409" s="5">
        <v>432</v>
      </c>
      <c r="U409" s="5">
        <v>432</v>
      </c>
    </row>
    <row r="410" spans="1:21" x14ac:dyDescent="0.25">
      <c r="A410" s="5" t="s">
        <v>4343</v>
      </c>
      <c r="B410" s="5" t="s">
        <v>4344</v>
      </c>
      <c r="C410" s="5" t="s">
        <v>3548</v>
      </c>
      <c r="D410" s="5" t="s">
        <v>3782</v>
      </c>
      <c r="E410" s="5" t="s">
        <v>4252</v>
      </c>
      <c r="F410" s="5" t="s">
        <v>4004</v>
      </c>
      <c r="G410" s="5" t="s">
        <v>3501</v>
      </c>
      <c r="H410" s="5"/>
      <c r="I410" s="5" t="s">
        <v>3448</v>
      </c>
      <c r="J410" s="5" t="s">
        <v>3783</v>
      </c>
      <c r="K410" s="5" t="s">
        <v>4253</v>
      </c>
      <c r="L410" s="5">
        <v>54</v>
      </c>
      <c r="M410" s="5">
        <v>2</v>
      </c>
      <c r="N410" s="5" t="s">
        <v>4005</v>
      </c>
      <c r="O410" s="5" t="s">
        <v>3502</v>
      </c>
      <c r="P410" s="5">
        <v>4</v>
      </c>
      <c r="Q410" s="5">
        <v>1</v>
      </c>
      <c r="R410" s="5"/>
      <c r="S410" s="5">
        <v>117</v>
      </c>
      <c r="T410" s="5">
        <v>117</v>
      </c>
      <c r="U410" s="5">
        <v>117</v>
      </c>
    </row>
    <row r="411" spans="1:21" x14ac:dyDescent="0.25">
      <c r="A411" s="5" t="s">
        <v>4345</v>
      </c>
      <c r="B411" s="5" t="s">
        <v>4346</v>
      </c>
      <c r="C411" s="5" t="s">
        <v>3548</v>
      </c>
      <c r="D411" s="5" t="s">
        <v>3782</v>
      </c>
      <c r="E411" s="5" t="s">
        <v>4252</v>
      </c>
      <c r="F411" s="5" t="s">
        <v>4004</v>
      </c>
      <c r="G411" s="5" t="s">
        <v>3501</v>
      </c>
      <c r="H411" s="5"/>
      <c r="I411" s="5" t="s">
        <v>3448</v>
      </c>
      <c r="J411" s="5" t="s">
        <v>3783</v>
      </c>
      <c r="K411" s="5" t="s">
        <v>4253</v>
      </c>
      <c r="L411" s="5">
        <v>54</v>
      </c>
      <c r="M411" s="5">
        <v>3</v>
      </c>
      <c r="N411" s="5" t="s">
        <v>4005</v>
      </c>
      <c r="O411" s="5" t="s">
        <v>3502</v>
      </c>
      <c r="P411" s="5">
        <v>4</v>
      </c>
      <c r="Q411" s="5">
        <v>2</v>
      </c>
      <c r="R411" s="5"/>
      <c r="S411" s="5">
        <v>179</v>
      </c>
      <c r="T411" s="5">
        <v>179</v>
      </c>
      <c r="U411" s="5">
        <v>179</v>
      </c>
    </row>
    <row r="412" spans="1:21" x14ac:dyDescent="0.25">
      <c r="A412" s="5" t="s">
        <v>4347</v>
      </c>
      <c r="B412" s="5" t="s">
        <v>4348</v>
      </c>
      <c r="C412" s="5" t="s">
        <v>3548</v>
      </c>
      <c r="D412" s="5" t="s">
        <v>3782</v>
      </c>
      <c r="E412" s="5" t="s">
        <v>4252</v>
      </c>
      <c r="F412" s="5" t="s">
        <v>4004</v>
      </c>
      <c r="G412" s="5" t="s">
        <v>3501</v>
      </c>
      <c r="H412" s="5"/>
      <c r="I412" s="5" t="s">
        <v>3448</v>
      </c>
      <c r="J412" s="5" t="s">
        <v>3783</v>
      </c>
      <c r="K412" s="5" t="s">
        <v>4253</v>
      </c>
      <c r="L412" s="5">
        <v>54</v>
      </c>
      <c r="M412" s="5">
        <v>4</v>
      </c>
      <c r="N412" s="5" t="s">
        <v>4005</v>
      </c>
      <c r="O412" s="5" t="s">
        <v>3502</v>
      </c>
      <c r="P412" s="5">
        <v>4</v>
      </c>
      <c r="Q412" s="5">
        <v>2</v>
      </c>
      <c r="R412" s="5"/>
      <c r="S412" s="5">
        <v>234</v>
      </c>
      <c r="T412" s="5">
        <v>234</v>
      </c>
      <c r="U412" s="5">
        <v>234</v>
      </c>
    </row>
    <row r="413" spans="1:21" x14ac:dyDescent="0.25">
      <c r="A413" s="5" t="s">
        <v>6996</v>
      </c>
      <c r="B413" s="5" t="s">
        <v>6997</v>
      </c>
      <c r="C413" s="5" t="s">
        <v>3548</v>
      </c>
      <c r="D413" s="5" t="s">
        <v>3782</v>
      </c>
      <c r="E413" s="5" t="s">
        <v>4252</v>
      </c>
      <c r="F413" s="5" t="s">
        <v>4004</v>
      </c>
      <c r="G413" s="5" t="s">
        <v>3501</v>
      </c>
      <c r="H413" s="5"/>
      <c r="I413" s="5" t="s">
        <v>3448</v>
      </c>
      <c r="J413" s="5" t="s">
        <v>3783</v>
      </c>
      <c r="K413" s="5" t="s">
        <v>4253</v>
      </c>
      <c r="L413" s="5">
        <v>54</v>
      </c>
      <c r="M413" s="5">
        <v>10</v>
      </c>
      <c r="N413" s="5" t="s">
        <v>4005</v>
      </c>
      <c r="O413" s="5" t="s">
        <v>3502</v>
      </c>
      <c r="P413" s="5">
        <v>4</v>
      </c>
      <c r="Q413" s="5">
        <v>3</v>
      </c>
      <c r="R413" s="5"/>
      <c r="S413" s="5">
        <v>572</v>
      </c>
      <c r="T413" s="5">
        <v>572</v>
      </c>
      <c r="U413" s="5">
        <v>572</v>
      </c>
    </row>
    <row r="414" spans="1:21" x14ac:dyDescent="0.25">
      <c r="A414" s="5" t="s">
        <v>6998</v>
      </c>
      <c r="B414" s="5" t="s">
        <v>6999</v>
      </c>
      <c r="C414" s="5" t="s">
        <v>3548</v>
      </c>
      <c r="D414" s="5" t="s">
        <v>3782</v>
      </c>
      <c r="E414" s="5" t="s">
        <v>4252</v>
      </c>
      <c r="F414" s="5" t="s">
        <v>4004</v>
      </c>
      <c r="G414" s="5" t="s">
        <v>3501</v>
      </c>
      <c r="H414" s="5"/>
      <c r="I414" s="5" t="s">
        <v>3448</v>
      </c>
      <c r="J414" s="5" t="s">
        <v>3783</v>
      </c>
      <c r="K414" s="5" t="s">
        <v>4253</v>
      </c>
      <c r="L414" s="5">
        <v>54</v>
      </c>
      <c r="M414" s="5">
        <v>8</v>
      </c>
      <c r="N414" s="5" t="s">
        <v>4005</v>
      </c>
      <c r="O414" s="5" t="s">
        <v>3502</v>
      </c>
      <c r="P414" s="5">
        <v>4</v>
      </c>
      <c r="Q414" s="5">
        <v>2</v>
      </c>
      <c r="R414" s="5"/>
      <c r="S414" s="5">
        <v>458</v>
      </c>
      <c r="T414" s="5">
        <v>458</v>
      </c>
      <c r="U414" s="5">
        <v>458</v>
      </c>
    </row>
    <row r="415" spans="1:21" x14ac:dyDescent="0.25">
      <c r="A415" s="5" t="s">
        <v>7000</v>
      </c>
      <c r="B415" s="5" t="s">
        <v>7001</v>
      </c>
      <c r="C415" s="5" t="s">
        <v>3548</v>
      </c>
      <c r="D415" s="5" t="s">
        <v>3782</v>
      </c>
      <c r="E415" s="5" t="s">
        <v>4252</v>
      </c>
      <c r="F415" s="5" t="s">
        <v>4004</v>
      </c>
      <c r="G415" s="5" t="s">
        <v>3501</v>
      </c>
      <c r="H415" s="5"/>
      <c r="I415" s="5" t="s">
        <v>3448</v>
      </c>
      <c r="J415" s="5" t="s">
        <v>3783</v>
      </c>
      <c r="K415" s="5" t="s">
        <v>4253</v>
      </c>
      <c r="L415" s="5">
        <v>54</v>
      </c>
      <c r="M415" s="5">
        <v>6</v>
      </c>
      <c r="N415" s="5" t="s">
        <v>4005</v>
      </c>
      <c r="O415" s="5" t="s">
        <v>3502</v>
      </c>
      <c r="P415" s="5">
        <v>4</v>
      </c>
      <c r="Q415" s="5">
        <v>2</v>
      </c>
      <c r="R415" s="5"/>
      <c r="S415" s="5">
        <v>343</v>
      </c>
      <c r="T415" s="5">
        <v>343</v>
      </c>
      <c r="U415" s="5">
        <v>343</v>
      </c>
    </row>
    <row r="416" spans="1:21" x14ac:dyDescent="0.25">
      <c r="A416" s="5" t="s">
        <v>4349</v>
      </c>
      <c r="B416" s="5" t="s">
        <v>4350</v>
      </c>
      <c r="C416" s="5" t="s">
        <v>3548</v>
      </c>
      <c r="D416" s="5" t="s">
        <v>3782</v>
      </c>
      <c r="E416" s="5" t="s">
        <v>4252</v>
      </c>
      <c r="F416" s="5" t="s">
        <v>4004</v>
      </c>
      <c r="G416" s="5" t="s">
        <v>3501</v>
      </c>
      <c r="H416" s="5"/>
      <c r="I416" s="5" t="s">
        <v>3448</v>
      </c>
      <c r="J416" s="5" t="s">
        <v>3783</v>
      </c>
      <c r="K416" s="5" t="s">
        <v>4253</v>
      </c>
      <c r="L416" s="5">
        <v>54</v>
      </c>
      <c r="M416" s="5">
        <v>4</v>
      </c>
      <c r="N416" s="5" t="s">
        <v>4005</v>
      </c>
      <c r="O416" s="5" t="s">
        <v>3502</v>
      </c>
      <c r="P416" s="5">
        <v>4</v>
      </c>
      <c r="Q416" s="5">
        <v>1</v>
      </c>
      <c r="R416" s="5"/>
      <c r="S416" s="5">
        <v>229</v>
      </c>
      <c r="T416" s="5">
        <v>229</v>
      </c>
      <c r="U416" s="5">
        <v>229</v>
      </c>
    </row>
    <row r="417" spans="1:21" x14ac:dyDescent="0.25">
      <c r="A417" s="5" t="s">
        <v>4351</v>
      </c>
      <c r="B417" s="5" t="s">
        <v>4352</v>
      </c>
      <c r="C417" s="5" t="s">
        <v>3548</v>
      </c>
      <c r="D417" s="5" t="s">
        <v>3782</v>
      </c>
      <c r="E417" s="5" t="s">
        <v>4252</v>
      </c>
      <c r="F417" s="5" t="s">
        <v>4004</v>
      </c>
      <c r="G417" s="5" t="s">
        <v>3501</v>
      </c>
      <c r="H417" s="5"/>
      <c r="I417" s="5" t="s">
        <v>3448</v>
      </c>
      <c r="J417" s="5" t="s">
        <v>3783</v>
      </c>
      <c r="K417" s="5" t="s">
        <v>4253</v>
      </c>
      <c r="L417" s="5">
        <v>54</v>
      </c>
      <c r="M417" s="5">
        <v>1</v>
      </c>
      <c r="N417" s="5" t="s">
        <v>4005</v>
      </c>
      <c r="O417" s="5" t="s">
        <v>3502</v>
      </c>
      <c r="P417" s="5">
        <v>4</v>
      </c>
      <c r="Q417" s="5">
        <v>1</v>
      </c>
      <c r="R417" s="5"/>
      <c r="S417" s="5">
        <v>62</v>
      </c>
      <c r="T417" s="5">
        <v>62</v>
      </c>
      <c r="U417" s="5">
        <v>62</v>
      </c>
    </row>
    <row r="418" spans="1:21" x14ac:dyDescent="0.25">
      <c r="A418" s="5" t="s">
        <v>4355</v>
      </c>
      <c r="B418" s="5" t="s">
        <v>4356</v>
      </c>
      <c r="C418" s="5" t="s">
        <v>3548</v>
      </c>
      <c r="D418" s="5" t="s">
        <v>3782</v>
      </c>
      <c r="E418" s="5" t="s">
        <v>4252</v>
      </c>
      <c r="F418" s="5" t="s">
        <v>4004</v>
      </c>
      <c r="G418" s="5" t="s">
        <v>3501</v>
      </c>
      <c r="H418" s="5"/>
      <c r="I418" s="5" t="s">
        <v>3448</v>
      </c>
      <c r="J418" s="5" t="s">
        <v>3783</v>
      </c>
      <c r="K418" s="5" t="s">
        <v>4253</v>
      </c>
      <c r="L418" s="5">
        <v>80</v>
      </c>
      <c r="M418" s="5">
        <v>2</v>
      </c>
      <c r="N418" s="5" t="s">
        <v>4005</v>
      </c>
      <c r="O418" s="5" t="s">
        <v>3502</v>
      </c>
      <c r="P418" s="5">
        <v>5</v>
      </c>
      <c r="Q418" s="5">
        <v>2</v>
      </c>
      <c r="R418" s="5"/>
      <c r="S418" s="5">
        <v>179</v>
      </c>
      <c r="T418" s="5">
        <v>179</v>
      </c>
      <c r="U418" s="5">
        <v>179</v>
      </c>
    </row>
    <row r="419" spans="1:21" x14ac:dyDescent="0.25">
      <c r="A419" s="5" t="s">
        <v>4357</v>
      </c>
      <c r="B419" s="5" t="s">
        <v>4358</v>
      </c>
      <c r="C419" s="5" t="s">
        <v>3548</v>
      </c>
      <c r="D419" s="5" t="s">
        <v>3782</v>
      </c>
      <c r="E419" s="5" t="s">
        <v>4252</v>
      </c>
      <c r="F419" s="5" t="s">
        <v>4004</v>
      </c>
      <c r="G419" s="5" t="s">
        <v>3501</v>
      </c>
      <c r="H419" s="5"/>
      <c r="I419" s="5" t="s">
        <v>3448</v>
      </c>
      <c r="J419" s="5" t="s">
        <v>3783</v>
      </c>
      <c r="K419" s="5" t="s">
        <v>4253</v>
      </c>
      <c r="L419" s="5">
        <v>80</v>
      </c>
      <c r="M419" s="5">
        <v>1</v>
      </c>
      <c r="N419" s="5" t="s">
        <v>4005</v>
      </c>
      <c r="O419" s="5" t="s">
        <v>3502</v>
      </c>
      <c r="P419" s="5">
        <v>5</v>
      </c>
      <c r="Q419" s="5">
        <v>1</v>
      </c>
      <c r="R419" s="5"/>
      <c r="S419" s="5">
        <v>90</v>
      </c>
      <c r="T419" s="5">
        <v>90</v>
      </c>
      <c r="U419" s="5">
        <v>90</v>
      </c>
    </row>
    <row r="420" spans="1:21" x14ac:dyDescent="0.25">
      <c r="A420" s="5" t="s">
        <v>7002</v>
      </c>
      <c r="B420" s="5" t="s">
        <v>4518</v>
      </c>
      <c r="C420" s="5" t="s">
        <v>3548</v>
      </c>
      <c r="D420" s="5" t="s">
        <v>3782</v>
      </c>
      <c r="E420" s="5" t="s">
        <v>4363</v>
      </c>
      <c r="F420" s="5" t="s">
        <v>4390</v>
      </c>
      <c r="G420" s="5" t="s">
        <v>3782</v>
      </c>
      <c r="H420" s="5"/>
      <c r="I420" s="5" t="s">
        <v>3448</v>
      </c>
      <c r="J420" s="5" t="s">
        <v>3783</v>
      </c>
      <c r="K420" s="5" t="s">
        <v>4363</v>
      </c>
      <c r="L420" s="5">
        <v>25</v>
      </c>
      <c r="M420" s="5">
        <v>2</v>
      </c>
      <c r="N420" s="5" t="s">
        <v>4391</v>
      </c>
      <c r="O420" s="5" t="s">
        <v>3827</v>
      </c>
      <c r="P420" s="5">
        <v>3</v>
      </c>
      <c r="Q420" s="5">
        <v>1</v>
      </c>
      <c r="R420" s="5"/>
      <c r="S420" s="5">
        <v>40</v>
      </c>
      <c r="T420" s="5">
        <v>40</v>
      </c>
      <c r="U420" s="5">
        <v>40</v>
      </c>
    </row>
    <row r="421" spans="1:21" x14ac:dyDescent="0.25">
      <c r="A421" s="5" t="s">
        <v>4361</v>
      </c>
      <c r="B421" s="5" t="s">
        <v>4362</v>
      </c>
      <c r="C421" s="5" t="s">
        <v>3548</v>
      </c>
      <c r="D421" s="5" t="s">
        <v>3782</v>
      </c>
      <c r="E421" s="5" t="s">
        <v>4363</v>
      </c>
      <c r="F421" s="5" t="s">
        <v>3564</v>
      </c>
      <c r="G421" s="5"/>
      <c r="H421" s="5"/>
      <c r="I421" s="5" t="s">
        <v>3448</v>
      </c>
      <c r="J421" s="5" t="s">
        <v>3783</v>
      </c>
      <c r="K421" s="5" t="s">
        <v>4363</v>
      </c>
      <c r="L421" s="5">
        <v>15</v>
      </c>
      <c r="M421" s="5">
        <v>1</v>
      </c>
      <c r="N421" s="5" t="s">
        <v>3566</v>
      </c>
      <c r="O421" s="5"/>
      <c r="P421" s="5">
        <v>1.5</v>
      </c>
      <c r="Q421" s="5">
        <v>1</v>
      </c>
      <c r="R421" s="5"/>
      <c r="S421" s="5">
        <v>19</v>
      </c>
      <c r="T421" s="5">
        <v>19</v>
      </c>
      <c r="U421" s="5">
        <v>19</v>
      </c>
    </row>
    <row r="422" spans="1:21" x14ac:dyDescent="0.25">
      <c r="A422" s="5" t="s">
        <v>4364</v>
      </c>
      <c r="B422" s="5" t="s">
        <v>4365</v>
      </c>
      <c r="C422" s="5" t="s">
        <v>3548</v>
      </c>
      <c r="D422" s="5" t="s">
        <v>3782</v>
      </c>
      <c r="E422" s="5" t="s">
        <v>4363</v>
      </c>
      <c r="F422" s="5" t="s">
        <v>3564</v>
      </c>
      <c r="G422" s="5"/>
      <c r="H422" s="5"/>
      <c r="I422" s="5" t="s">
        <v>3448</v>
      </c>
      <c r="J422" s="5" t="s">
        <v>3783</v>
      </c>
      <c r="K422" s="5" t="s">
        <v>4363</v>
      </c>
      <c r="L422" s="5">
        <v>15</v>
      </c>
      <c r="M422" s="5">
        <v>2</v>
      </c>
      <c r="N422" s="5" t="s">
        <v>3566</v>
      </c>
      <c r="O422" s="5"/>
      <c r="P422" s="5">
        <v>1.5</v>
      </c>
      <c r="Q422" s="5">
        <v>1</v>
      </c>
      <c r="R422" s="5"/>
      <c r="S422" s="5">
        <v>36</v>
      </c>
      <c r="T422" s="5">
        <v>36</v>
      </c>
      <c r="U422" s="5">
        <v>36</v>
      </c>
    </row>
    <row r="423" spans="1:21" x14ac:dyDescent="0.25">
      <c r="A423" s="5" t="s">
        <v>4366</v>
      </c>
      <c r="B423" s="5" t="s">
        <v>4367</v>
      </c>
      <c r="C423" s="5" t="s">
        <v>3548</v>
      </c>
      <c r="D423" s="5" t="s">
        <v>3782</v>
      </c>
      <c r="E423" s="5" t="s">
        <v>4363</v>
      </c>
      <c r="F423" s="5" t="s">
        <v>4004</v>
      </c>
      <c r="G423" s="5" t="s">
        <v>3501</v>
      </c>
      <c r="H423" s="5"/>
      <c r="I423" s="5" t="s">
        <v>3448</v>
      </c>
      <c r="J423" s="5" t="s">
        <v>3783</v>
      </c>
      <c r="K423" s="5" t="s">
        <v>4363</v>
      </c>
      <c r="L423" s="5">
        <v>15</v>
      </c>
      <c r="M423" s="5">
        <v>1</v>
      </c>
      <c r="N423" s="5" t="s">
        <v>4005</v>
      </c>
      <c r="O423" s="5" t="s">
        <v>3502</v>
      </c>
      <c r="P423" s="5">
        <v>2</v>
      </c>
      <c r="Q423" s="5">
        <v>1</v>
      </c>
      <c r="R423" s="5"/>
      <c r="S423" s="5">
        <v>18</v>
      </c>
      <c r="T423" s="5">
        <v>18</v>
      </c>
      <c r="U423" s="5">
        <v>18</v>
      </c>
    </row>
    <row r="424" spans="1:21" x14ac:dyDescent="0.25">
      <c r="A424" s="5" t="s">
        <v>4368</v>
      </c>
      <c r="B424" s="5" t="s">
        <v>4369</v>
      </c>
      <c r="C424" s="5" t="s">
        <v>3548</v>
      </c>
      <c r="D424" s="5" t="s">
        <v>3782</v>
      </c>
      <c r="E424" s="5" t="s">
        <v>4363</v>
      </c>
      <c r="F424" s="5" t="s">
        <v>4004</v>
      </c>
      <c r="G424" s="5" t="s">
        <v>3493</v>
      </c>
      <c r="H424" s="5"/>
      <c r="I424" s="5" t="s">
        <v>3448</v>
      </c>
      <c r="J424" s="5" t="s">
        <v>3783</v>
      </c>
      <c r="K424" s="5" t="s">
        <v>4363</v>
      </c>
      <c r="L424" s="5">
        <v>15</v>
      </c>
      <c r="M424" s="5">
        <v>1</v>
      </c>
      <c r="N424" s="5" t="s">
        <v>4005</v>
      </c>
      <c r="O424" s="5" t="s">
        <v>3494</v>
      </c>
      <c r="P424" s="5">
        <v>2</v>
      </c>
      <c r="Q424" s="5">
        <v>1</v>
      </c>
      <c r="R424" s="5"/>
      <c r="S424" s="5">
        <v>15</v>
      </c>
      <c r="T424" s="5">
        <v>15</v>
      </c>
      <c r="U424" s="5">
        <v>15</v>
      </c>
    </row>
    <row r="425" spans="1:21" x14ac:dyDescent="0.25">
      <c r="A425" s="5" t="s">
        <v>7003</v>
      </c>
      <c r="B425" s="5" t="s">
        <v>4528</v>
      </c>
      <c r="C425" s="5" t="s">
        <v>3548</v>
      </c>
      <c r="D425" s="5" t="s">
        <v>3782</v>
      </c>
      <c r="E425" s="5" t="s">
        <v>4363</v>
      </c>
      <c r="F425" s="5" t="s">
        <v>4004</v>
      </c>
      <c r="G425" s="5" t="s">
        <v>3782</v>
      </c>
      <c r="H425" s="5"/>
      <c r="I425" s="5" t="s">
        <v>3448</v>
      </c>
      <c r="J425" s="5" t="s">
        <v>3783</v>
      </c>
      <c r="K425" s="5" t="s">
        <v>4363</v>
      </c>
      <c r="L425" s="5">
        <v>25</v>
      </c>
      <c r="M425" s="5">
        <v>2</v>
      </c>
      <c r="N425" s="5" t="s">
        <v>4005</v>
      </c>
      <c r="O425" s="5" t="s">
        <v>3827</v>
      </c>
      <c r="P425" s="5">
        <v>3</v>
      </c>
      <c r="Q425" s="5">
        <v>1</v>
      </c>
      <c r="R425" s="5"/>
      <c r="S425" s="5">
        <v>42</v>
      </c>
      <c r="T425" s="5">
        <v>42</v>
      </c>
      <c r="U425" s="5">
        <v>42</v>
      </c>
    </row>
    <row r="426" spans="1:21" x14ac:dyDescent="0.25">
      <c r="A426" s="5" t="s">
        <v>4372</v>
      </c>
      <c r="B426" s="5" t="s">
        <v>4373</v>
      </c>
      <c r="C426" s="5" t="s">
        <v>3548</v>
      </c>
      <c r="D426" s="5" t="s">
        <v>3782</v>
      </c>
      <c r="E426" s="5" t="s">
        <v>4363</v>
      </c>
      <c r="F426" s="5" t="s">
        <v>3584</v>
      </c>
      <c r="G426" s="5" t="s">
        <v>3493</v>
      </c>
      <c r="H426" s="5"/>
      <c r="I426" s="5" t="s">
        <v>3448</v>
      </c>
      <c r="J426" s="5" t="s">
        <v>3783</v>
      </c>
      <c r="K426" s="5" t="s">
        <v>4363</v>
      </c>
      <c r="L426" s="5">
        <v>17</v>
      </c>
      <c r="M426" s="5">
        <v>1</v>
      </c>
      <c r="N426" s="5" t="s">
        <v>3585</v>
      </c>
      <c r="O426" s="5" t="s">
        <v>3494</v>
      </c>
      <c r="P426" s="5">
        <v>2</v>
      </c>
      <c r="Q426" s="5">
        <v>1</v>
      </c>
      <c r="R426" s="5"/>
      <c r="S426" s="5">
        <v>20</v>
      </c>
      <c r="T426" s="5">
        <v>20</v>
      </c>
      <c r="U426" s="5">
        <v>20</v>
      </c>
    </row>
    <row r="427" spans="1:21" x14ac:dyDescent="0.25">
      <c r="A427" s="5" t="s">
        <v>7004</v>
      </c>
      <c r="B427" s="5" t="s">
        <v>4544</v>
      </c>
      <c r="C427" s="5" t="s">
        <v>3548</v>
      </c>
      <c r="D427" s="5" t="s">
        <v>3782</v>
      </c>
      <c r="E427" s="5" t="s">
        <v>4363</v>
      </c>
      <c r="F427" s="5" t="s">
        <v>3584</v>
      </c>
      <c r="G427" s="5" t="s">
        <v>3782</v>
      </c>
      <c r="H427" s="5"/>
      <c r="I427" s="5" t="s">
        <v>3448</v>
      </c>
      <c r="J427" s="5" t="s">
        <v>3783</v>
      </c>
      <c r="K427" s="5" t="s">
        <v>4363</v>
      </c>
      <c r="L427" s="5">
        <v>25</v>
      </c>
      <c r="M427" s="5">
        <v>2</v>
      </c>
      <c r="N427" s="5" t="s">
        <v>3585</v>
      </c>
      <c r="O427" s="5" t="s">
        <v>3827</v>
      </c>
      <c r="P427" s="5">
        <v>4</v>
      </c>
      <c r="Q427" s="5">
        <v>1</v>
      </c>
      <c r="R427" s="5"/>
      <c r="S427" s="5">
        <v>38</v>
      </c>
      <c r="T427" s="5">
        <v>38</v>
      </c>
      <c r="U427" s="5">
        <v>38</v>
      </c>
    </row>
    <row r="428" spans="1:21" x14ac:dyDescent="0.25">
      <c r="A428" s="5" t="s">
        <v>4388</v>
      </c>
      <c r="B428" s="5" t="s">
        <v>4389</v>
      </c>
      <c r="C428" s="5" t="s">
        <v>3548</v>
      </c>
      <c r="D428" s="5" t="s">
        <v>3782</v>
      </c>
      <c r="E428" s="5" t="s">
        <v>4363</v>
      </c>
      <c r="F428" s="5" t="s">
        <v>4390</v>
      </c>
      <c r="G428" s="5" t="s">
        <v>3493</v>
      </c>
      <c r="H428" s="5"/>
      <c r="I428" s="5" t="s">
        <v>3448</v>
      </c>
      <c r="J428" s="5" t="s">
        <v>3783</v>
      </c>
      <c r="K428" s="5" t="s">
        <v>4363</v>
      </c>
      <c r="L428" s="5">
        <v>17</v>
      </c>
      <c r="M428" s="5">
        <v>1</v>
      </c>
      <c r="N428" s="5" t="s">
        <v>4391</v>
      </c>
      <c r="O428" s="5" t="s">
        <v>3494</v>
      </c>
      <c r="P428" s="5">
        <v>2</v>
      </c>
      <c r="Q428" s="5">
        <v>1</v>
      </c>
      <c r="R428" s="5"/>
      <c r="S428" s="5">
        <v>17</v>
      </c>
      <c r="T428" s="5">
        <v>17</v>
      </c>
      <c r="U428" s="5">
        <v>17</v>
      </c>
    </row>
    <row r="429" spans="1:21" x14ac:dyDescent="0.25">
      <c r="A429" s="5" t="s">
        <v>7005</v>
      </c>
      <c r="B429" s="5" t="s">
        <v>4588</v>
      </c>
      <c r="C429" s="5" t="s">
        <v>3548</v>
      </c>
      <c r="D429" s="5" t="s">
        <v>3782</v>
      </c>
      <c r="E429" s="5" t="s">
        <v>4363</v>
      </c>
      <c r="F429" s="5" t="s">
        <v>3584</v>
      </c>
      <c r="G429" s="5" t="s">
        <v>3782</v>
      </c>
      <c r="H429" s="5"/>
      <c r="I429" s="5" t="s">
        <v>3448</v>
      </c>
      <c r="J429" s="5" t="s">
        <v>3783</v>
      </c>
      <c r="K429" s="5" t="s">
        <v>4363</v>
      </c>
      <c r="L429" s="5">
        <v>25</v>
      </c>
      <c r="M429" s="5">
        <v>1</v>
      </c>
      <c r="N429" s="5" t="s">
        <v>3585</v>
      </c>
      <c r="O429" s="5" t="s">
        <v>3827</v>
      </c>
      <c r="P429" s="5">
        <v>3</v>
      </c>
      <c r="Q429" s="5">
        <v>1</v>
      </c>
      <c r="R429" s="5"/>
      <c r="S429" s="5">
        <v>27</v>
      </c>
      <c r="T429" s="5">
        <v>27</v>
      </c>
      <c r="U429" s="5">
        <v>27</v>
      </c>
    </row>
    <row r="430" spans="1:21" x14ac:dyDescent="0.25">
      <c r="A430" s="5" t="s">
        <v>4394</v>
      </c>
      <c r="B430" s="5" t="s">
        <v>4395</v>
      </c>
      <c r="C430" s="5" t="s">
        <v>3548</v>
      </c>
      <c r="D430" s="5" t="s">
        <v>3782</v>
      </c>
      <c r="E430" s="5" t="s">
        <v>4363</v>
      </c>
      <c r="F430" s="5" t="s">
        <v>3584</v>
      </c>
      <c r="G430" s="5" t="s">
        <v>3493</v>
      </c>
      <c r="H430" s="5"/>
      <c r="I430" s="5" t="s">
        <v>3448</v>
      </c>
      <c r="J430" s="5" t="s">
        <v>3783</v>
      </c>
      <c r="K430" s="5" t="s">
        <v>4363</v>
      </c>
      <c r="L430" s="5">
        <v>17</v>
      </c>
      <c r="M430" s="5">
        <v>2</v>
      </c>
      <c r="N430" s="5" t="s">
        <v>3585</v>
      </c>
      <c r="O430" s="5" t="s">
        <v>3494</v>
      </c>
      <c r="P430" s="5">
        <v>2</v>
      </c>
      <c r="Q430" s="5">
        <v>1</v>
      </c>
      <c r="R430" s="5"/>
      <c r="S430" s="5">
        <v>33</v>
      </c>
      <c r="T430" s="5">
        <v>33</v>
      </c>
      <c r="U430" s="5">
        <v>33</v>
      </c>
    </row>
    <row r="431" spans="1:21" x14ac:dyDescent="0.25">
      <c r="A431" s="5" t="s">
        <v>7006</v>
      </c>
      <c r="B431" s="5" t="s">
        <v>4600</v>
      </c>
      <c r="C431" s="5" t="s">
        <v>3548</v>
      </c>
      <c r="D431" s="5" t="s">
        <v>3782</v>
      </c>
      <c r="E431" s="5" t="s">
        <v>4363</v>
      </c>
      <c r="F431" s="5" t="s">
        <v>4390</v>
      </c>
      <c r="G431" s="5" t="s">
        <v>3782</v>
      </c>
      <c r="H431" s="5"/>
      <c r="I431" s="5" t="s">
        <v>3448</v>
      </c>
      <c r="J431" s="5" t="s">
        <v>3783</v>
      </c>
      <c r="K431" s="5" t="s">
        <v>4363</v>
      </c>
      <c r="L431" s="5">
        <v>25</v>
      </c>
      <c r="M431" s="5">
        <v>1</v>
      </c>
      <c r="N431" s="5" t="s">
        <v>4391</v>
      </c>
      <c r="O431" s="5" t="s">
        <v>3827</v>
      </c>
      <c r="P431" s="5">
        <v>3</v>
      </c>
      <c r="Q431" s="5">
        <v>1</v>
      </c>
      <c r="R431" s="5"/>
      <c r="S431" s="5">
        <v>20</v>
      </c>
      <c r="T431" s="5">
        <v>20</v>
      </c>
      <c r="U431" s="5">
        <v>20</v>
      </c>
    </row>
    <row r="432" spans="1:21" x14ac:dyDescent="0.25">
      <c r="A432" s="5" t="s">
        <v>4402</v>
      </c>
      <c r="B432" s="5" t="s">
        <v>4403</v>
      </c>
      <c r="C432" s="5" t="s">
        <v>3548</v>
      </c>
      <c r="D432" s="5" t="s">
        <v>3782</v>
      </c>
      <c r="E432" s="5" t="s">
        <v>4363</v>
      </c>
      <c r="F432" s="5" t="s">
        <v>4390</v>
      </c>
      <c r="G432" s="5" t="s">
        <v>3493</v>
      </c>
      <c r="H432" s="5"/>
      <c r="I432" s="5" t="s">
        <v>3448</v>
      </c>
      <c r="J432" s="5" t="s">
        <v>3783</v>
      </c>
      <c r="K432" s="5" t="s">
        <v>4363</v>
      </c>
      <c r="L432" s="5">
        <v>17</v>
      </c>
      <c r="M432" s="5">
        <v>2</v>
      </c>
      <c r="N432" s="5" t="s">
        <v>4391</v>
      </c>
      <c r="O432" s="5" t="s">
        <v>3494</v>
      </c>
      <c r="P432" s="5">
        <v>2</v>
      </c>
      <c r="Q432" s="5">
        <v>1</v>
      </c>
      <c r="R432" s="5"/>
      <c r="S432" s="5">
        <v>31</v>
      </c>
      <c r="T432" s="5">
        <v>31</v>
      </c>
      <c r="U432" s="5">
        <v>31</v>
      </c>
    </row>
    <row r="433" spans="1:21" x14ac:dyDescent="0.25">
      <c r="A433" s="5" t="s">
        <v>7007</v>
      </c>
      <c r="B433" s="5" t="s">
        <v>4610</v>
      </c>
      <c r="C433" s="5" t="s">
        <v>3548</v>
      </c>
      <c r="D433" s="5" t="s">
        <v>3782</v>
      </c>
      <c r="E433" s="5" t="s">
        <v>4363</v>
      </c>
      <c r="F433" s="5" t="s">
        <v>3584</v>
      </c>
      <c r="G433" s="5" t="s">
        <v>3782</v>
      </c>
      <c r="H433" s="5"/>
      <c r="I433" s="5" t="s">
        <v>3448</v>
      </c>
      <c r="J433" s="5" t="s">
        <v>3783</v>
      </c>
      <c r="K433" s="5" t="s">
        <v>4363</v>
      </c>
      <c r="L433" s="5">
        <v>25</v>
      </c>
      <c r="M433" s="5">
        <v>3</v>
      </c>
      <c r="N433" s="5" t="s">
        <v>3585</v>
      </c>
      <c r="O433" s="5" t="s">
        <v>3827</v>
      </c>
      <c r="P433" s="5">
        <v>3</v>
      </c>
      <c r="Q433" s="5">
        <v>1</v>
      </c>
      <c r="R433" s="5"/>
      <c r="S433" s="5">
        <v>66</v>
      </c>
      <c r="T433" s="5">
        <v>66</v>
      </c>
      <c r="U433" s="5">
        <v>66</v>
      </c>
    </row>
    <row r="434" spans="1:21" x14ac:dyDescent="0.25">
      <c r="A434" s="5" t="s">
        <v>4407</v>
      </c>
      <c r="B434" s="5" t="s">
        <v>4408</v>
      </c>
      <c r="C434" s="5" t="s">
        <v>3548</v>
      </c>
      <c r="D434" s="5" t="s">
        <v>3782</v>
      </c>
      <c r="E434" s="5" t="s">
        <v>4363</v>
      </c>
      <c r="F434" s="5" t="s">
        <v>4004</v>
      </c>
      <c r="G434" s="5" t="s">
        <v>3493</v>
      </c>
      <c r="H434" s="5"/>
      <c r="I434" s="5" t="s">
        <v>3448</v>
      </c>
      <c r="J434" s="5" t="s">
        <v>3783</v>
      </c>
      <c r="K434" s="5" t="s">
        <v>4363</v>
      </c>
      <c r="L434" s="5">
        <v>17</v>
      </c>
      <c r="M434" s="5">
        <v>2</v>
      </c>
      <c r="N434" s="5" t="s">
        <v>4005</v>
      </c>
      <c r="O434" s="5" t="s">
        <v>3494</v>
      </c>
      <c r="P434" s="5">
        <v>2</v>
      </c>
      <c r="Q434" s="5">
        <v>1</v>
      </c>
      <c r="R434" s="5"/>
      <c r="S434" s="5">
        <v>35</v>
      </c>
      <c r="T434" s="5">
        <v>35</v>
      </c>
      <c r="U434" s="5">
        <v>35</v>
      </c>
    </row>
    <row r="435" spans="1:21" x14ac:dyDescent="0.25">
      <c r="A435" s="5" t="s">
        <v>7008</v>
      </c>
      <c r="B435" s="5" t="s">
        <v>4614</v>
      </c>
      <c r="C435" s="5" t="s">
        <v>3548</v>
      </c>
      <c r="D435" s="5" t="s">
        <v>3782</v>
      </c>
      <c r="E435" s="5" t="s">
        <v>4363</v>
      </c>
      <c r="F435" s="5" t="s">
        <v>4390</v>
      </c>
      <c r="G435" s="5" t="s">
        <v>3782</v>
      </c>
      <c r="H435" s="5"/>
      <c r="I435" s="5" t="s">
        <v>3448</v>
      </c>
      <c r="J435" s="5" t="s">
        <v>3783</v>
      </c>
      <c r="K435" s="5" t="s">
        <v>4363</v>
      </c>
      <c r="L435" s="5">
        <v>25</v>
      </c>
      <c r="M435" s="5">
        <v>3</v>
      </c>
      <c r="N435" s="5" t="s">
        <v>4391</v>
      </c>
      <c r="O435" s="5" t="s">
        <v>3827</v>
      </c>
      <c r="P435" s="5">
        <v>3</v>
      </c>
      <c r="Q435" s="5">
        <v>1</v>
      </c>
      <c r="R435" s="5"/>
      <c r="S435" s="5">
        <v>57</v>
      </c>
      <c r="T435" s="5">
        <v>57</v>
      </c>
      <c r="U435" s="5">
        <v>57</v>
      </c>
    </row>
    <row r="436" spans="1:21" x14ac:dyDescent="0.25">
      <c r="A436" s="5" t="s">
        <v>7009</v>
      </c>
      <c r="B436" s="5" t="s">
        <v>4618</v>
      </c>
      <c r="C436" s="5" t="s">
        <v>3548</v>
      </c>
      <c r="D436" s="5" t="s">
        <v>3782</v>
      </c>
      <c r="E436" s="5" t="s">
        <v>4363</v>
      </c>
      <c r="F436" s="5" t="s">
        <v>4004</v>
      </c>
      <c r="G436" s="5" t="s">
        <v>3782</v>
      </c>
      <c r="H436" s="5"/>
      <c r="I436" s="5" t="s">
        <v>3448</v>
      </c>
      <c r="J436" s="5" t="s">
        <v>3783</v>
      </c>
      <c r="K436" s="5" t="s">
        <v>4363</v>
      </c>
      <c r="L436" s="5">
        <v>25</v>
      </c>
      <c r="M436" s="5">
        <v>3</v>
      </c>
      <c r="N436" s="5" t="s">
        <v>4005</v>
      </c>
      <c r="O436" s="5" t="s">
        <v>3827</v>
      </c>
      <c r="P436" s="5">
        <v>3</v>
      </c>
      <c r="Q436" s="5">
        <v>1</v>
      </c>
      <c r="R436" s="5"/>
      <c r="S436" s="5">
        <v>62</v>
      </c>
      <c r="T436" s="5">
        <v>62</v>
      </c>
      <c r="U436" s="5">
        <v>62</v>
      </c>
    </row>
    <row r="437" spans="1:21" x14ac:dyDescent="0.25">
      <c r="A437" s="5" t="s">
        <v>7010</v>
      </c>
      <c r="B437" s="5" t="s">
        <v>4636</v>
      </c>
      <c r="C437" s="5" t="s">
        <v>3548</v>
      </c>
      <c r="D437" s="5" t="s">
        <v>3782</v>
      </c>
      <c r="E437" s="5" t="s">
        <v>4363</v>
      </c>
      <c r="F437" s="5" t="s">
        <v>3584</v>
      </c>
      <c r="G437" s="5" t="s">
        <v>3782</v>
      </c>
      <c r="H437" s="5"/>
      <c r="I437" s="5" t="s">
        <v>3448</v>
      </c>
      <c r="J437" s="5" t="s">
        <v>3783</v>
      </c>
      <c r="K437" s="5" t="s">
        <v>4363</v>
      </c>
      <c r="L437" s="5">
        <v>25</v>
      </c>
      <c r="M437" s="5">
        <v>3</v>
      </c>
      <c r="N437" s="5" t="s">
        <v>3585</v>
      </c>
      <c r="O437" s="5" t="s">
        <v>3827</v>
      </c>
      <c r="P437" s="5">
        <v>4</v>
      </c>
      <c r="Q437" s="5">
        <v>1</v>
      </c>
      <c r="R437" s="5"/>
      <c r="S437" s="5">
        <v>60</v>
      </c>
      <c r="T437" s="5">
        <v>60</v>
      </c>
      <c r="U437" s="5">
        <v>60</v>
      </c>
    </row>
    <row r="438" spans="1:21" x14ac:dyDescent="0.25">
      <c r="A438" s="5" t="s">
        <v>4419</v>
      </c>
      <c r="B438" s="5" t="s">
        <v>4420</v>
      </c>
      <c r="C438" s="5" t="s">
        <v>3548</v>
      </c>
      <c r="D438" s="5" t="s">
        <v>3782</v>
      </c>
      <c r="E438" s="5" t="s">
        <v>4363</v>
      </c>
      <c r="F438" s="5" t="s">
        <v>4421</v>
      </c>
      <c r="G438" s="5" t="s">
        <v>3493</v>
      </c>
      <c r="H438" s="5"/>
      <c r="I438" s="5" t="s">
        <v>3448</v>
      </c>
      <c r="J438" s="5" t="s">
        <v>3783</v>
      </c>
      <c r="K438" s="5" t="s">
        <v>4363</v>
      </c>
      <c r="L438" s="5">
        <v>17</v>
      </c>
      <c r="M438" s="5">
        <v>2</v>
      </c>
      <c r="N438" s="5" t="s">
        <v>4422</v>
      </c>
      <c r="O438" s="5" t="s">
        <v>3494</v>
      </c>
      <c r="P438" s="5">
        <v>2</v>
      </c>
      <c r="Q438" s="5">
        <v>1</v>
      </c>
      <c r="R438" s="5"/>
      <c r="S438" s="5">
        <v>31</v>
      </c>
      <c r="T438" s="5">
        <v>31</v>
      </c>
      <c r="U438" s="5">
        <v>31</v>
      </c>
    </row>
    <row r="439" spans="1:21" x14ac:dyDescent="0.25">
      <c r="A439" s="5" t="s">
        <v>7011</v>
      </c>
      <c r="B439" s="5" t="s">
        <v>4646</v>
      </c>
      <c r="C439" s="5" t="s">
        <v>3548</v>
      </c>
      <c r="D439" s="5" t="s">
        <v>3782</v>
      </c>
      <c r="E439" s="5" t="s">
        <v>4363</v>
      </c>
      <c r="F439" s="5" t="s">
        <v>4390</v>
      </c>
      <c r="G439" s="5" t="s">
        <v>3782</v>
      </c>
      <c r="H439" s="5"/>
      <c r="I439" s="5" t="s">
        <v>3448</v>
      </c>
      <c r="J439" s="5" t="s">
        <v>3783</v>
      </c>
      <c r="K439" s="5" t="s">
        <v>4363</v>
      </c>
      <c r="L439" s="5">
        <v>25</v>
      </c>
      <c r="M439" s="5">
        <v>3</v>
      </c>
      <c r="N439" s="5" t="s">
        <v>4406</v>
      </c>
      <c r="O439" s="5" t="s">
        <v>3827</v>
      </c>
      <c r="P439" s="5">
        <v>4</v>
      </c>
      <c r="Q439" s="5">
        <v>1</v>
      </c>
      <c r="R439" s="5"/>
      <c r="S439" s="5">
        <v>60</v>
      </c>
      <c r="T439" s="5">
        <v>60</v>
      </c>
      <c r="U439" s="5">
        <v>60</v>
      </c>
    </row>
    <row r="440" spans="1:21" x14ac:dyDescent="0.25">
      <c r="A440" s="5" t="s">
        <v>4425</v>
      </c>
      <c r="B440" s="5" t="s">
        <v>4426</v>
      </c>
      <c r="C440" s="5" t="s">
        <v>3548</v>
      </c>
      <c r="D440" s="5" t="s">
        <v>3782</v>
      </c>
      <c r="E440" s="5" t="s">
        <v>4363</v>
      </c>
      <c r="F440" s="5" t="s">
        <v>3564</v>
      </c>
      <c r="G440" s="5"/>
      <c r="H440" s="5"/>
      <c r="I440" s="5" t="s">
        <v>3448</v>
      </c>
      <c r="J440" s="5" t="s">
        <v>3783</v>
      </c>
      <c r="K440" s="5" t="s">
        <v>4363</v>
      </c>
      <c r="L440" s="5">
        <v>17</v>
      </c>
      <c r="M440" s="5">
        <v>1</v>
      </c>
      <c r="N440" s="5" t="s">
        <v>3566</v>
      </c>
      <c r="O440" s="5"/>
      <c r="P440" s="5">
        <v>2</v>
      </c>
      <c r="Q440" s="5">
        <v>1</v>
      </c>
      <c r="R440" s="5"/>
      <c r="S440" s="5">
        <v>24</v>
      </c>
      <c r="T440" s="5">
        <v>24</v>
      </c>
      <c r="U440" s="5">
        <v>24</v>
      </c>
    </row>
    <row r="441" spans="1:21" x14ac:dyDescent="0.25">
      <c r="A441" s="5" t="s">
        <v>4427</v>
      </c>
      <c r="B441" s="5" t="s">
        <v>4428</v>
      </c>
      <c r="C441" s="5" t="s">
        <v>3548</v>
      </c>
      <c r="D441" s="5" t="s">
        <v>3782</v>
      </c>
      <c r="E441" s="5" t="s">
        <v>4363</v>
      </c>
      <c r="F441" s="5" t="s">
        <v>4004</v>
      </c>
      <c r="G441" s="5" t="s">
        <v>3501</v>
      </c>
      <c r="H441" s="5"/>
      <c r="I441" s="5" t="s">
        <v>3448</v>
      </c>
      <c r="J441" s="5" t="s">
        <v>3783</v>
      </c>
      <c r="K441" s="5" t="s">
        <v>4363</v>
      </c>
      <c r="L441" s="5">
        <v>17</v>
      </c>
      <c r="M441" s="5">
        <v>1</v>
      </c>
      <c r="N441" s="5" t="s">
        <v>4005</v>
      </c>
      <c r="O441" s="5" t="s">
        <v>3502</v>
      </c>
      <c r="P441" s="5">
        <v>2</v>
      </c>
      <c r="Q441" s="5">
        <v>1</v>
      </c>
      <c r="R441" s="5"/>
      <c r="S441" s="5">
        <v>18</v>
      </c>
      <c r="T441" s="5">
        <v>18</v>
      </c>
      <c r="U441" s="5">
        <v>18</v>
      </c>
    </row>
    <row r="442" spans="1:21" x14ac:dyDescent="0.25">
      <c r="A442" s="5" t="s">
        <v>4429</v>
      </c>
      <c r="B442" s="5" t="s">
        <v>4430</v>
      </c>
      <c r="C442" s="5" t="s">
        <v>3548</v>
      </c>
      <c r="D442" s="5" t="s">
        <v>3782</v>
      </c>
      <c r="E442" s="5" t="s">
        <v>4363</v>
      </c>
      <c r="F442" s="5" t="s">
        <v>4004</v>
      </c>
      <c r="G442" s="5" t="s">
        <v>3493</v>
      </c>
      <c r="H442" s="5"/>
      <c r="I442" s="5" t="s">
        <v>3448</v>
      </c>
      <c r="J442" s="5" t="s">
        <v>3783</v>
      </c>
      <c r="K442" s="5" t="s">
        <v>4363</v>
      </c>
      <c r="L442" s="5">
        <v>17</v>
      </c>
      <c r="M442" s="5">
        <v>1</v>
      </c>
      <c r="N442" s="5" t="s">
        <v>4005</v>
      </c>
      <c r="O442" s="5" t="s">
        <v>3494</v>
      </c>
      <c r="P442" s="5">
        <v>2</v>
      </c>
      <c r="Q442" s="5">
        <v>1</v>
      </c>
      <c r="R442" s="5"/>
      <c r="S442" s="5">
        <v>16</v>
      </c>
      <c r="T442" s="5">
        <v>16</v>
      </c>
      <c r="U442" s="5">
        <v>16</v>
      </c>
    </row>
    <row r="443" spans="1:21" x14ac:dyDescent="0.25">
      <c r="A443" s="5" t="s">
        <v>7012</v>
      </c>
      <c r="B443" s="5" t="s">
        <v>4666</v>
      </c>
      <c r="C443" s="5" t="s">
        <v>3548</v>
      </c>
      <c r="D443" s="5" t="s">
        <v>3782</v>
      </c>
      <c r="E443" s="5" t="s">
        <v>4363</v>
      </c>
      <c r="F443" s="5" t="s">
        <v>4004</v>
      </c>
      <c r="G443" s="5" t="s">
        <v>3782</v>
      </c>
      <c r="H443" s="5"/>
      <c r="I443" s="5" t="s">
        <v>3448</v>
      </c>
      <c r="J443" s="5" t="s">
        <v>3783</v>
      </c>
      <c r="K443" s="5" t="s">
        <v>4363</v>
      </c>
      <c r="L443" s="5">
        <v>25</v>
      </c>
      <c r="M443" s="5">
        <v>1</v>
      </c>
      <c r="N443" s="5" t="s">
        <v>4005</v>
      </c>
      <c r="O443" s="5" t="s">
        <v>3827</v>
      </c>
      <c r="P443" s="5">
        <v>3</v>
      </c>
      <c r="Q443" s="5">
        <v>1</v>
      </c>
      <c r="R443" s="5"/>
      <c r="S443" s="5">
        <v>23</v>
      </c>
      <c r="T443" s="5">
        <v>23</v>
      </c>
      <c r="U443" s="5">
        <v>23</v>
      </c>
    </row>
    <row r="444" spans="1:21" x14ac:dyDescent="0.25">
      <c r="A444" s="5" t="s">
        <v>7013</v>
      </c>
      <c r="B444" s="5" t="s">
        <v>4686</v>
      </c>
      <c r="C444" s="5" t="s">
        <v>3548</v>
      </c>
      <c r="D444" s="5" t="s">
        <v>3782</v>
      </c>
      <c r="E444" s="5" t="s">
        <v>4363</v>
      </c>
      <c r="F444" s="5" t="s">
        <v>3584</v>
      </c>
      <c r="G444" s="5" t="s">
        <v>3782</v>
      </c>
      <c r="H444" s="5"/>
      <c r="I444" s="5" t="s">
        <v>3448</v>
      </c>
      <c r="J444" s="5" t="s">
        <v>3783</v>
      </c>
      <c r="K444" s="5" t="s">
        <v>4363</v>
      </c>
      <c r="L444" s="5">
        <v>25</v>
      </c>
      <c r="M444" s="5">
        <v>1</v>
      </c>
      <c r="N444" s="5" t="s">
        <v>3585</v>
      </c>
      <c r="O444" s="5" t="s">
        <v>3827</v>
      </c>
      <c r="P444" s="5">
        <v>4</v>
      </c>
      <c r="Q444" s="5">
        <v>1</v>
      </c>
      <c r="R444" s="5"/>
      <c r="S444" s="5">
        <v>19</v>
      </c>
      <c r="T444" s="5">
        <v>19</v>
      </c>
      <c r="U444" s="5">
        <v>19</v>
      </c>
    </row>
    <row r="445" spans="1:21" x14ac:dyDescent="0.25">
      <c r="A445" s="5" t="s">
        <v>7014</v>
      </c>
      <c r="B445" s="5" t="s">
        <v>4718</v>
      </c>
      <c r="C445" s="5" t="s">
        <v>3548</v>
      </c>
      <c r="D445" s="5" t="s">
        <v>3782</v>
      </c>
      <c r="E445" s="5" t="s">
        <v>4363</v>
      </c>
      <c r="F445" s="5" t="s">
        <v>3584</v>
      </c>
      <c r="G445" s="5" t="s">
        <v>3782</v>
      </c>
      <c r="H445" s="5"/>
      <c r="I445" s="5" t="s">
        <v>3448</v>
      </c>
      <c r="J445" s="5" t="s">
        <v>3783</v>
      </c>
      <c r="K445" s="5" t="s">
        <v>4363</v>
      </c>
      <c r="L445" s="5">
        <v>25</v>
      </c>
      <c r="M445" s="5">
        <v>4</v>
      </c>
      <c r="N445" s="5" t="s">
        <v>3585</v>
      </c>
      <c r="O445" s="5" t="s">
        <v>3827</v>
      </c>
      <c r="P445" s="5">
        <v>3</v>
      </c>
      <c r="Q445" s="5">
        <v>2</v>
      </c>
      <c r="R445" s="5"/>
      <c r="S445" s="5">
        <v>92</v>
      </c>
      <c r="T445" s="5">
        <v>92</v>
      </c>
      <c r="U445" s="5">
        <v>92</v>
      </c>
    </row>
    <row r="446" spans="1:21" x14ac:dyDescent="0.25">
      <c r="A446" s="5" t="s">
        <v>4443</v>
      </c>
      <c r="B446" s="5" t="s">
        <v>4444</v>
      </c>
      <c r="C446" s="5" t="s">
        <v>3548</v>
      </c>
      <c r="D446" s="5" t="s">
        <v>3782</v>
      </c>
      <c r="E446" s="5" t="s">
        <v>4363</v>
      </c>
      <c r="F446" s="5" t="s">
        <v>4421</v>
      </c>
      <c r="G446" s="5" t="s">
        <v>3493</v>
      </c>
      <c r="H446" s="5"/>
      <c r="I446" s="5" t="s">
        <v>3448</v>
      </c>
      <c r="J446" s="5" t="s">
        <v>3783</v>
      </c>
      <c r="K446" s="5" t="s">
        <v>4363</v>
      </c>
      <c r="L446" s="5">
        <v>17</v>
      </c>
      <c r="M446" s="5">
        <v>1</v>
      </c>
      <c r="N446" s="5" t="s">
        <v>4422</v>
      </c>
      <c r="O446" s="5" t="s">
        <v>3494</v>
      </c>
      <c r="P446" s="5">
        <v>2</v>
      </c>
      <c r="Q446" s="5">
        <v>1</v>
      </c>
      <c r="R446" s="5"/>
      <c r="S446" s="5">
        <v>15</v>
      </c>
      <c r="T446" s="5">
        <v>15</v>
      </c>
      <c r="U446" s="5">
        <v>15</v>
      </c>
    </row>
    <row r="447" spans="1:21" x14ac:dyDescent="0.25">
      <c r="A447" s="5" t="s">
        <v>4445</v>
      </c>
      <c r="B447" s="5" t="s">
        <v>4446</v>
      </c>
      <c r="C447" s="5" t="s">
        <v>3548</v>
      </c>
      <c r="D447" s="5" t="s">
        <v>3782</v>
      </c>
      <c r="E447" s="5" t="s">
        <v>4363</v>
      </c>
      <c r="F447" s="5" t="s">
        <v>3584</v>
      </c>
      <c r="G447" s="5" t="s">
        <v>3501</v>
      </c>
      <c r="H447" s="5"/>
      <c r="I447" s="5" t="s">
        <v>3448</v>
      </c>
      <c r="J447" s="5" t="s">
        <v>3783</v>
      </c>
      <c r="K447" s="5" t="s">
        <v>4363</v>
      </c>
      <c r="L447" s="5">
        <v>17</v>
      </c>
      <c r="M447" s="5">
        <v>3</v>
      </c>
      <c r="N447" s="5" t="s">
        <v>3585</v>
      </c>
      <c r="O447" s="5" t="s">
        <v>3502</v>
      </c>
      <c r="P447" s="5">
        <v>2</v>
      </c>
      <c r="Q447" s="5">
        <v>1</v>
      </c>
      <c r="R447" s="5"/>
      <c r="S447" s="5">
        <v>49</v>
      </c>
      <c r="T447" s="5">
        <v>49</v>
      </c>
      <c r="U447" s="5">
        <v>49</v>
      </c>
    </row>
    <row r="448" spans="1:21" x14ac:dyDescent="0.25">
      <c r="A448" s="5" t="s">
        <v>4447</v>
      </c>
      <c r="B448" s="5" t="s">
        <v>4448</v>
      </c>
      <c r="C448" s="5" t="s">
        <v>3548</v>
      </c>
      <c r="D448" s="5" t="s">
        <v>3782</v>
      </c>
      <c r="E448" s="5" t="s">
        <v>4363</v>
      </c>
      <c r="F448" s="5" t="s">
        <v>3584</v>
      </c>
      <c r="G448" s="5" t="s">
        <v>3493</v>
      </c>
      <c r="H448" s="5"/>
      <c r="I448" s="5" t="s">
        <v>3448</v>
      </c>
      <c r="J448" s="5" t="s">
        <v>3783</v>
      </c>
      <c r="K448" s="5" t="s">
        <v>4363</v>
      </c>
      <c r="L448" s="5">
        <v>17</v>
      </c>
      <c r="M448" s="5">
        <v>3</v>
      </c>
      <c r="N448" s="5" t="s">
        <v>3585</v>
      </c>
      <c r="O448" s="5" t="s">
        <v>3494</v>
      </c>
      <c r="P448" s="5">
        <v>2</v>
      </c>
      <c r="Q448" s="5">
        <v>1</v>
      </c>
      <c r="R448" s="5"/>
      <c r="S448" s="5">
        <v>47</v>
      </c>
      <c r="T448" s="5">
        <v>47</v>
      </c>
      <c r="U448" s="5">
        <v>47</v>
      </c>
    </row>
    <row r="449" spans="1:21" x14ac:dyDescent="0.25">
      <c r="A449" s="5" t="s">
        <v>7015</v>
      </c>
      <c r="B449" s="5" t="s">
        <v>4722</v>
      </c>
      <c r="C449" s="5" t="s">
        <v>3548</v>
      </c>
      <c r="D449" s="5" t="s">
        <v>3782</v>
      </c>
      <c r="E449" s="5" t="s">
        <v>4363</v>
      </c>
      <c r="F449" s="5" t="s">
        <v>3584</v>
      </c>
      <c r="G449" s="5" t="s">
        <v>3782</v>
      </c>
      <c r="H449" s="5"/>
      <c r="I449" s="5" t="s">
        <v>3448</v>
      </c>
      <c r="J449" s="5" t="s">
        <v>3783</v>
      </c>
      <c r="K449" s="5" t="s">
        <v>4363</v>
      </c>
      <c r="L449" s="5">
        <v>25</v>
      </c>
      <c r="M449" s="5">
        <v>4</v>
      </c>
      <c r="N449" s="5" t="s">
        <v>3585</v>
      </c>
      <c r="O449" s="5" t="s">
        <v>3827</v>
      </c>
      <c r="P449" s="5">
        <v>3</v>
      </c>
      <c r="Q449" s="5">
        <v>1</v>
      </c>
      <c r="R449" s="5"/>
      <c r="S449" s="5">
        <v>86</v>
      </c>
      <c r="T449" s="5">
        <v>86</v>
      </c>
      <c r="U449" s="5">
        <v>86</v>
      </c>
    </row>
    <row r="450" spans="1:21" x14ac:dyDescent="0.25">
      <c r="A450" s="5" t="s">
        <v>4451</v>
      </c>
      <c r="B450" s="5" t="s">
        <v>4452</v>
      </c>
      <c r="C450" s="5" t="s">
        <v>3548</v>
      </c>
      <c r="D450" s="5" t="s">
        <v>3782</v>
      </c>
      <c r="E450" s="5" t="s">
        <v>4363</v>
      </c>
      <c r="F450" s="5" t="s">
        <v>4390</v>
      </c>
      <c r="G450" s="5" t="s">
        <v>3493</v>
      </c>
      <c r="H450" s="5"/>
      <c r="I450" s="5" t="s">
        <v>3448</v>
      </c>
      <c r="J450" s="5" t="s">
        <v>3783</v>
      </c>
      <c r="K450" s="5" t="s">
        <v>4363</v>
      </c>
      <c r="L450" s="5">
        <v>17</v>
      </c>
      <c r="M450" s="5">
        <v>3</v>
      </c>
      <c r="N450" s="5" t="s">
        <v>4391</v>
      </c>
      <c r="O450" s="5" t="s">
        <v>3494</v>
      </c>
      <c r="P450" s="5">
        <v>2</v>
      </c>
      <c r="Q450" s="5">
        <v>1</v>
      </c>
      <c r="R450" s="5"/>
      <c r="S450" s="5">
        <v>45</v>
      </c>
      <c r="T450" s="5">
        <v>45</v>
      </c>
      <c r="U450" s="5">
        <v>45</v>
      </c>
    </row>
    <row r="451" spans="1:21" x14ac:dyDescent="0.25">
      <c r="A451" s="5" t="s">
        <v>7016</v>
      </c>
      <c r="B451" s="5" t="s">
        <v>4726</v>
      </c>
      <c r="C451" s="5" t="s">
        <v>3548</v>
      </c>
      <c r="D451" s="5" t="s">
        <v>3782</v>
      </c>
      <c r="E451" s="5" t="s">
        <v>4363</v>
      </c>
      <c r="F451" s="5" t="s">
        <v>4390</v>
      </c>
      <c r="G451" s="5" t="s">
        <v>3782</v>
      </c>
      <c r="H451" s="5"/>
      <c r="I451" s="5" t="s">
        <v>3448</v>
      </c>
      <c r="J451" s="5" t="s">
        <v>3783</v>
      </c>
      <c r="K451" s="5" t="s">
        <v>4363</v>
      </c>
      <c r="L451" s="5">
        <v>25</v>
      </c>
      <c r="M451" s="5">
        <v>4</v>
      </c>
      <c r="N451" s="5" t="s">
        <v>4391</v>
      </c>
      <c r="O451" s="5" t="s">
        <v>3827</v>
      </c>
      <c r="P451" s="5">
        <v>3</v>
      </c>
      <c r="Q451" s="5">
        <v>1</v>
      </c>
      <c r="R451" s="5"/>
      <c r="S451" s="5">
        <v>78</v>
      </c>
      <c r="T451" s="5">
        <v>78</v>
      </c>
      <c r="U451" s="5">
        <v>78</v>
      </c>
    </row>
    <row r="452" spans="1:21" x14ac:dyDescent="0.25">
      <c r="A452" s="5" t="s">
        <v>4455</v>
      </c>
      <c r="B452" s="5" t="s">
        <v>4456</v>
      </c>
      <c r="C452" s="5" t="s">
        <v>3548</v>
      </c>
      <c r="D452" s="5" t="s">
        <v>3782</v>
      </c>
      <c r="E452" s="5" t="s">
        <v>4363</v>
      </c>
      <c r="F452" s="5" t="s">
        <v>4004</v>
      </c>
      <c r="G452" s="5" t="s">
        <v>3501</v>
      </c>
      <c r="H452" s="5"/>
      <c r="I452" s="5" t="s">
        <v>3448</v>
      </c>
      <c r="J452" s="5" t="s">
        <v>3783</v>
      </c>
      <c r="K452" s="5" t="s">
        <v>4363</v>
      </c>
      <c r="L452" s="5">
        <v>17</v>
      </c>
      <c r="M452" s="5">
        <v>3</v>
      </c>
      <c r="N452" s="5" t="s">
        <v>4005</v>
      </c>
      <c r="O452" s="5" t="s">
        <v>3502</v>
      </c>
      <c r="P452" s="5">
        <v>2</v>
      </c>
      <c r="Q452" s="5">
        <v>1</v>
      </c>
      <c r="R452" s="5"/>
      <c r="S452" s="5">
        <v>51</v>
      </c>
      <c r="T452" s="5">
        <v>51</v>
      </c>
      <c r="U452" s="5">
        <v>51</v>
      </c>
    </row>
    <row r="453" spans="1:21" x14ac:dyDescent="0.25">
      <c r="A453" s="5" t="s">
        <v>4457</v>
      </c>
      <c r="B453" s="5" t="s">
        <v>4458</v>
      </c>
      <c r="C453" s="5" t="s">
        <v>3548</v>
      </c>
      <c r="D453" s="5" t="s">
        <v>3782</v>
      </c>
      <c r="E453" s="5" t="s">
        <v>4363</v>
      </c>
      <c r="F453" s="5" t="s">
        <v>4004</v>
      </c>
      <c r="G453" s="5" t="s">
        <v>3493</v>
      </c>
      <c r="H453" s="5"/>
      <c r="I453" s="5" t="s">
        <v>3448</v>
      </c>
      <c r="J453" s="5" t="s">
        <v>3783</v>
      </c>
      <c r="K453" s="5" t="s">
        <v>4363</v>
      </c>
      <c r="L453" s="5">
        <v>17</v>
      </c>
      <c r="M453" s="5">
        <v>3</v>
      </c>
      <c r="N453" s="5" t="s">
        <v>4005</v>
      </c>
      <c r="O453" s="5" t="s">
        <v>3494</v>
      </c>
      <c r="P453" s="5">
        <v>2</v>
      </c>
      <c r="Q453" s="5">
        <v>1</v>
      </c>
      <c r="R453" s="5"/>
      <c r="S453" s="5">
        <v>52</v>
      </c>
      <c r="T453" s="5">
        <v>52</v>
      </c>
      <c r="U453" s="5">
        <v>52</v>
      </c>
    </row>
    <row r="454" spans="1:21" x14ac:dyDescent="0.25">
      <c r="A454" s="5" t="s">
        <v>7017</v>
      </c>
      <c r="B454" s="5" t="s">
        <v>4730</v>
      </c>
      <c r="C454" s="5" t="s">
        <v>3548</v>
      </c>
      <c r="D454" s="5" t="s">
        <v>3782</v>
      </c>
      <c r="E454" s="5" t="s">
        <v>4363</v>
      </c>
      <c r="F454" s="5" t="s">
        <v>4004</v>
      </c>
      <c r="G454" s="5" t="s">
        <v>3782</v>
      </c>
      <c r="H454" s="5"/>
      <c r="I454" s="5" t="s">
        <v>3448</v>
      </c>
      <c r="J454" s="5" t="s">
        <v>3783</v>
      </c>
      <c r="K454" s="5" t="s">
        <v>4363</v>
      </c>
      <c r="L454" s="5">
        <v>25</v>
      </c>
      <c r="M454" s="5">
        <v>4</v>
      </c>
      <c r="N454" s="5" t="s">
        <v>4005</v>
      </c>
      <c r="O454" s="5" t="s">
        <v>3827</v>
      </c>
      <c r="P454" s="5">
        <v>3</v>
      </c>
      <c r="Q454" s="5">
        <v>1</v>
      </c>
      <c r="R454" s="5"/>
      <c r="S454" s="5">
        <v>84</v>
      </c>
      <c r="T454" s="5">
        <v>84</v>
      </c>
      <c r="U454" s="5">
        <v>84</v>
      </c>
    </row>
    <row r="455" spans="1:21" x14ac:dyDescent="0.25">
      <c r="A455" s="5" t="s">
        <v>7018</v>
      </c>
      <c r="B455" s="5" t="s">
        <v>4750</v>
      </c>
      <c r="C455" s="5" t="s">
        <v>3548</v>
      </c>
      <c r="D455" s="5" t="s">
        <v>3782</v>
      </c>
      <c r="E455" s="5" t="s">
        <v>4363</v>
      </c>
      <c r="F455" s="5" t="s">
        <v>3584</v>
      </c>
      <c r="G455" s="5" t="s">
        <v>3782</v>
      </c>
      <c r="H455" s="5"/>
      <c r="I455" s="5" t="s">
        <v>3448</v>
      </c>
      <c r="J455" s="5" t="s">
        <v>3783</v>
      </c>
      <c r="K455" s="5" t="s">
        <v>4363</v>
      </c>
      <c r="L455" s="5">
        <v>25</v>
      </c>
      <c r="M455" s="5">
        <v>4</v>
      </c>
      <c r="N455" s="5" t="s">
        <v>3585</v>
      </c>
      <c r="O455" s="5" t="s">
        <v>3827</v>
      </c>
      <c r="P455" s="5">
        <v>4</v>
      </c>
      <c r="Q455" s="5">
        <v>1</v>
      </c>
      <c r="R455" s="5"/>
      <c r="S455" s="5">
        <v>80</v>
      </c>
      <c r="T455" s="5">
        <v>80</v>
      </c>
      <c r="U455" s="5">
        <v>80</v>
      </c>
    </row>
    <row r="456" spans="1:21" x14ac:dyDescent="0.25">
      <c r="A456" s="5" t="s">
        <v>7019</v>
      </c>
      <c r="B456" s="5" t="s">
        <v>4758</v>
      </c>
      <c r="C456" s="5" t="s">
        <v>3548</v>
      </c>
      <c r="D456" s="5" t="s">
        <v>3782</v>
      </c>
      <c r="E456" s="5" t="s">
        <v>4363</v>
      </c>
      <c r="F456" s="5" t="s">
        <v>4390</v>
      </c>
      <c r="G456" s="5" t="s">
        <v>3782</v>
      </c>
      <c r="H456" s="5"/>
      <c r="I456" s="5" t="s">
        <v>3448</v>
      </c>
      <c r="J456" s="5" t="s">
        <v>3783</v>
      </c>
      <c r="K456" s="5" t="s">
        <v>4363</v>
      </c>
      <c r="L456" s="5">
        <v>25</v>
      </c>
      <c r="M456" s="5">
        <v>4</v>
      </c>
      <c r="N456" s="5" t="s">
        <v>4391</v>
      </c>
      <c r="O456" s="5" t="s">
        <v>3827</v>
      </c>
      <c r="P456" s="5">
        <v>4</v>
      </c>
      <c r="Q456" s="5">
        <v>1</v>
      </c>
      <c r="R456" s="5"/>
      <c r="S456" s="5">
        <v>76</v>
      </c>
      <c r="T456" s="5">
        <v>76</v>
      </c>
      <c r="U456" s="5">
        <v>76</v>
      </c>
    </row>
    <row r="457" spans="1:21" x14ac:dyDescent="0.25">
      <c r="A457" s="5" t="s">
        <v>4465</v>
      </c>
      <c r="B457" s="5" t="s">
        <v>4466</v>
      </c>
      <c r="C457" s="5" t="s">
        <v>3548</v>
      </c>
      <c r="D457" s="5" t="s">
        <v>3782</v>
      </c>
      <c r="E457" s="5" t="s">
        <v>4363</v>
      </c>
      <c r="F457" s="5" t="s">
        <v>4421</v>
      </c>
      <c r="G457" s="5" t="s">
        <v>3493</v>
      </c>
      <c r="H457" s="5"/>
      <c r="I457" s="5" t="s">
        <v>3448</v>
      </c>
      <c r="J457" s="5" t="s">
        <v>3783</v>
      </c>
      <c r="K457" s="5" t="s">
        <v>4363</v>
      </c>
      <c r="L457" s="5">
        <v>17</v>
      </c>
      <c r="M457" s="5">
        <v>3</v>
      </c>
      <c r="N457" s="5" t="s">
        <v>4422</v>
      </c>
      <c r="O457" s="5" t="s">
        <v>3494</v>
      </c>
      <c r="P457" s="5">
        <v>2</v>
      </c>
      <c r="Q457" s="5">
        <v>1</v>
      </c>
      <c r="R457" s="5"/>
      <c r="S457" s="5">
        <v>47</v>
      </c>
      <c r="T457" s="5">
        <v>47</v>
      </c>
      <c r="U457" s="5">
        <v>47</v>
      </c>
    </row>
    <row r="458" spans="1:21" x14ac:dyDescent="0.25">
      <c r="A458" s="5" t="s">
        <v>7020</v>
      </c>
      <c r="B458" s="5" t="s">
        <v>4794</v>
      </c>
      <c r="C458" s="5" t="s">
        <v>3548</v>
      </c>
      <c r="D458" s="5" t="s">
        <v>3782</v>
      </c>
      <c r="E458" s="5" t="s">
        <v>4363</v>
      </c>
      <c r="F458" s="5" t="s">
        <v>3584</v>
      </c>
      <c r="G458" s="5" t="s">
        <v>3782</v>
      </c>
      <c r="H458" s="5"/>
      <c r="I458" s="5" t="s">
        <v>3448</v>
      </c>
      <c r="J458" s="5" t="s">
        <v>3783</v>
      </c>
      <c r="K458" s="5" t="s">
        <v>4363</v>
      </c>
      <c r="L458" s="5">
        <v>25</v>
      </c>
      <c r="M458" s="5">
        <v>6</v>
      </c>
      <c r="N458" s="5" t="s">
        <v>3585</v>
      </c>
      <c r="O458" s="5" t="s">
        <v>3827</v>
      </c>
      <c r="P458" s="5">
        <v>3</v>
      </c>
      <c r="Q458" s="5">
        <v>2</v>
      </c>
      <c r="R458" s="5"/>
      <c r="S458" s="5">
        <v>134</v>
      </c>
      <c r="T458" s="5">
        <v>134</v>
      </c>
      <c r="U458" s="5">
        <v>134</v>
      </c>
    </row>
    <row r="459" spans="1:21" x14ac:dyDescent="0.25">
      <c r="A459" s="5" t="s">
        <v>7021</v>
      </c>
      <c r="B459" s="5" t="s">
        <v>4842</v>
      </c>
      <c r="C459" s="5" t="s">
        <v>3548</v>
      </c>
      <c r="D459" s="5" t="s">
        <v>3782</v>
      </c>
      <c r="E459" s="5" t="s">
        <v>4363</v>
      </c>
      <c r="F459" s="5" t="s">
        <v>3584</v>
      </c>
      <c r="G459" s="5" t="s">
        <v>3782</v>
      </c>
      <c r="H459" s="5"/>
      <c r="I459" s="5" t="s">
        <v>3448</v>
      </c>
      <c r="J459" s="5" t="s">
        <v>3783</v>
      </c>
      <c r="K459" s="5" t="s">
        <v>4363</v>
      </c>
      <c r="L459" s="5">
        <v>28</v>
      </c>
      <c r="M459" s="5">
        <v>2</v>
      </c>
      <c r="N459" s="5" t="s">
        <v>3585</v>
      </c>
      <c r="O459" s="5" t="s">
        <v>3827</v>
      </c>
      <c r="P459" s="5">
        <v>4</v>
      </c>
      <c r="Q459" s="5">
        <v>1</v>
      </c>
      <c r="R459" s="5"/>
      <c r="S459" s="5">
        <v>44</v>
      </c>
      <c r="T459" s="5">
        <v>44</v>
      </c>
      <c r="U459" s="5">
        <v>44</v>
      </c>
    </row>
    <row r="460" spans="1:21" x14ac:dyDescent="0.25">
      <c r="A460" s="5" t="s">
        <v>4471</v>
      </c>
      <c r="B460" s="5" t="s">
        <v>4472</v>
      </c>
      <c r="C460" s="5" t="s">
        <v>3548</v>
      </c>
      <c r="D460" s="5" t="s">
        <v>3782</v>
      </c>
      <c r="E460" s="5" t="s">
        <v>4363</v>
      </c>
      <c r="F460" s="5" t="s">
        <v>3584</v>
      </c>
      <c r="G460" s="5" t="s">
        <v>3493</v>
      </c>
      <c r="H460" s="5"/>
      <c r="I460" s="5" t="s">
        <v>3448</v>
      </c>
      <c r="J460" s="5" t="s">
        <v>3783</v>
      </c>
      <c r="K460" s="5" t="s">
        <v>4363</v>
      </c>
      <c r="L460" s="5">
        <v>17</v>
      </c>
      <c r="M460" s="5">
        <v>4</v>
      </c>
      <c r="N460" s="5" t="s">
        <v>3585</v>
      </c>
      <c r="O460" s="5" t="s">
        <v>3494</v>
      </c>
      <c r="P460" s="5">
        <v>2</v>
      </c>
      <c r="Q460" s="5">
        <v>1</v>
      </c>
      <c r="R460" s="5"/>
      <c r="S460" s="5">
        <v>61</v>
      </c>
      <c r="T460" s="5">
        <v>61</v>
      </c>
      <c r="U460" s="5">
        <v>61</v>
      </c>
    </row>
    <row r="461" spans="1:21" x14ac:dyDescent="0.25">
      <c r="A461" s="5" t="s">
        <v>7022</v>
      </c>
      <c r="B461" s="5" t="s">
        <v>4876</v>
      </c>
      <c r="C461" s="5" t="s">
        <v>3548</v>
      </c>
      <c r="D461" s="5" t="s">
        <v>3782</v>
      </c>
      <c r="E461" s="5" t="s">
        <v>4363</v>
      </c>
      <c r="F461" s="5" t="s">
        <v>3584</v>
      </c>
      <c r="G461" s="5" t="s">
        <v>3782</v>
      </c>
      <c r="H461" s="5"/>
      <c r="I461" s="5" t="s">
        <v>3448</v>
      </c>
      <c r="J461" s="5" t="s">
        <v>3783</v>
      </c>
      <c r="K461" s="5" t="s">
        <v>4363</v>
      </c>
      <c r="L461" s="5">
        <v>28</v>
      </c>
      <c r="M461" s="5">
        <v>3</v>
      </c>
      <c r="N461" s="5" t="s">
        <v>3585</v>
      </c>
      <c r="O461" s="5" t="s">
        <v>3827</v>
      </c>
      <c r="P461" s="5">
        <v>4</v>
      </c>
      <c r="Q461" s="5">
        <v>1</v>
      </c>
      <c r="R461" s="5"/>
      <c r="S461" s="5">
        <v>66</v>
      </c>
      <c r="T461" s="5">
        <v>66</v>
      </c>
      <c r="U461" s="5">
        <v>66</v>
      </c>
    </row>
    <row r="462" spans="1:21" x14ac:dyDescent="0.25">
      <c r="A462" s="5" t="s">
        <v>4475</v>
      </c>
      <c r="B462" s="5" t="s">
        <v>4476</v>
      </c>
      <c r="C462" s="5" t="s">
        <v>3548</v>
      </c>
      <c r="D462" s="5" t="s">
        <v>3782</v>
      </c>
      <c r="E462" s="5" t="s">
        <v>4363</v>
      </c>
      <c r="F462" s="5" t="s">
        <v>4390</v>
      </c>
      <c r="G462" s="5" t="s">
        <v>3493</v>
      </c>
      <c r="H462" s="5"/>
      <c r="I462" s="5" t="s">
        <v>3448</v>
      </c>
      <c r="J462" s="5" t="s">
        <v>3783</v>
      </c>
      <c r="K462" s="5" t="s">
        <v>4363</v>
      </c>
      <c r="L462" s="5">
        <v>17</v>
      </c>
      <c r="M462" s="5">
        <v>4</v>
      </c>
      <c r="N462" s="5" t="s">
        <v>4391</v>
      </c>
      <c r="O462" s="5" t="s">
        <v>3494</v>
      </c>
      <c r="P462" s="5">
        <v>2</v>
      </c>
      <c r="Q462" s="5">
        <v>1</v>
      </c>
      <c r="R462" s="5"/>
      <c r="S462" s="5">
        <v>59</v>
      </c>
      <c r="T462" s="5">
        <v>59</v>
      </c>
      <c r="U462" s="5">
        <v>59</v>
      </c>
    </row>
    <row r="463" spans="1:21" x14ac:dyDescent="0.25">
      <c r="A463" s="5" t="s">
        <v>7023</v>
      </c>
      <c r="B463" s="5" t="s">
        <v>4900</v>
      </c>
      <c r="C463" s="5" t="s">
        <v>3548</v>
      </c>
      <c r="D463" s="5" t="s">
        <v>3782</v>
      </c>
      <c r="E463" s="5" t="s">
        <v>4363</v>
      </c>
      <c r="F463" s="5" t="s">
        <v>3584</v>
      </c>
      <c r="G463" s="5" t="s">
        <v>3782</v>
      </c>
      <c r="H463" s="5"/>
      <c r="I463" s="5" t="s">
        <v>3448</v>
      </c>
      <c r="J463" s="5" t="s">
        <v>3783</v>
      </c>
      <c r="K463" s="5" t="s">
        <v>4363</v>
      </c>
      <c r="L463" s="5">
        <v>28</v>
      </c>
      <c r="M463" s="5">
        <v>1</v>
      </c>
      <c r="N463" s="5" t="s">
        <v>3585</v>
      </c>
      <c r="O463" s="5" t="s">
        <v>3827</v>
      </c>
      <c r="P463" s="5">
        <v>4</v>
      </c>
      <c r="Q463" s="5">
        <v>1</v>
      </c>
      <c r="R463" s="5"/>
      <c r="S463" s="5">
        <v>22</v>
      </c>
      <c r="T463" s="5">
        <v>22</v>
      </c>
      <c r="U463" s="5">
        <v>22</v>
      </c>
    </row>
    <row r="464" spans="1:21" x14ac:dyDescent="0.25">
      <c r="A464" s="5" t="s">
        <v>4479</v>
      </c>
      <c r="B464" s="5" t="s">
        <v>4480</v>
      </c>
      <c r="C464" s="5" t="s">
        <v>3548</v>
      </c>
      <c r="D464" s="5" t="s">
        <v>3782</v>
      </c>
      <c r="E464" s="5" t="s">
        <v>4363</v>
      </c>
      <c r="F464" s="5" t="s">
        <v>4004</v>
      </c>
      <c r="G464" s="5" t="s">
        <v>3493</v>
      </c>
      <c r="H464" s="5"/>
      <c r="I464" s="5" t="s">
        <v>3448</v>
      </c>
      <c r="J464" s="5" t="s">
        <v>3783</v>
      </c>
      <c r="K464" s="5" t="s">
        <v>4363</v>
      </c>
      <c r="L464" s="5">
        <v>17</v>
      </c>
      <c r="M464" s="5">
        <v>4</v>
      </c>
      <c r="N464" s="5" t="s">
        <v>4005</v>
      </c>
      <c r="O464" s="5" t="s">
        <v>3494</v>
      </c>
      <c r="P464" s="5">
        <v>2</v>
      </c>
      <c r="Q464" s="5">
        <v>1</v>
      </c>
      <c r="R464" s="5"/>
      <c r="S464" s="5">
        <v>68</v>
      </c>
      <c r="T464" s="5">
        <v>68</v>
      </c>
      <c r="U464" s="5">
        <v>68</v>
      </c>
    </row>
    <row r="465" spans="1:21" x14ac:dyDescent="0.25">
      <c r="A465" s="5" t="s">
        <v>7024</v>
      </c>
      <c r="B465" s="5" t="s">
        <v>4926</v>
      </c>
      <c r="C465" s="5" t="s">
        <v>3548</v>
      </c>
      <c r="D465" s="5" t="s">
        <v>3782</v>
      </c>
      <c r="E465" s="5" t="s">
        <v>4363</v>
      </c>
      <c r="F465" s="5" t="s">
        <v>3584</v>
      </c>
      <c r="G465" s="5" t="s">
        <v>3782</v>
      </c>
      <c r="H465" s="5"/>
      <c r="I465" s="5" t="s">
        <v>3448</v>
      </c>
      <c r="J465" s="5" t="s">
        <v>3783</v>
      </c>
      <c r="K465" s="5" t="s">
        <v>4363</v>
      </c>
      <c r="L465" s="5">
        <v>28</v>
      </c>
      <c r="M465" s="5">
        <v>4</v>
      </c>
      <c r="N465" s="5" t="s">
        <v>3585</v>
      </c>
      <c r="O465" s="5" t="s">
        <v>3827</v>
      </c>
      <c r="P465" s="5">
        <v>4</v>
      </c>
      <c r="Q465" s="5">
        <v>1</v>
      </c>
      <c r="R465" s="5"/>
      <c r="S465" s="5">
        <v>85</v>
      </c>
      <c r="T465" s="5">
        <v>85</v>
      </c>
      <c r="U465" s="5">
        <v>85</v>
      </c>
    </row>
    <row r="466" spans="1:21" x14ac:dyDescent="0.25">
      <c r="A466" s="5" t="s">
        <v>7025</v>
      </c>
      <c r="B466" s="5" t="s">
        <v>4934</v>
      </c>
      <c r="C466" s="5" t="s">
        <v>3548</v>
      </c>
      <c r="D466" s="5" t="s">
        <v>3782</v>
      </c>
      <c r="E466" s="5" t="s">
        <v>4363</v>
      </c>
      <c r="F466" s="5" t="s">
        <v>4390</v>
      </c>
      <c r="G466" s="5" t="s">
        <v>3782</v>
      </c>
      <c r="H466" s="5"/>
      <c r="I466" s="5" t="s">
        <v>3448</v>
      </c>
      <c r="J466" s="5" t="s">
        <v>3783</v>
      </c>
      <c r="K466" s="5" t="s">
        <v>4363</v>
      </c>
      <c r="L466" s="5">
        <v>28</v>
      </c>
      <c r="M466" s="5">
        <v>4</v>
      </c>
      <c r="N466" s="5" t="s">
        <v>4391</v>
      </c>
      <c r="O466" s="5" t="s">
        <v>3827</v>
      </c>
      <c r="P466" s="5">
        <v>4</v>
      </c>
      <c r="Q466" s="5">
        <v>1</v>
      </c>
      <c r="R466" s="5"/>
      <c r="S466" s="5">
        <v>84</v>
      </c>
      <c r="T466" s="5">
        <v>84</v>
      </c>
      <c r="U466" s="5">
        <v>84</v>
      </c>
    </row>
    <row r="467" spans="1:21" x14ac:dyDescent="0.25">
      <c r="A467" s="5" t="s">
        <v>7026</v>
      </c>
      <c r="B467" s="5" t="s">
        <v>5004</v>
      </c>
      <c r="C467" s="5" t="s">
        <v>3548</v>
      </c>
      <c r="D467" s="5" t="s">
        <v>3782</v>
      </c>
      <c r="E467" s="5" t="s">
        <v>4363</v>
      </c>
      <c r="F467" s="5" t="s">
        <v>3584</v>
      </c>
      <c r="G467" s="5" t="s">
        <v>3782</v>
      </c>
      <c r="H467" s="5"/>
      <c r="I467" s="5" t="s">
        <v>3448</v>
      </c>
      <c r="J467" s="5" t="s">
        <v>3783</v>
      </c>
      <c r="K467" s="5" t="s">
        <v>4363</v>
      </c>
      <c r="L467" s="5">
        <v>30</v>
      </c>
      <c r="M467" s="5">
        <v>2</v>
      </c>
      <c r="N467" s="5" t="s">
        <v>3585</v>
      </c>
      <c r="O467" s="5" t="s">
        <v>3827</v>
      </c>
      <c r="P467" s="5">
        <v>4</v>
      </c>
      <c r="Q467" s="5">
        <v>1</v>
      </c>
      <c r="R467" s="5"/>
      <c r="S467" s="5">
        <v>48</v>
      </c>
      <c r="T467" s="5">
        <v>48</v>
      </c>
      <c r="U467" s="5">
        <v>48</v>
      </c>
    </row>
    <row r="468" spans="1:21" x14ac:dyDescent="0.25">
      <c r="A468" s="5" t="s">
        <v>4487</v>
      </c>
      <c r="B468" s="5" t="s">
        <v>4488</v>
      </c>
      <c r="C468" s="5" t="s">
        <v>3548</v>
      </c>
      <c r="D468" s="5" t="s">
        <v>3782</v>
      </c>
      <c r="E468" s="5" t="s">
        <v>4363</v>
      </c>
      <c r="F468" s="5" t="s">
        <v>4421</v>
      </c>
      <c r="G468" s="5" t="s">
        <v>3493</v>
      </c>
      <c r="H468" s="5"/>
      <c r="I468" s="5" t="s">
        <v>3448</v>
      </c>
      <c r="J468" s="5" t="s">
        <v>3783</v>
      </c>
      <c r="K468" s="5" t="s">
        <v>4363</v>
      </c>
      <c r="L468" s="5">
        <v>17</v>
      </c>
      <c r="M468" s="5">
        <v>4</v>
      </c>
      <c r="N468" s="5" t="s">
        <v>4422</v>
      </c>
      <c r="O468" s="5" t="s">
        <v>3494</v>
      </c>
      <c r="P468" s="5">
        <v>2</v>
      </c>
      <c r="Q468" s="5">
        <v>1</v>
      </c>
      <c r="R468" s="5"/>
      <c r="S468" s="5">
        <v>61</v>
      </c>
      <c r="T468" s="5">
        <v>61</v>
      </c>
      <c r="U468" s="5">
        <v>61</v>
      </c>
    </row>
    <row r="469" spans="1:21" x14ac:dyDescent="0.25">
      <c r="A469" s="5" t="s">
        <v>4489</v>
      </c>
      <c r="B469" s="5" t="s">
        <v>4490</v>
      </c>
      <c r="C469" s="5" t="s">
        <v>3548</v>
      </c>
      <c r="D469" s="5" t="s">
        <v>3782</v>
      </c>
      <c r="E469" s="5" t="s">
        <v>4363</v>
      </c>
      <c r="F469" s="5" t="s">
        <v>4004</v>
      </c>
      <c r="G469" s="5" t="s">
        <v>3493</v>
      </c>
      <c r="H469" s="5"/>
      <c r="I469" s="5" t="s">
        <v>3448</v>
      </c>
      <c r="J469" s="5" t="s">
        <v>3783</v>
      </c>
      <c r="K469" s="5" t="s">
        <v>4363</v>
      </c>
      <c r="L469" s="5">
        <v>17</v>
      </c>
      <c r="M469" s="5">
        <v>4</v>
      </c>
      <c r="N469" s="5" t="s">
        <v>4005</v>
      </c>
      <c r="O469" s="5" t="s">
        <v>3494</v>
      </c>
      <c r="P469" s="5">
        <v>3</v>
      </c>
      <c r="Q469" s="5">
        <v>1</v>
      </c>
      <c r="R469" s="5"/>
      <c r="S469" s="5">
        <v>85</v>
      </c>
      <c r="T469" s="5">
        <v>85</v>
      </c>
      <c r="U469" s="5">
        <v>85</v>
      </c>
    </row>
    <row r="470" spans="1:21" x14ac:dyDescent="0.25">
      <c r="A470" s="5" t="s">
        <v>4491</v>
      </c>
      <c r="B470" s="5" t="s">
        <v>4492</v>
      </c>
      <c r="C470" s="5" t="s">
        <v>3548</v>
      </c>
      <c r="D470" s="5" t="s">
        <v>3782</v>
      </c>
      <c r="E470" s="5" t="s">
        <v>4363</v>
      </c>
      <c r="F470" s="5" t="s">
        <v>4004</v>
      </c>
      <c r="G470" s="5" t="s">
        <v>3493</v>
      </c>
      <c r="H470" s="5"/>
      <c r="I470" s="5" t="s">
        <v>3448</v>
      </c>
      <c r="J470" s="5" t="s">
        <v>3783</v>
      </c>
      <c r="K470" s="5" t="s">
        <v>4363</v>
      </c>
      <c r="L470" s="5">
        <v>25</v>
      </c>
      <c r="M470" s="5">
        <v>10</v>
      </c>
      <c r="N470" s="5" t="s">
        <v>4005</v>
      </c>
      <c r="O470" s="5" t="s">
        <v>3494</v>
      </c>
      <c r="P470" s="5">
        <v>4</v>
      </c>
      <c r="Q470" s="5">
        <v>3</v>
      </c>
      <c r="R470" s="5"/>
      <c r="S470" s="5">
        <v>222</v>
      </c>
      <c r="T470" s="5">
        <v>222</v>
      </c>
      <c r="U470" s="5">
        <v>222</v>
      </c>
    </row>
    <row r="471" spans="1:21" x14ac:dyDescent="0.25">
      <c r="A471" s="5" t="s">
        <v>7027</v>
      </c>
      <c r="B471" s="5" t="s">
        <v>5012</v>
      </c>
      <c r="C471" s="5" t="s">
        <v>3548</v>
      </c>
      <c r="D471" s="5" t="s">
        <v>3782</v>
      </c>
      <c r="E471" s="5" t="s">
        <v>4363</v>
      </c>
      <c r="F471" s="5" t="s">
        <v>4390</v>
      </c>
      <c r="G471" s="5" t="s">
        <v>3782</v>
      </c>
      <c r="H471" s="5"/>
      <c r="I471" s="5" t="s">
        <v>3448</v>
      </c>
      <c r="J471" s="5" t="s">
        <v>3783</v>
      </c>
      <c r="K471" s="5" t="s">
        <v>4363</v>
      </c>
      <c r="L471" s="5">
        <v>30</v>
      </c>
      <c r="M471" s="5">
        <v>2</v>
      </c>
      <c r="N471" s="5" t="s">
        <v>4391</v>
      </c>
      <c r="O471" s="5" t="s">
        <v>3827</v>
      </c>
      <c r="P471" s="5">
        <v>4</v>
      </c>
      <c r="Q471" s="5">
        <v>1</v>
      </c>
      <c r="R471" s="5"/>
      <c r="S471" s="5">
        <v>46</v>
      </c>
      <c r="T471" s="5">
        <v>46</v>
      </c>
      <c r="U471" s="5">
        <v>46</v>
      </c>
    </row>
    <row r="472" spans="1:21" x14ac:dyDescent="0.25">
      <c r="A472" s="5" t="s">
        <v>7028</v>
      </c>
      <c r="B472" s="5" t="s">
        <v>5032</v>
      </c>
      <c r="C472" s="5" t="s">
        <v>3548</v>
      </c>
      <c r="D472" s="5" t="s">
        <v>3782</v>
      </c>
      <c r="E472" s="5" t="s">
        <v>4363</v>
      </c>
      <c r="F472" s="5" t="s">
        <v>3584</v>
      </c>
      <c r="G472" s="5" t="s">
        <v>3782</v>
      </c>
      <c r="H472" s="5"/>
      <c r="I472" s="5" t="s">
        <v>3448</v>
      </c>
      <c r="J472" s="5" t="s">
        <v>3783</v>
      </c>
      <c r="K472" s="5" t="s">
        <v>4363</v>
      </c>
      <c r="L472" s="5">
        <v>30</v>
      </c>
      <c r="M472" s="5">
        <v>3</v>
      </c>
      <c r="N472" s="5" t="s">
        <v>3585</v>
      </c>
      <c r="O472" s="5" t="s">
        <v>3827</v>
      </c>
      <c r="P472" s="5">
        <v>4</v>
      </c>
      <c r="Q472" s="5">
        <v>2</v>
      </c>
      <c r="R472" s="5"/>
      <c r="S472" s="5">
        <v>78</v>
      </c>
      <c r="T472" s="5">
        <v>78</v>
      </c>
      <c r="U472" s="5">
        <v>78</v>
      </c>
    </row>
    <row r="473" spans="1:21" x14ac:dyDescent="0.25">
      <c r="A473" s="5" t="s">
        <v>4497</v>
      </c>
      <c r="B473" s="5" t="s">
        <v>4498</v>
      </c>
      <c r="C473" s="5" t="s">
        <v>3548</v>
      </c>
      <c r="D473" s="5" t="s">
        <v>3782</v>
      </c>
      <c r="E473" s="5" t="s">
        <v>4363</v>
      </c>
      <c r="F473" s="5" t="s">
        <v>4004</v>
      </c>
      <c r="G473" s="5" t="s">
        <v>3493</v>
      </c>
      <c r="H473" s="5"/>
      <c r="I473" s="5" t="s">
        <v>3448</v>
      </c>
      <c r="J473" s="5" t="s">
        <v>3783</v>
      </c>
      <c r="K473" s="5" t="s">
        <v>4363</v>
      </c>
      <c r="L473" s="5">
        <v>25</v>
      </c>
      <c r="M473" s="5">
        <v>12</v>
      </c>
      <c r="N473" s="5" t="s">
        <v>4005</v>
      </c>
      <c r="O473" s="5" t="s">
        <v>3494</v>
      </c>
      <c r="P473" s="5">
        <v>4</v>
      </c>
      <c r="Q473" s="5">
        <v>3</v>
      </c>
      <c r="R473" s="5"/>
      <c r="S473" s="5">
        <v>268</v>
      </c>
      <c r="T473" s="5">
        <v>268</v>
      </c>
      <c r="U473" s="5">
        <v>268</v>
      </c>
    </row>
    <row r="474" spans="1:21" x14ac:dyDescent="0.25">
      <c r="A474" s="5" t="s">
        <v>7029</v>
      </c>
      <c r="B474" s="5" t="s">
        <v>5038</v>
      </c>
      <c r="C474" s="5" t="s">
        <v>3548</v>
      </c>
      <c r="D474" s="5" t="s">
        <v>3782</v>
      </c>
      <c r="E474" s="5" t="s">
        <v>4363</v>
      </c>
      <c r="F474" s="5" t="s">
        <v>3584</v>
      </c>
      <c r="G474" s="5" t="s">
        <v>3782</v>
      </c>
      <c r="H474" s="5"/>
      <c r="I474" s="5" t="s">
        <v>3448</v>
      </c>
      <c r="J474" s="5" t="s">
        <v>3783</v>
      </c>
      <c r="K474" s="5" t="s">
        <v>4363</v>
      </c>
      <c r="L474" s="5">
        <v>30</v>
      </c>
      <c r="M474" s="5">
        <v>3</v>
      </c>
      <c r="N474" s="5" t="s">
        <v>3585</v>
      </c>
      <c r="O474" s="5" t="s">
        <v>3827</v>
      </c>
      <c r="P474" s="5">
        <v>4</v>
      </c>
      <c r="Q474" s="5">
        <v>1</v>
      </c>
      <c r="R474" s="5"/>
      <c r="S474" s="5">
        <v>70</v>
      </c>
      <c r="T474" s="5">
        <v>70</v>
      </c>
      <c r="U474" s="5">
        <v>70</v>
      </c>
    </row>
    <row r="475" spans="1:21" x14ac:dyDescent="0.25">
      <c r="A475" s="5" t="s">
        <v>7030</v>
      </c>
      <c r="B475" s="5" t="s">
        <v>5044</v>
      </c>
      <c r="C475" s="5" t="s">
        <v>3548</v>
      </c>
      <c r="D475" s="5" t="s">
        <v>3782</v>
      </c>
      <c r="E475" s="5" t="s">
        <v>4363</v>
      </c>
      <c r="F475" s="5" t="s">
        <v>4390</v>
      </c>
      <c r="G475" s="5" t="s">
        <v>3782</v>
      </c>
      <c r="H475" s="5"/>
      <c r="I475" s="5" t="s">
        <v>3448</v>
      </c>
      <c r="J475" s="5" t="s">
        <v>3783</v>
      </c>
      <c r="K475" s="5" t="s">
        <v>4363</v>
      </c>
      <c r="L475" s="5">
        <v>30</v>
      </c>
      <c r="M475" s="5">
        <v>3</v>
      </c>
      <c r="N475" s="5" t="s">
        <v>4391</v>
      </c>
      <c r="O475" s="5" t="s">
        <v>3827</v>
      </c>
      <c r="P475" s="5">
        <v>4</v>
      </c>
      <c r="Q475" s="5">
        <v>1</v>
      </c>
      <c r="R475" s="5"/>
      <c r="S475" s="5">
        <v>66</v>
      </c>
      <c r="T475" s="5">
        <v>66</v>
      </c>
      <c r="U475" s="5">
        <v>66</v>
      </c>
    </row>
    <row r="476" spans="1:21" x14ac:dyDescent="0.25">
      <c r="A476" s="5" t="s">
        <v>7031</v>
      </c>
      <c r="B476" s="5" t="s">
        <v>5048</v>
      </c>
      <c r="C476" s="5" t="s">
        <v>3548</v>
      </c>
      <c r="D476" s="5" t="s">
        <v>3782</v>
      </c>
      <c r="E476" s="5" t="s">
        <v>4363</v>
      </c>
      <c r="F476" s="5" t="s">
        <v>4004</v>
      </c>
      <c r="G476" s="5" t="s">
        <v>3782</v>
      </c>
      <c r="H476" s="5"/>
      <c r="I476" s="5" t="s">
        <v>3448</v>
      </c>
      <c r="J476" s="5" t="s">
        <v>3783</v>
      </c>
      <c r="K476" s="5" t="s">
        <v>4363</v>
      </c>
      <c r="L476" s="5">
        <v>30</v>
      </c>
      <c r="M476" s="5">
        <v>3</v>
      </c>
      <c r="N476" s="5" t="s">
        <v>4005</v>
      </c>
      <c r="O476" s="5" t="s">
        <v>3827</v>
      </c>
      <c r="P476" s="5">
        <v>4</v>
      </c>
      <c r="Q476" s="5">
        <v>1</v>
      </c>
      <c r="R476" s="5"/>
      <c r="S476" s="5">
        <v>70</v>
      </c>
      <c r="T476" s="5">
        <v>70</v>
      </c>
      <c r="U476" s="5">
        <v>70</v>
      </c>
    </row>
    <row r="477" spans="1:21" x14ac:dyDescent="0.25">
      <c r="A477" s="5" t="s">
        <v>4505</v>
      </c>
      <c r="B477" s="5" t="s">
        <v>4506</v>
      </c>
      <c r="C477" s="5" t="s">
        <v>3548</v>
      </c>
      <c r="D477" s="5" t="s">
        <v>3782</v>
      </c>
      <c r="E477" s="5" t="s">
        <v>4363</v>
      </c>
      <c r="F477" s="5" t="s">
        <v>3584</v>
      </c>
      <c r="G477" s="5" t="s">
        <v>3501</v>
      </c>
      <c r="H477" s="5"/>
      <c r="I477" s="5" t="s">
        <v>3448</v>
      </c>
      <c r="J477" s="5" t="s">
        <v>3783</v>
      </c>
      <c r="K477" s="5" t="s">
        <v>4363</v>
      </c>
      <c r="L477" s="5">
        <v>25</v>
      </c>
      <c r="M477" s="5">
        <v>2</v>
      </c>
      <c r="N477" s="5" t="s">
        <v>3585</v>
      </c>
      <c r="O477" s="5" t="s">
        <v>3502</v>
      </c>
      <c r="P477" s="5">
        <v>3</v>
      </c>
      <c r="Q477" s="5">
        <v>1</v>
      </c>
      <c r="R477" s="5"/>
      <c r="S477" s="5">
        <v>48</v>
      </c>
      <c r="T477" s="5">
        <v>48</v>
      </c>
      <c r="U477" s="5">
        <v>48</v>
      </c>
    </row>
    <row r="478" spans="1:21" x14ac:dyDescent="0.25">
      <c r="A478" s="5" t="s">
        <v>4507</v>
      </c>
      <c r="B478" s="5" t="s">
        <v>4508</v>
      </c>
      <c r="C478" s="5" t="s">
        <v>3548</v>
      </c>
      <c r="D478" s="5" t="s">
        <v>3782</v>
      </c>
      <c r="E478" s="5" t="s">
        <v>4363</v>
      </c>
      <c r="F478" s="5" t="s">
        <v>3584</v>
      </c>
      <c r="G478" s="5" t="s">
        <v>3493</v>
      </c>
      <c r="H478" s="5"/>
      <c r="I478" s="5" t="s">
        <v>3448</v>
      </c>
      <c r="J478" s="5" t="s">
        <v>3783</v>
      </c>
      <c r="K478" s="5" t="s">
        <v>4363</v>
      </c>
      <c r="L478" s="5">
        <v>25</v>
      </c>
      <c r="M478" s="5">
        <v>2</v>
      </c>
      <c r="N478" s="5" t="s">
        <v>3585</v>
      </c>
      <c r="O478" s="5" t="s">
        <v>3494</v>
      </c>
      <c r="P478" s="5">
        <v>3</v>
      </c>
      <c r="Q478" s="5">
        <v>1</v>
      </c>
      <c r="R478" s="5"/>
      <c r="S478" s="5">
        <v>46</v>
      </c>
      <c r="T478" s="5">
        <v>46</v>
      </c>
      <c r="U478" s="5">
        <v>46</v>
      </c>
    </row>
    <row r="479" spans="1:21" x14ac:dyDescent="0.25">
      <c r="A479" s="5" t="s">
        <v>7032</v>
      </c>
      <c r="B479" s="5" t="s">
        <v>5064</v>
      </c>
      <c r="C479" s="5" t="s">
        <v>3548</v>
      </c>
      <c r="D479" s="5" t="s">
        <v>3782</v>
      </c>
      <c r="E479" s="5" t="s">
        <v>4363</v>
      </c>
      <c r="F479" s="5" t="s">
        <v>3584</v>
      </c>
      <c r="G479" s="5" t="s">
        <v>3782</v>
      </c>
      <c r="H479" s="5"/>
      <c r="I479" s="5" t="s">
        <v>3448</v>
      </c>
      <c r="J479" s="5" t="s">
        <v>3783</v>
      </c>
      <c r="K479" s="5" t="s">
        <v>4363</v>
      </c>
      <c r="L479" s="5">
        <v>30</v>
      </c>
      <c r="M479" s="5">
        <v>1</v>
      </c>
      <c r="N479" s="5" t="s">
        <v>3585</v>
      </c>
      <c r="O479" s="5" t="s">
        <v>3827</v>
      </c>
      <c r="P479" s="5">
        <v>4</v>
      </c>
      <c r="Q479" s="5">
        <v>1</v>
      </c>
      <c r="R479" s="5"/>
      <c r="S479" s="5">
        <v>27</v>
      </c>
      <c r="T479" s="5">
        <v>27</v>
      </c>
      <c r="U479" s="5">
        <v>27</v>
      </c>
    </row>
    <row r="480" spans="1:21" x14ac:dyDescent="0.25">
      <c r="A480" s="5" t="s">
        <v>4515</v>
      </c>
      <c r="B480" s="5" t="s">
        <v>4516</v>
      </c>
      <c r="C480" s="5" t="s">
        <v>3548</v>
      </c>
      <c r="D480" s="5" t="s">
        <v>3782</v>
      </c>
      <c r="E480" s="5" t="s">
        <v>4363</v>
      </c>
      <c r="F480" s="5" t="s">
        <v>4390</v>
      </c>
      <c r="G480" s="5" t="s">
        <v>3493</v>
      </c>
      <c r="H480" s="5"/>
      <c r="I480" s="5" t="s">
        <v>3448</v>
      </c>
      <c r="J480" s="5" t="s">
        <v>3783</v>
      </c>
      <c r="K480" s="5" t="s">
        <v>4363</v>
      </c>
      <c r="L480" s="5">
        <v>25</v>
      </c>
      <c r="M480" s="5">
        <v>2</v>
      </c>
      <c r="N480" s="5" t="s">
        <v>4391</v>
      </c>
      <c r="O480" s="5" t="s">
        <v>3494</v>
      </c>
      <c r="P480" s="5">
        <v>3</v>
      </c>
      <c r="Q480" s="5">
        <v>1</v>
      </c>
      <c r="R480" s="5"/>
      <c r="S480" s="5">
        <v>44</v>
      </c>
      <c r="T480" s="5">
        <v>44</v>
      </c>
      <c r="U480" s="5">
        <v>44</v>
      </c>
    </row>
    <row r="481" spans="1:21" x14ac:dyDescent="0.25">
      <c r="A481" s="5" t="s">
        <v>7033</v>
      </c>
      <c r="B481" s="5" t="s">
        <v>5088</v>
      </c>
      <c r="C481" s="5" t="s">
        <v>3548</v>
      </c>
      <c r="D481" s="5" t="s">
        <v>3782</v>
      </c>
      <c r="E481" s="5" t="s">
        <v>4363</v>
      </c>
      <c r="F481" s="5" t="s">
        <v>3584</v>
      </c>
      <c r="G481" s="5" t="s">
        <v>3782</v>
      </c>
      <c r="H481" s="5"/>
      <c r="I481" s="5" t="s">
        <v>3448</v>
      </c>
      <c r="J481" s="5" t="s">
        <v>3783</v>
      </c>
      <c r="K481" s="5" t="s">
        <v>4363</v>
      </c>
      <c r="L481" s="5">
        <v>30</v>
      </c>
      <c r="M481" s="5">
        <v>4</v>
      </c>
      <c r="N481" s="5" t="s">
        <v>3585</v>
      </c>
      <c r="O481" s="5" t="s">
        <v>3827</v>
      </c>
      <c r="P481" s="5">
        <v>4</v>
      </c>
      <c r="Q481" s="5">
        <v>2</v>
      </c>
      <c r="R481" s="5"/>
      <c r="S481" s="5">
        <v>96</v>
      </c>
      <c r="T481" s="5">
        <v>96</v>
      </c>
      <c r="U481" s="5">
        <v>96</v>
      </c>
    </row>
    <row r="482" spans="1:21" x14ac:dyDescent="0.25">
      <c r="A482" s="5" t="s">
        <v>4521</v>
      </c>
      <c r="B482" s="5" t="s">
        <v>4522</v>
      </c>
      <c r="C482" s="5" t="s">
        <v>3548</v>
      </c>
      <c r="D482" s="5" t="s">
        <v>3782</v>
      </c>
      <c r="E482" s="5" t="s">
        <v>4363</v>
      </c>
      <c r="F482" s="5" t="s">
        <v>4004</v>
      </c>
      <c r="G482" s="5" t="s">
        <v>3501</v>
      </c>
      <c r="H482" s="5"/>
      <c r="I482" s="5" t="s">
        <v>3448</v>
      </c>
      <c r="J482" s="5" t="s">
        <v>3783</v>
      </c>
      <c r="K482" s="5" t="s">
        <v>4363</v>
      </c>
      <c r="L482" s="5">
        <v>25</v>
      </c>
      <c r="M482" s="5">
        <v>2</v>
      </c>
      <c r="N482" s="5" t="s">
        <v>4005</v>
      </c>
      <c r="O482" s="5" t="s">
        <v>3502</v>
      </c>
      <c r="P482" s="5">
        <v>3</v>
      </c>
      <c r="Q482" s="5">
        <v>1</v>
      </c>
      <c r="R482" s="5"/>
      <c r="S482" s="5">
        <v>50</v>
      </c>
      <c r="T482" s="5">
        <v>50</v>
      </c>
      <c r="U482" s="5">
        <v>50</v>
      </c>
    </row>
    <row r="483" spans="1:21" x14ac:dyDescent="0.25">
      <c r="A483" s="5" t="s">
        <v>4523</v>
      </c>
      <c r="B483" s="5" t="s">
        <v>4524</v>
      </c>
      <c r="C483" s="5" t="s">
        <v>3548</v>
      </c>
      <c r="D483" s="5" t="s">
        <v>3782</v>
      </c>
      <c r="E483" s="5" t="s">
        <v>4363</v>
      </c>
      <c r="F483" s="5" t="s">
        <v>4004</v>
      </c>
      <c r="G483" s="5" t="s">
        <v>3493</v>
      </c>
      <c r="H483" s="5"/>
      <c r="I483" s="5" t="s">
        <v>3448</v>
      </c>
      <c r="J483" s="5" t="s">
        <v>3783</v>
      </c>
      <c r="K483" s="5" t="s">
        <v>4363</v>
      </c>
      <c r="L483" s="5">
        <v>25</v>
      </c>
      <c r="M483" s="5">
        <v>2</v>
      </c>
      <c r="N483" s="5" t="s">
        <v>4005</v>
      </c>
      <c r="O483" s="5" t="s">
        <v>3494</v>
      </c>
      <c r="P483" s="5">
        <v>3</v>
      </c>
      <c r="Q483" s="5">
        <v>1</v>
      </c>
      <c r="R483" s="5"/>
      <c r="S483" s="5">
        <v>46</v>
      </c>
      <c r="T483" s="5">
        <v>46</v>
      </c>
      <c r="U483" s="5">
        <v>46</v>
      </c>
    </row>
    <row r="484" spans="1:21" x14ac:dyDescent="0.25">
      <c r="A484" s="5" t="s">
        <v>7034</v>
      </c>
      <c r="B484" s="5" t="s">
        <v>5092</v>
      </c>
      <c r="C484" s="5" t="s">
        <v>3548</v>
      </c>
      <c r="D484" s="5" t="s">
        <v>3782</v>
      </c>
      <c r="E484" s="5" t="s">
        <v>4363</v>
      </c>
      <c r="F484" s="5" t="s">
        <v>3584</v>
      </c>
      <c r="G484" s="5" t="s">
        <v>3782</v>
      </c>
      <c r="H484" s="5"/>
      <c r="I484" s="5" t="s">
        <v>3448</v>
      </c>
      <c r="J484" s="5" t="s">
        <v>3783</v>
      </c>
      <c r="K484" s="5" t="s">
        <v>4363</v>
      </c>
      <c r="L484" s="5">
        <v>30</v>
      </c>
      <c r="M484" s="5">
        <v>4</v>
      </c>
      <c r="N484" s="5" t="s">
        <v>3585</v>
      </c>
      <c r="O484" s="5" t="s">
        <v>3827</v>
      </c>
      <c r="P484" s="5">
        <v>4</v>
      </c>
      <c r="Q484" s="5">
        <v>1</v>
      </c>
      <c r="R484" s="5"/>
      <c r="S484" s="5">
        <v>91</v>
      </c>
      <c r="T484" s="5">
        <v>91</v>
      </c>
      <c r="U484" s="5">
        <v>91</v>
      </c>
    </row>
    <row r="485" spans="1:21" x14ac:dyDescent="0.25">
      <c r="A485" s="5" t="s">
        <v>7035</v>
      </c>
      <c r="B485" s="5" t="s">
        <v>5096</v>
      </c>
      <c r="C485" s="5" t="s">
        <v>3548</v>
      </c>
      <c r="D485" s="5" t="s">
        <v>3782</v>
      </c>
      <c r="E485" s="5" t="s">
        <v>4363</v>
      </c>
      <c r="F485" s="5" t="s">
        <v>4390</v>
      </c>
      <c r="G485" s="5" t="s">
        <v>3782</v>
      </c>
      <c r="H485" s="5"/>
      <c r="I485" s="5" t="s">
        <v>3448</v>
      </c>
      <c r="J485" s="5" t="s">
        <v>3783</v>
      </c>
      <c r="K485" s="5" t="s">
        <v>4363</v>
      </c>
      <c r="L485" s="5">
        <v>30</v>
      </c>
      <c r="M485" s="5">
        <v>4</v>
      </c>
      <c r="N485" s="5" t="s">
        <v>4391</v>
      </c>
      <c r="O485" s="5" t="s">
        <v>3827</v>
      </c>
      <c r="P485" s="5">
        <v>4</v>
      </c>
      <c r="Q485" s="5">
        <v>1</v>
      </c>
      <c r="R485" s="5"/>
      <c r="S485" s="5">
        <v>88</v>
      </c>
      <c r="T485" s="5">
        <v>88</v>
      </c>
      <c r="U485" s="5">
        <v>88</v>
      </c>
    </row>
    <row r="486" spans="1:21" x14ac:dyDescent="0.25">
      <c r="A486" s="5" t="s">
        <v>7036</v>
      </c>
      <c r="B486" s="5" t="s">
        <v>5130</v>
      </c>
      <c r="C486" s="5" t="s">
        <v>3548</v>
      </c>
      <c r="D486" s="5" t="s">
        <v>3782</v>
      </c>
      <c r="E486" s="5" t="s">
        <v>4363</v>
      </c>
      <c r="F486" s="5" t="s">
        <v>3584</v>
      </c>
      <c r="G486" s="5" t="s">
        <v>3782</v>
      </c>
      <c r="H486" s="5"/>
      <c r="I486" s="5" t="s">
        <v>3448</v>
      </c>
      <c r="J486" s="5" t="s">
        <v>3783</v>
      </c>
      <c r="K486" s="5" t="s">
        <v>4363</v>
      </c>
      <c r="L486" s="5">
        <v>30</v>
      </c>
      <c r="M486" s="5">
        <v>6</v>
      </c>
      <c r="N486" s="5" t="s">
        <v>3585</v>
      </c>
      <c r="O486" s="5" t="s">
        <v>3827</v>
      </c>
      <c r="P486" s="5">
        <v>4</v>
      </c>
      <c r="Q486" s="5">
        <v>2</v>
      </c>
      <c r="R486" s="5"/>
      <c r="S486" s="5">
        <v>132</v>
      </c>
      <c r="T486" s="5">
        <v>132</v>
      </c>
      <c r="U486" s="5">
        <v>132</v>
      </c>
    </row>
    <row r="487" spans="1:21" x14ac:dyDescent="0.25">
      <c r="A487" s="5" t="s">
        <v>4533</v>
      </c>
      <c r="B487" s="5" t="s">
        <v>4534</v>
      </c>
      <c r="C487" s="5" t="s">
        <v>3548</v>
      </c>
      <c r="D487" s="5" t="s">
        <v>3782</v>
      </c>
      <c r="E487" s="5" t="s">
        <v>4363</v>
      </c>
      <c r="F487" s="5" t="s">
        <v>4421</v>
      </c>
      <c r="G487" s="5" t="s">
        <v>3493</v>
      </c>
      <c r="H487" s="5"/>
      <c r="I487" s="5" t="s">
        <v>3448</v>
      </c>
      <c r="J487" s="5" t="s">
        <v>3783</v>
      </c>
      <c r="K487" s="5" t="s">
        <v>4363</v>
      </c>
      <c r="L487" s="5">
        <v>25</v>
      </c>
      <c r="M487" s="5">
        <v>2</v>
      </c>
      <c r="N487" s="5" t="s">
        <v>4422</v>
      </c>
      <c r="O487" s="5" t="s">
        <v>3494</v>
      </c>
      <c r="P487" s="5">
        <v>3</v>
      </c>
      <c r="Q487" s="5">
        <v>1</v>
      </c>
      <c r="R487" s="5"/>
      <c r="S487" s="5">
        <v>43</v>
      </c>
      <c r="T487" s="5">
        <v>43</v>
      </c>
      <c r="U487" s="5">
        <v>43</v>
      </c>
    </row>
    <row r="488" spans="1:21" x14ac:dyDescent="0.25">
      <c r="A488" s="5" t="s">
        <v>4535</v>
      </c>
      <c r="B488" s="5" t="s">
        <v>4536</v>
      </c>
      <c r="C488" s="5" t="s">
        <v>3548</v>
      </c>
      <c r="D488" s="5" t="s">
        <v>3782</v>
      </c>
      <c r="E488" s="5" t="s">
        <v>4363</v>
      </c>
      <c r="F488" s="5" t="s">
        <v>3584</v>
      </c>
      <c r="G488" s="5" t="s">
        <v>3501</v>
      </c>
      <c r="H488" s="5"/>
      <c r="I488" s="5" t="s">
        <v>3448</v>
      </c>
      <c r="J488" s="5" t="s">
        <v>3783</v>
      </c>
      <c r="K488" s="5" t="s">
        <v>4363</v>
      </c>
      <c r="L488" s="5">
        <v>25</v>
      </c>
      <c r="M488" s="5">
        <v>2</v>
      </c>
      <c r="N488" s="5" t="s">
        <v>3585</v>
      </c>
      <c r="O488" s="5" t="s">
        <v>3502</v>
      </c>
      <c r="P488" s="5">
        <v>4</v>
      </c>
      <c r="Q488" s="5">
        <v>1</v>
      </c>
      <c r="R488" s="5"/>
      <c r="S488" s="5">
        <v>65</v>
      </c>
      <c r="T488" s="5">
        <v>65</v>
      </c>
      <c r="U488" s="5">
        <v>65</v>
      </c>
    </row>
    <row r="489" spans="1:21" x14ac:dyDescent="0.25">
      <c r="A489" s="5" t="s">
        <v>4537</v>
      </c>
      <c r="B489" s="5" t="s">
        <v>4538</v>
      </c>
      <c r="C489" s="5" t="s">
        <v>3548</v>
      </c>
      <c r="D489" s="5" t="s">
        <v>3782</v>
      </c>
      <c r="E489" s="5" t="s">
        <v>4363</v>
      </c>
      <c r="F489" s="5" t="s">
        <v>3584</v>
      </c>
      <c r="G489" s="5" t="s">
        <v>3493</v>
      </c>
      <c r="H489" s="5"/>
      <c r="I489" s="5" t="s">
        <v>3448</v>
      </c>
      <c r="J489" s="5" t="s">
        <v>3783</v>
      </c>
      <c r="K489" s="5" t="s">
        <v>4363</v>
      </c>
      <c r="L489" s="5">
        <v>25</v>
      </c>
      <c r="M489" s="5">
        <v>2</v>
      </c>
      <c r="N489" s="5" t="s">
        <v>3585</v>
      </c>
      <c r="O489" s="5" t="s">
        <v>3494</v>
      </c>
      <c r="P489" s="5">
        <v>4</v>
      </c>
      <c r="Q489" s="5">
        <v>1</v>
      </c>
      <c r="R489" s="5"/>
      <c r="S489" s="5">
        <v>46</v>
      </c>
      <c r="T489" s="5">
        <v>46</v>
      </c>
      <c r="U489" s="5">
        <v>46</v>
      </c>
    </row>
    <row r="490" spans="1:21" x14ac:dyDescent="0.25">
      <c r="A490" s="5" t="s">
        <v>7037</v>
      </c>
      <c r="B490" s="5" t="s">
        <v>5166</v>
      </c>
      <c r="C490" s="5" t="s">
        <v>3548</v>
      </c>
      <c r="D490" s="5" t="s">
        <v>3782</v>
      </c>
      <c r="E490" s="5" t="s">
        <v>4363</v>
      </c>
      <c r="F490" s="5" t="s">
        <v>3584</v>
      </c>
      <c r="G490" s="5" t="s">
        <v>3782</v>
      </c>
      <c r="H490" s="5"/>
      <c r="I490" s="5" t="s">
        <v>3448</v>
      </c>
      <c r="J490" s="5" t="s">
        <v>3783</v>
      </c>
      <c r="K490" s="5" t="s">
        <v>4363</v>
      </c>
      <c r="L490" s="5">
        <v>32</v>
      </c>
      <c r="M490" s="5">
        <v>2</v>
      </c>
      <c r="N490" s="5" t="s">
        <v>3585</v>
      </c>
      <c r="O490" s="5" t="s">
        <v>3827</v>
      </c>
      <c r="P490" s="5">
        <v>4</v>
      </c>
      <c r="Q490" s="5">
        <v>2</v>
      </c>
      <c r="R490" s="5"/>
      <c r="S490" s="5">
        <v>62</v>
      </c>
      <c r="T490" s="5">
        <v>62</v>
      </c>
      <c r="U490" s="5">
        <v>62</v>
      </c>
    </row>
    <row r="491" spans="1:21" x14ac:dyDescent="0.25">
      <c r="A491" s="5" t="s">
        <v>7038</v>
      </c>
      <c r="B491" s="5" t="s">
        <v>5178</v>
      </c>
      <c r="C491" s="5" t="s">
        <v>3548</v>
      </c>
      <c r="D491" s="5" t="s">
        <v>3782</v>
      </c>
      <c r="E491" s="5" t="s">
        <v>4363</v>
      </c>
      <c r="F491" s="5" t="s">
        <v>5173</v>
      </c>
      <c r="G491" s="5" t="s">
        <v>3782</v>
      </c>
      <c r="H491" s="5"/>
      <c r="I491" s="5" t="s">
        <v>3448</v>
      </c>
      <c r="J491" s="5" t="s">
        <v>3783</v>
      </c>
      <c r="K491" s="5" t="s">
        <v>4363</v>
      </c>
      <c r="L491" s="5">
        <v>32</v>
      </c>
      <c r="M491" s="5">
        <v>2</v>
      </c>
      <c r="N491" s="5" t="s">
        <v>5174</v>
      </c>
      <c r="O491" s="5" t="s">
        <v>3827</v>
      </c>
      <c r="P491" s="5">
        <v>4</v>
      </c>
      <c r="Q491" s="5">
        <v>1</v>
      </c>
      <c r="R491" s="5"/>
      <c r="S491" s="5">
        <v>47</v>
      </c>
      <c r="T491" s="5">
        <v>47</v>
      </c>
      <c r="U491" s="5">
        <v>47</v>
      </c>
    </row>
    <row r="492" spans="1:21" x14ac:dyDescent="0.25">
      <c r="A492" s="5" t="s">
        <v>7039</v>
      </c>
      <c r="B492" s="5" t="s">
        <v>5190</v>
      </c>
      <c r="C492" s="5" t="s">
        <v>3548</v>
      </c>
      <c r="D492" s="5" t="s">
        <v>3782</v>
      </c>
      <c r="E492" s="5" t="s">
        <v>4363</v>
      </c>
      <c r="F492" s="5" t="s">
        <v>3584</v>
      </c>
      <c r="G492" s="5" t="s">
        <v>3782</v>
      </c>
      <c r="H492" s="5"/>
      <c r="I492" s="5" t="s">
        <v>3448</v>
      </c>
      <c r="J492" s="5" t="s">
        <v>3783</v>
      </c>
      <c r="K492" s="5" t="s">
        <v>4363</v>
      </c>
      <c r="L492" s="5">
        <v>32</v>
      </c>
      <c r="M492" s="5">
        <v>2</v>
      </c>
      <c r="N492" s="5" t="s">
        <v>3585</v>
      </c>
      <c r="O492" s="5" t="s">
        <v>3827</v>
      </c>
      <c r="P492" s="5">
        <v>4</v>
      </c>
      <c r="Q492" s="5">
        <v>1</v>
      </c>
      <c r="R492" s="5"/>
      <c r="S492" s="5">
        <v>52</v>
      </c>
      <c r="T492" s="5">
        <v>52</v>
      </c>
      <c r="U492" s="5">
        <v>52</v>
      </c>
    </row>
    <row r="493" spans="1:21" x14ac:dyDescent="0.25">
      <c r="A493" s="5" t="s">
        <v>4555</v>
      </c>
      <c r="B493" s="5" t="s">
        <v>4556</v>
      </c>
      <c r="C493" s="5" t="s">
        <v>3548</v>
      </c>
      <c r="D493" s="5" t="s">
        <v>3782</v>
      </c>
      <c r="E493" s="5" t="s">
        <v>4363</v>
      </c>
      <c r="F493" s="5" t="s">
        <v>4390</v>
      </c>
      <c r="G493" s="5" t="s">
        <v>3501</v>
      </c>
      <c r="H493" s="5"/>
      <c r="I493" s="5" t="s">
        <v>3448</v>
      </c>
      <c r="J493" s="5" t="s">
        <v>3783</v>
      </c>
      <c r="K493" s="5" t="s">
        <v>4363</v>
      </c>
      <c r="L493" s="5">
        <v>25</v>
      </c>
      <c r="M493" s="5">
        <v>2</v>
      </c>
      <c r="N493" s="5" t="s">
        <v>4391</v>
      </c>
      <c r="O493" s="5" t="s">
        <v>3502</v>
      </c>
      <c r="P493" s="5">
        <v>4</v>
      </c>
      <c r="Q493" s="5">
        <v>1</v>
      </c>
      <c r="R493" s="5"/>
      <c r="S493" s="5">
        <v>49</v>
      </c>
      <c r="T493" s="5">
        <v>49</v>
      </c>
      <c r="U493" s="5">
        <v>49</v>
      </c>
    </row>
    <row r="494" spans="1:21" x14ac:dyDescent="0.25">
      <c r="A494" s="5" t="s">
        <v>4557</v>
      </c>
      <c r="B494" s="5" t="s">
        <v>4558</v>
      </c>
      <c r="C494" s="5" t="s">
        <v>3548</v>
      </c>
      <c r="D494" s="5" t="s">
        <v>3782</v>
      </c>
      <c r="E494" s="5" t="s">
        <v>4363</v>
      </c>
      <c r="F494" s="5" t="s">
        <v>4390</v>
      </c>
      <c r="G494" s="5" t="s">
        <v>3493</v>
      </c>
      <c r="H494" s="5"/>
      <c r="I494" s="5" t="s">
        <v>3448</v>
      </c>
      <c r="J494" s="5" t="s">
        <v>3783</v>
      </c>
      <c r="K494" s="5" t="s">
        <v>4363</v>
      </c>
      <c r="L494" s="5">
        <v>25</v>
      </c>
      <c r="M494" s="5">
        <v>2</v>
      </c>
      <c r="N494" s="5" t="s">
        <v>4391</v>
      </c>
      <c r="O494" s="5" t="s">
        <v>3494</v>
      </c>
      <c r="P494" s="5">
        <v>4</v>
      </c>
      <c r="Q494" s="5">
        <v>1</v>
      </c>
      <c r="R494" s="5"/>
      <c r="S494" s="5">
        <v>43</v>
      </c>
      <c r="T494" s="5">
        <v>43</v>
      </c>
      <c r="U494" s="5">
        <v>43</v>
      </c>
    </row>
    <row r="495" spans="1:21" x14ac:dyDescent="0.25">
      <c r="A495" s="5" t="s">
        <v>7040</v>
      </c>
      <c r="B495" s="5" t="s">
        <v>5210</v>
      </c>
      <c r="C495" s="5" t="s">
        <v>3548</v>
      </c>
      <c r="D495" s="5" t="s">
        <v>3782</v>
      </c>
      <c r="E495" s="5" t="s">
        <v>4363</v>
      </c>
      <c r="F495" s="5" t="s">
        <v>4390</v>
      </c>
      <c r="G495" s="5" t="s">
        <v>3782</v>
      </c>
      <c r="H495" s="5"/>
      <c r="I495" s="5" t="s">
        <v>3448</v>
      </c>
      <c r="J495" s="5" t="s">
        <v>3783</v>
      </c>
      <c r="K495" s="5" t="s">
        <v>4363</v>
      </c>
      <c r="L495" s="5">
        <v>32</v>
      </c>
      <c r="M495" s="5">
        <v>2</v>
      </c>
      <c r="N495" s="5" t="s">
        <v>4391</v>
      </c>
      <c r="O495" s="5" t="s">
        <v>3827</v>
      </c>
      <c r="P495" s="5">
        <v>4</v>
      </c>
      <c r="Q495" s="5">
        <v>1</v>
      </c>
      <c r="R495" s="5"/>
      <c r="S495" s="5">
        <v>48</v>
      </c>
      <c r="T495" s="5">
        <v>48</v>
      </c>
      <c r="U495" s="5">
        <v>48</v>
      </c>
    </row>
    <row r="496" spans="1:21" x14ac:dyDescent="0.25">
      <c r="A496" s="5" t="s">
        <v>4563</v>
      </c>
      <c r="B496" s="5" t="s">
        <v>4564</v>
      </c>
      <c r="C496" s="5" t="s">
        <v>3548</v>
      </c>
      <c r="D496" s="5" t="s">
        <v>3782</v>
      </c>
      <c r="E496" s="5" t="s">
        <v>4363</v>
      </c>
      <c r="F496" s="5" t="s">
        <v>4004</v>
      </c>
      <c r="G496" s="5" t="s">
        <v>3493</v>
      </c>
      <c r="H496" s="5"/>
      <c r="I496" s="5" t="s">
        <v>3448</v>
      </c>
      <c r="J496" s="5" t="s">
        <v>3783</v>
      </c>
      <c r="K496" s="5" t="s">
        <v>4363</v>
      </c>
      <c r="L496" s="5">
        <v>25</v>
      </c>
      <c r="M496" s="5">
        <v>2</v>
      </c>
      <c r="N496" s="5" t="s">
        <v>4005</v>
      </c>
      <c r="O496" s="5" t="s">
        <v>3494</v>
      </c>
      <c r="P496" s="5">
        <v>4</v>
      </c>
      <c r="Q496" s="5">
        <v>1</v>
      </c>
      <c r="R496" s="5"/>
      <c r="S496" s="5">
        <v>44</v>
      </c>
      <c r="T496" s="5">
        <v>44</v>
      </c>
      <c r="U496" s="5">
        <v>44</v>
      </c>
    </row>
    <row r="497" spans="1:21" x14ac:dyDescent="0.25">
      <c r="A497" s="5" t="s">
        <v>7041</v>
      </c>
      <c r="B497" s="5" t="s">
        <v>5226</v>
      </c>
      <c r="C497" s="5" t="s">
        <v>3548</v>
      </c>
      <c r="D497" s="5" t="s">
        <v>3782</v>
      </c>
      <c r="E497" s="5" t="s">
        <v>4363</v>
      </c>
      <c r="F497" s="5" t="s">
        <v>4004</v>
      </c>
      <c r="G497" s="5" t="s">
        <v>3782</v>
      </c>
      <c r="H497" s="5"/>
      <c r="I497" s="5" t="s">
        <v>3448</v>
      </c>
      <c r="J497" s="5" t="s">
        <v>3783</v>
      </c>
      <c r="K497" s="5" t="s">
        <v>4363</v>
      </c>
      <c r="L497" s="5">
        <v>32</v>
      </c>
      <c r="M497" s="5">
        <v>2</v>
      </c>
      <c r="N497" s="5" t="s">
        <v>4005</v>
      </c>
      <c r="O497" s="5" t="s">
        <v>3827</v>
      </c>
      <c r="P497" s="5">
        <v>4</v>
      </c>
      <c r="Q497" s="5">
        <v>1</v>
      </c>
      <c r="R497" s="5"/>
      <c r="S497" s="5">
        <v>54</v>
      </c>
      <c r="T497" s="5">
        <v>54</v>
      </c>
      <c r="U497" s="5">
        <v>54</v>
      </c>
    </row>
    <row r="498" spans="1:21" x14ac:dyDescent="0.25">
      <c r="A498" s="5" t="s">
        <v>7042</v>
      </c>
      <c r="B498" s="5" t="s">
        <v>5242</v>
      </c>
      <c r="C498" s="5" t="s">
        <v>3548</v>
      </c>
      <c r="D498" s="5" t="s">
        <v>3782</v>
      </c>
      <c r="E498" s="5" t="s">
        <v>4363</v>
      </c>
      <c r="F498" s="5" t="s">
        <v>4421</v>
      </c>
      <c r="G498" s="5" t="s">
        <v>3782</v>
      </c>
      <c r="H498" s="5"/>
      <c r="I498" s="5" t="s">
        <v>3448</v>
      </c>
      <c r="J498" s="5" t="s">
        <v>3783</v>
      </c>
      <c r="K498" s="5" t="s">
        <v>4363</v>
      </c>
      <c r="L498" s="5">
        <v>32</v>
      </c>
      <c r="M498" s="5">
        <v>2</v>
      </c>
      <c r="N498" s="5" t="s">
        <v>4422</v>
      </c>
      <c r="O498" s="5" t="s">
        <v>3827</v>
      </c>
      <c r="P498" s="5">
        <v>4</v>
      </c>
      <c r="Q498" s="5">
        <v>1</v>
      </c>
      <c r="R498" s="5"/>
      <c r="S498" s="5">
        <v>52</v>
      </c>
      <c r="T498" s="5">
        <v>52</v>
      </c>
      <c r="U498" s="5">
        <v>52</v>
      </c>
    </row>
    <row r="499" spans="1:21" x14ac:dyDescent="0.25">
      <c r="A499" s="5" t="s">
        <v>4575</v>
      </c>
      <c r="B499" s="5" t="s">
        <v>4576</v>
      </c>
      <c r="C499" s="5" t="s">
        <v>3548</v>
      </c>
      <c r="D499" s="5" t="s">
        <v>3782</v>
      </c>
      <c r="E499" s="5" t="s">
        <v>4363</v>
      </c>
      <c r="F499" s="5" t="s">
        <v>3584</v>
      </c>
      <c r="G499" s="5" t="s">
        <v>3501</v>
      </c>
      <c r="H499" s="5"/>
      <c r="I499" s="5" t="s">
        <v>3448</v>
      </c>
      <c r="J499" s="5" t="s">
        <v>3783</v>
      </c>
      <c r="K499" s="5" t="s">
        <v>4363</v>
      </c>
      <c r="L499" s="5">
        <v>25</v>
      </c>
      <c r="M499" s="5">
        <v>1</v>
      </c>
      <c r="N499" s="5" t="s">
        <v>3585</v>
      </c>
      <c r="O499" s="5" t="s">
        <v>3502</v>
      </c>
      <c r="P499" s="5">
        <v>3</v>
      </c>
      <c r="Q499" s="5">
        <v>1</v>
      </c>
      <c r="R499" s="5"/>
      <c r="S499" s="5">
        <v>28</v>
      </c>
      <c r="T499" s="5">
        <v>28</v>
      </c>
      <c r="U499" s="5">
        <v>28</v>
      </c>
    </row>
    <row r="500" spans="1:21" x14ac:dyDescent="0.25">
      <c r="A500" s="5" t="s">
        <v>4579</v>
      </c>
      <c r="B500" s="5" t="s">
        <v>4580</v>
      </c>
      <c r="C500" s="5" t="s">
        <v>3548</v>
      </c>
      <c r="D500" s="5" t="s">
        <v>3782</v>
      </c>
      <c r="E500" s="5" t="s">
        <v>4363</v>
      </c>
      <c r="F500" s="5" t="s">
        <v>3584</v>
      </c>
      <c r="G500" s="5" t="s">
        <v>3493</v>
      </c>
      <c r="H500" s="5"/>
      <c r="I500" s="5" t="s">
        <v>3448</v>
      </c>
      <c r="J500" s="5" t="s">
        <v>3783</v>
      </c>
      <c r="K500" s="5" t="s">
        <v>4363</v>
      </c>
      <c r="L500" s="5">
        <v>25</v>
      </c>
      <c r="M500" s="5">
        <v>1</v>
      </c>
      <c r="N500" s="5" t="s">
        <v>3585</v>
      </c>
      <c r="O500" s="5" t="s">
        <v>3494</v>
      </c>
      <c r="P500" s="5">
        <v>3</v>
      </c>
      <c r="Q500" s="5">
        <v>1</v>
      </c>
      <c r="R500" s="5"/>
      <c r="S500" s="5">
        <v>26</v>
      </c>
      <c r="T500" s="5">
        <v>26</v>
      </c>
      <c r="U500" s="5">
        <v>26</v>
      </c>
    </row>
    <row r="501" spans="1:21" x14ac:dyDescent="0.25">
      <c r="A501" s="5" t="s">
        <v>7043</v>
      </c>
      <c r="B501" s="5" t="s">
        <v>5252</v>
      </c>
      <c r="C501" s="5" t="s">
        <v>3548</v>
      </c>
      <c r="D501" s="5" t="s">
        <v>3782</v>
      </c>
      <c r="E501" s="5" t="s">
        <v>4363</v>
      </c>
      <c r="F501" s="5" t="s">
        <v>3584</v>
      </c>
      <c r="G501" s="5" t="s">
        <v>3782</v>
      </c>
      <c r="H501" s="5"/>
      <c r="I501" s="5" t="s">
        <v>3448</v>
      </c>
      <c r="J501" s="5" t="s">
        <v>3783</v>
      </c>
      <c r="K501" s="5" t="s">
        <v>4363</v>
      </c>
      <c r="L501" s="5">
        <v>32</v>
      </c>
      <c r="M501" s="5">
        <v>3</v>
      </c>
      <c r="N501" s="5" t="s">
        <v>3585</v>
      </c>
      <c r="O501" s="5" t="s">
        <v>3827</v>
      </c>
      <c r="P501" s="5">
        <v>4</v>
      </c>
      <c r="Q501" s="5">
        <v>2</v>
      </c>
      <c r="R501" s="5"/>
      <c r="S501" s="5">
        <v>83</v>
      </c>
      <c r="T501" s="5">
        <v>83</v>
      </c>
      <c r="U501" s="5">
        <v>83</v>
      </c>
    </row>
    <row r="502" spans="1:21" x14ac:dyDescent="0.25">
      <c r="A502" s="5" t="s">
        <v>4595</v>
      </c>
      <c r="B502" s="5" t="s">
        <v>4596</v>
      </c>
      <c r="C502" s="5" t="s">
        <v>3548</v>
      </c>
      <c r="D502" s="5" t="s">
        <v>3782</v>
      </c>
      <c r="E502" s="5" t="s">
        <v>4363</v>
      </c>
      <c r="F502" s="5" t="s">
        <v>4390</v>
      </c>
      <c r="G502" s="5" t="s">
        <v>3493</v>
      </c>
      <c r="H502" s="5"/>
      <c r="I502" s="5" t="s">
        <v>3448</v>
      </c>
      <c r="J502" s="5" t="s">
        <v>3783</v>
      </c>
      <c r="K502" s="5" t="s">
        <v>4363</v>
      </c>
      <c r="L502" s="5">
        <v>25</v>
      </c>
      <c r="M502" s="5">
        <v>1</v>
      </c>
      <c r="N502" s="5" t="s">
        <v>4391</v>
      </c>
      <c r="O502" s="5" t="s">
        <v>3494</v>
      </c>
      <c r="P502" s="5">
        <v>3</v>
      </c>
      <c r="Q502" s="5">
        <v>1</v>
      </c>
      <c r="R502" s="5"/>
      <c r="S502" s="5">
        <v>22</v>
      </c>
      <c r="T502" s="5">
        <v>22</v>
      </c>
      <c r="U502" s="5">
        <v>22</v>
      </c>
    </row>
    <row r="503" spans="1:21" x14ac:dyDescent="0.25">
      <c r="A503" s="5" t="s">
        <v>7044</v>
      </c>
      <c r="B503" s="5" t="s">
        <v>5262</v>
      </c>
      <c r="C503" s="5" t="s">
        <v>3548</v>
      </c>
      <c r="D503" s="5" t="s">
        <v>3782</v>
      </c>
      <c r="E503" s="5" t="s">
        <v>4363</v>
      </c>
      <c r="F503" s="5" t="s">
        <v>5173</v>
      </c>
      <c r="G503" s="5" t="s">
        <v>3782</v>
      </c>
      <c r="H503" s="5"/>
      <c r="I503" s="5" t="s">
        <v>3448</v>
      </c>
      <c r="J503" s="5" t="s">
        <v>3783</v>
      </c>
      <c r="K503" s="5" t="s">
        <v>4363</v>
      </c>
      <c r="L503" s="5">
        <v>32</v>
      </c>
      <c r="M503" s="5">
        <v>3</v>
      </c>
      <c r="N503" s="5" t="s">
        <v>5174</v>
      </c>
      <c r="O503" s="5" t="s">
        <v>3827</v>
      </c>
      <c r="P503" s="5">
        <v>4</v>
      </c>
      <c r="Q503" s="5">
        <v>1</v>
      </c>
      <c r="R503" s="5"/>
      <c r="S503" s="5">
        <v>87</v>
      </c>
      <c r="T503" s="5">
        <v>87</v>
      </c>
      <c r="U503" s="5">
        <v>87</v>
      </c>
    </row>
    <row r="504" spans="1:21" x14ac:dyDescent="0.25">
      <c r="A504" s="5" t="s">
        <v>4607</v>
      </c>
      <c r="B504" s="5" t="s">
        <v>4608</v>
      </c>
      <c r="C504" s="5" t="s">
        <v>3548</v>
      </c>
      <c r="D504" s="5" t="s">
        <v>3782</v>
      </c>
      <c r="E504" s="5" t="s">
        <v>4363</v>
      </c>
      <c r="F504" s="5" t="s">
        <v>3584</v>
      </c>
      <c r="G504" s="5" t="s">
        <v>3493</v>
      </c>
      <c r="H504" s="5"/>
      <c r="I504" s="5" t="s">
        <v>3448</v>
      </c>
      <c r="J504" s="5" t="s">
        <v>3783</v>
      </c>
      <c r="K504" s="5" t="s">
        <v>4363</v>
      </c>
      <c r="L504" s="5">
        <v>25</v>
      </c>
      <c r="M504" s="5">
        <v>3</v>
      </c>
      <c r="N504" s="5" t="s">
        <v>3585</v>
      </c>
      <c r="O504" s="5" t="s">
        <v>3494</v>
      </c>
      <c r="P504" s="5">
        <v>3</v>
      </c>
      <c r="Q504" s="5">
        <v>1</v>
      </c>
      <c r="R504" s="5"/>
      <c r="S504" s="5">
        <v>67</v>
      </c>
      <c r="T504" s="5">
        <v>67</v>
      </c>
      <c r="U504" s="5">
        <v>67</v>
      </c>
    </row>
    <row r="505" spans="1:21" x14ac:dyDescent="0.25">
      <c r="A505" s="5" t="s">
        <v>7045</v>
      </c>
      <c r="B505" s="5" t="s">
        <v>5272</v>
      </c>
      <c r="C505" s="5" t="s">
        <v>3548</v>
      </c>
      <c r="D505" s="5" t="s">
        <v>3782</v>
      </c>
      <c r="E505" s="5" t="s">
        <v>4363</v>
      </c>
      <c r="F505" s="5" t="s">
        <v>3584</v>
      </c>
      <c r="G505" s="5" t="s">
        <v>3782</v>
      </c>
      <c r="H505" s="5"/>
      <c r="I505" s="5" t="s">
        <v>3448</v>
      </c>
      <c r="J505" s="5" t="s">
        <v>3783</v>
      </c>
      <c r="K505" s="5" t="s">
        <v>4363</v>
      </c>
      <c r="L505" s="5">
        <v>32</v>
      </c>
      <c r="M505" s="5">
        <v>3</v>
      </c>
      <c r="N505" s="5" t="s">
        <v>3585</v>
      </c>
      <c r="O505" s="5" t="s">
        <v>3827</v>
      </c>
      <c r="P505" s="5">
        <v>4</v>
      </c>
      <c r="Q505" s="5">
        <v>1</v>
      </c>
      <c r="R505" s="5"/>
      <c r="S505" s="5">
        <v>78</v>
      </c>
      <c r="T505" s="5">
        <v>78</v>
      </c>
      <c r="U505" s="5">
        <v>78</v>
      </c>
    </row>
    <row r="506" spans="1:21" x14ac:dyDescent="0.25">
      <c r="A506" s="5" t="s">
        <v>4611</v>
      </c>
      <c r="B506" s="5" t="s">
        <v>4612</v>
      </c>
      <c r="C506" s="5" t="s">
        <v>3548</v>
      </c>
      <c r="D506" s="5" t="s">
        <v>3782</v>
      </c>
      <c r="E506" s="5" t="s">
        <v>4363</v>
      </c>
      <c r="F506" s="5" t="s">
        <v>4390</v>
      </c>
      <c r="G506" s="5" t="s">
        <v>3493</v>
      </c>
      <c r="H506" s="5"/>
      <c r="I506" s="5" t="s">
        <v>3448</v>
      </c>
      <c r="J506" s="5" t="s">
        <v>3783</v>
      </c>
      <c r="K506" s="5" t="s">
        <v>4363</v>
      </c>
      <c r="L506" s="5">
        <v>25</v>
      </c>
      <c r="M506" s="5">
        <v>3</v>
      </c>
      <c r="N506" s="5" t="s">
        <v>4391</v>
      </c>
      <c r="O506" s="5" t="s">
        <v>3494</v>
      </c>
      <c r="P506" s="5">
        <v>3</v>
      </c>
      <c r="Q506" s="5">
        <v>1</v>
      </c>
      <c r="R506" s="5"/>
      <c r="S506" s="5">
        <v>64</v>
      </c>
      <c r="T506" s="5">
        <v>64</v>
      </c>
      <c r="U506" s="5">
        <v>64</v>
      </c>
    </row>
    <row r="507" spans="1:21" x14ac:dyDescent="0.25">
      <c r="A507" s="5" t="s">
        <v>7046</v>
      </c>
      <c r="B507" s="5" t="s">
        <v>5284</v>
      </c>
      <c r="C507" s="5" t="s">
        <v>3548</v>
      </c>
      <c r="D507" s="5" t="s">
        <v>3782</v>
      </c>
      <c r="E507" s="5" t="s">
        <v>4363</v>
      </c>
      <c r="F507" s="5" t="s">
        <v>4390</v>
      </c>
      <c r="G507" s="5" t="s">
        <v>3782</v>
      </c>
      <c r="H507" s="5"/>
      <c r="I507" s="5" t="s">
        <v>3448</v>
      </c>
      <c r="J507" s="5" t="s">
        <v>3783</v>
      </c>
      <c r="K507" s="5" t="s">
        <v>4363</v>
      </c>
      <c r="L507" s="5">
        <v>32</v>
      </c>
      <c r="M507" s="5">
        <v>3</v>
      </c>
      <c r="N507" s="5" t="s">
        <v>4391</v>
      </c>
      <c r="O507" s="5" t="s">
        <v>3827</v>
      </c>
      <c r="P507" s="5">
        <v>4</v>
      </c>
      <c r="Q507" s="5">
        <v>1</v>
      </c>
      <c r="R507" s="5"/>
      <c r="S507" s="5">
        <v>74</v>
      </c>
      <c r="T507" s="5">
        <v>74</v>
      </c>
      <c r="U507" s="5">
        <v>74</v>
      </c>
    </row>
    <row r="508" spans="1:21" x14ac:dyDescent="0.25">
      <c r="A508" s="5" t="s">
        <v>4615</v>
      </c>
      <c r="B508" s="5" t="s">
        <v>4616</v>
      </c>
      <c r="C508" s="5" t="s">
        <v>3548</v>
      </c>
      <c r="D508" s="5" t="s">
        <v>3782</v>
      </c>
      <c r="E508" s="5" t="s">
        <v>4363</v>
      </c>
      <c r="F508" s="5" t="s">
        <v>4004</v>
      </c>
      <c r="G508" s="5" t="s">
        <v>3493</v>
      </c>
      <c r="H508" s="5"/>
      <c r="I508" s="5" t="s">
        <v>3448</v>
      </c>
      <c r="J508" s="5" t="s">
        <v>3783</v>
      </c>
      <c r="K508" s="5" t="s">
        <v>4363</v>
      </c>
      <c r="L508" s="5">
        <v>25</v>
      </c>
      <c r="M508" s="5">
        <v>3</v>
      </c>
      <c r="N508" s="5" t="s">
        <v>4005</v>
      </c>
      <c r="O508" s="5" t="s">
        <v>3494</v>
      </c>
      <c r="P508" s="5">
        <v>3</v>
      </c>
      <c r="Q508" s="5">
        <v>1</v>
      </c>
      <c r="R508" s="5"/>
      <c r="S508" s="5">
        <v>72</v>
      </c>
      <c r="T508" s="5">
        <v>72</v>
      </c>
      <c r="U508" s="5">
        <v>72</v>
      </c>
    </row>
    <row r="509" spans="1:21" x14ac:dyDescent="0.25">
      <c r="A509" s="5" t="s">
        <v>7047</v>
      </c>
      <c r="B509" s="5" t="s">
        <v>5294</v>
      </c>
      <c r="C509" s="5" t="s">
        <v>3548</v>
      </c>
      <c r="D509" s="5" t="s">
        <v>3782</v>
      </c>
      <c r="E509" s="5" t="s">
        <v>4363</v>
      </c>
      <c r="F509" s="5" t="s">
        <v>4004</v>
      </c>
      <c r="G509" s="5" t="s">
        <v>3782</v>
      </c>
      <c r="H509" s="5"/>
      <c r="I509" s="5" t="s">
        <v>3448</v>
      </c>
      <c r="J509" s="5" t="s">
        <v>3783</v>
      </c>
      <c r="K509" s="5" t="s">
        <v>4363</v>
      </c>
      <c r="L509" s="5">
        <v>32</v>
      </c>
      <c r="M509" s="5">
        <v>3</v>
      </c>
      <c r="N509" s="5" t="s">
        <v>4005</v>
      </c>
      <c r="O509" s="5" t="s">
        <v>3827</v>
      </c>
      <c r="P509" s="5">
        <v>4</v>
      </c>
      <c r="Q509" s="5">
        <v>1</v>
      </c>
      <c r="R509" s="5"/>
      <c r="S509" s="5">
        <v>79</v>
      </c>
      <c r="T509" s="5">
        <v>79</v>
      </c>
      <c r="U509" s="5">
        <v>79</v>
      </c>
    </row>
    <row r="510" spans="1:21" x14ac:dyDescent="0.25">
      <c r="A510" s="5" t="s">
        <v>7048</v>
      </c>
      <c r="B510" s="5" t="s">
        <v>5304</v>
      </c>
      <c r="C510" s="5" t="s">
        <v>3548</v>
      </c>
      <c r="D510" s="5" t="s">
        <v>3782</v>
      </c>
      <c r="E510" s="5" t="s">
        <v>4363</v>
      </c>
      <c r="F510" s="5" t="s">
        <v>4421</v>
      </c>
      <c r="G510" s="5" t="s">
        <v>3782</v>
      </c>
      <c r="H510" s="5"/>
      <c r="I510" s="5" t="s">
        <v>3448</v>
      </c>
      <c r="J510" s="5" t="s">
        <v>3783</v>
      </c>
      <c r="K510" s="5" t="s">
        <v>4363</v>
      </c>
      <c r="L510" s="5">
        <v>32</v>
      </c>
      <c r="M510" s="5">
        <v>3</v>
      </c>
      <c r="N510" s="5" t="s">
        <v>4422</v>
      </c>
      <c r="O510" s="5" t="s">
        <v>3827</v>
      </c>
      <c r="P510" s="5">
        <v>4</v>
      </c>
      <c r="Q510" s="5">
        <v>1</v>
      </c>
      <c r="R510" s="5"/>
      <c r="S510" s="5">
        <v>76</v>
      </c>
      <c r="T510" s="5">
        <v>76</v>
      </c>
      <c r="U510" s="5">
        <v>76</v>
      </c>
    </row>
    <row r="511" spans="1:21" x14ac:dyDescent="0.25">
      <c r="A511" s="5" t="s">
        <v>4621</v>
      </c>
      <c r="B511" s="5" t="s">
        <v>4622</v>
      </c>
      <c r="C511" s="5" t="s">
        <v>3548</v>
      </c>
      <c r="D511" s="5" t="s">
        <v>3782</v>
      </c>
      <c r="E511" s="5" t="s">
        <v>4363</v>
      </c>
      <c r="F511" s="5" t="s">
        <v>4421</v>
      </c>
      <c r="G511" s="5" t="s">
        <v>3493</v>
      </c>
      <c r="H511" s="5"/>
      <c r="I511" s="5" t="s">
        <v>3448</v>
      </c>
      <c r="J511" s="5" t="s">
        <v>3783</v>
      </c>
      <c r="K511" s="5" t="s">
        <v>4363</v>
      </c>
      <c r="L511" s="5">
        <v>25</v>
      </c>
      <c r="M511" s="5">
        <v>3</v>
      </c>
      <c r="N511" s="5" t="s">
        <v>4422</v>
      </c>
      <c r="O511" s="5" t="s">
        <v>3494</v>
      </c>
      <c r="P511" s="5">
        <v>3</v>
      </c>
      <c r="Q511" s="5">
        <v>1</v>
      </c>
      <c r="R511" s="5"/>
      <c r="S511" s="5">
        <v>66</v>
      </c>
      <c r="T511" s="5">
        <v>66</v>
      </c>
      <c r="U511" s="5">
        <v>66</v>
      </c>
    </row>
    <row r="512" spans="1:21" x14ac:dyDescent="0.25">
      <c r="A512" s="5" t="s">
        <v>4623</v>
      </c>
      <c r="B512" s="5" t="s">
        <v>4624</v>
      </c>
      <c r="C512" s="5" t="s">
        <v>3548</v>
      </c>
      <c r="D512" s="5" t="s">
        <v>3782</v>
      </c>
      <c r="E512" s="5" t="s">
        <v>4363</v>
      </c>
      <c r="F512" s="5" t="s">
        <v>3584</v>
      </c>
      <c r="G512" s="5" t="s">
        <v>3501</v>
      </c>
      <c r="H512" s="5"/>
      <c r="I512" s="5" t="s">
        <v>3448</v>
      </c>
      <c r="J512" s="5" t="s">
        <v>3783</v>
      </c>
      <c r="K512" s="5" t="s">
        <v>4363</v>
      </c>
      <c r="L512" s="5">
        <v>25</v>
      </c>
      <c r="M512" s="5">
        <v>3</v>
      </c>
      <c r="N512" s="5" t="s">
        <v>3585</v>
      </c>
      <c r="O512" s="5" t="s">
        <v>3502</v>
      </c>
      <c r="P512" s="5">
        <v>4</v>
      </c>
      <c r="Q512" s="5">
        <v>2</v>
      </c>
      <c r="R512" s="5"/>
      <c r="S512" s="5">
        <v>100</v>
      </c>
      <c r="T512" s="5">
        <v>100</v>
      </c>
      <c r="U512" s="5">
        <v>100</v>
      </c>
    </row>
    <row r="513" spans="1:21" x14ac:dyDescent="0.25">
      <c r="A513" s="5" t="s">
        <v>4625</v>
      </c>
      <c r="B513" s="5" t="s">
        <v>4626</v>
      </c>
      <c r="C513" s="5" t="s">
        <v>3548</v>
      </c>
      <c r="D513" s="5" t="s">
        <v>3782</v>
      </c>
      <c r="E513" s="5" t="s">
        <v>4363</v>
      </c>
      <c r="F513" s="5" t="s">
        <v>3584</v>
      </c>
      <c r="G513" s="5" t="s">
        <v>3493</v>
      </c>
      <c r="H513" s="5"/>
      <c r="I513" s="5" t="s">
        <v>3448</v>
      </c>
      <c r="J513" s="5" t="s">
        <v>3783</v>
      </c>
      <c r="K513" s="5" t="s">
        <v>4363</v>
      </c>
      <c r="L513" s="5">
        <v>25</v>
      </c>
      <c r="M513" s="5">
        <v>3</v>
      </c>
      <c r="N513" s="5" t="s">
        <v>3585</v>
      </c>
      <c r="O513" s="5" t="s">
        <v>3494</v>
      </c>
      <c r="P513" s="5">
        <v>4</v>
      </c>
      <c r="Q513" s="5">
        <v>2</v>
      </c>
      <c r="R513" s="5"/>
      <c r="S513" s="5">
        <v>72</v>
      </c>
      <c r="T513" s="5">
        <v>72</v>
      </c>
      <c r="U513" s="5">
        <v>72</v>
      </c>
    </row>
    <row r="514" spans="1:21" x14ac:dyDescent="0.25">
      <c r="A514" s="5" t="s">
        <v>7049</v>
      </c>
      <c r="B514" s="5" t="s">
        <v>5330</v>
      </c>
      <c r="C514" s="5" t="s">
        <v>3548</v>
      </c>
      <c r="D514" s="5" t="s">
        <v>3782</v>
      </c>
      <c r="E514" s="5" t="s">
        <v>4363</v>
      </c>
      <c r="F514" s="5" t="s">
        <v>3584</v>
      </c>
      <c r="G514" s="5" t="s">
        <v>3782</v>
      </c>
      <c r="H514" s="5"/>
      <c r="I514" s="5" t="s">
        <v>3448</v>
      </c>
      <c r="J514" s="5" t="s">
        <v>3783</v>
      </c>
      <c r="K514" s="5" t="s">
        <v>4363</v>
      </c>
      <c r="L514" s="5">
        <v>32</v>
      </c>
      <c r="M514" s="5">
        <v>1</v>
      </c>
      <c r="N514" s="5" t="s">
        <v>3585</v>
      </c>
      <c r="O514" s="5" t="s">
        <v>3827</v>
      </c>
      <c r="P514" s="5">
        <v>4</v>
      </c>
      <c r="Q514" s="5">
        <v>1</v>
      </c>
      <c r="R514" s="5"/>
      <c r="S514" s="5">
        <v>29</v>
      </c>
      <c r="T514" s="5">
        <v>29</v>
      </c>
      <c r="U514" s="5">
        <v>29</v>
      </c>
    </row>
    <row r="515" spans="1:21" x14ac:dyDescent="0.25">
      <c r="A515" s="5" t="s">
        <v>4629</v>
      </c>
      <c r="B515" s="5" t="s">
        <v>4630</v>
      </c>
      <c r="C515" s="5" t="s">
        <v>3548</v>
      </c>
      <c r="D515" s="5" t="s">
        <v>3782</v>
      </c>
      <c r="E515" s="5" t="s">
        <v>4363</v>
      </c>
      <c r="F515" s="5" t="s">
        <v>4390</v>
      </c>
      <c r="G515" s="5" t="s">
        <v>3493</v>
      </c>
      <c r="H515" s="5"/>
      <c r="I515" s="5" t="s">
        <v>3448</v>
      </c>
      <c r="J515" s="5" t="s">
        <v>3783</v>
      </c>
      <c r="K515" s="5" t="s">
        <v>4363</v>
      </c>
      <c r="L515" s="5">
        <v>25</v>
      </c>
      <c r="M515" s="5">
        <v>3</v>
      </c>
      <c r="N515" s="5" t="s">
        <v>4391</v>
      </c>
      <c r="O515" s="5" t="s">
        <v>3494</v>
      </c>
      <c r="P515" s="5">
        <v>4</v>
      </c>
      <c r="Q515" s="5">
        <v>2</v>
      </c>
      <c r="R515" s="5"/>
      <c r="S515" s="5">
        <v>66</v>
      </c>
      <c r="T515" s="5">
        <v>66</v>
      </c>
      <c r="U515" s="5">
        <v>66</v>
      </c>
    </row>
    <row r="516" spans="1:21" x14ac:dyDescent="0.25">
      <c r="A516" s="5" t="s">
        <v>4631</v>
      </c>
      <c r="B516" s="5" t="s">
        <v>4632</v>
      </c>
      <c r="C516" s="5" t="s">
        <v>3548</v>
      </c>
      <c r="D516" s="5" t="s">
        <v>3782</v>
      </c>
      <c r="E516" s="5" t="s">
        <v>4363</v>
      </c>
      <c r="F516" s="5" t="s">
        <v>3584</v>
      </c>
      <c r="G516" s="5" t="s">
        <v>3501</v>
      </c>
      <c r="H516" s="5"/>
      <c r="I516" s="5" t="s">
        <v>3448</v>
      </c>
      <c r="J516" s="5" t="s">
        <v>3783</v>
      </c>
      <c r="K516" s="5" t="s">
        <v>4363</v>
      </c>
      <c r="L516" s="5">
        <v>25</v>
      </c>
      <c r="M516" s="5">
        <v>3</v>
      </c>
      <c r="N516" s="5" t="s">
        <v>3585</v>
      </c>
      <c r="O516" s="5" t="s">
        <v>3502</v>
      </c>
      <c r="P516" s="5">
        <v>4</v>
      </c>
      <c r="Q516" s="5">
        <v>1</v>
      </c>
      <c r="R516" s="5"/>
      <c r="S516" s="5">
        <v>92</v>
      </c>
      <c r="T516" s="5">
        <v>92</v>
      </c>
      <c r="U516" s="5">
        <v>92</v>
      </c>
    </row>
    <row r="517" spans="1:21" x14ac:dyDescent="0.25">
      <c r="A517" s="5" t="s">
        <v>4633</v>
      </c>
      <c r="B517" s="5" t="s">
        <v>4634</v>
      </c>
      <c r="C517" s="5" t="s">
        <v>3548</v>
      </c>
      <c r="D517" s="5" t="s">
        <v>3782</v>
      </c>
      <c r="E517" s="5" t="s">
        <v>4363</v>
      </c>
      <c r="F517" s="5" t="s">
        <v>3584</v>
      </c>
      <c r="G517" s="5" t="s">
        <v>3493</v>
      </c>
      <c r="H517" s="5"/>
      <c r="I517" s="5" t="s">
        <v>3448</v>
      </c>
      <c r="J517" s="5" t="s">
        <v>3783</v>
      </c>
      <c r="K517" s="5" t="s">
        <v>4363</v>
      </c>
      <c r="L517" s="5">
        <v>25</v>
      </c>
      <c r="M517" s="5">
        <v>3</v>
      </c>
      <c r="N517" s="5" t="s">
        <v>3585</v>
      </c>
      <c r="O517" s="5" t="s">
        <v>3494</v>
      </c>
      <c r="P517" s="5">
        <v>4</v>
      </c>
      <c r="Q517" s="5">
        <v>1</v>
      </c>
      <c r="R517" s="5"/>
      <c r="S517" s="5">
        <v>67</v>
      </c>
      <c r="T517" s="5">
        <v>67</v>
      </c>
      <c r="U517" s="5">
        <v>67</v>
      </c>
    </row>
    <row r="518" spans="1:21" x14ac:dyDescent="0.25">
      <c r="A518" s="5" t="s">
        <v>7050</v>
      </c>
      <c r="B518" s="5" t="s">
        <v>5360</v>
      </c>
      <c r="C518" s="5" t="s">
        <v>3548</v>
      </c>
      <c r="D518" s="5" t="s">
        <v>3782</v>
      </c>
      <c r="E518" s="5" t="s">
        <v>4363</v>
      </c>
      <c r="F518" s="5" t="s">
        <v>4390</v>
      </c>
      <c r="G518" s="5" t="s">
        <v>3782</v>
      </c>
      <c r="H518" s="5"/>
      <c r="I518" s="5" t="s">
        <v>3448</v>
      </c>
      <c r="J518" s="5" t="s">
        <v>3783</v>
      </c>
      <c r="K518" s="5" t="s">
        <v>4363</v>
      </c>
      <c r="L518" s="5">
        <v>32</v>
      </c>
      <c r="M518" s="5">
        <v>1</v>
      </c>
      <c r="N518" s="5" t="s">
        <v>4391</v>
      </c>
      <c r="O518" s="5" t="s">
        <v>3827</v>
      </c>
      <c r="P518" s="5">
        <v>4</v>
      </c>
      <c r="Q518" s="5">
        <v>1</v>
      </c>
      <c r="R518" s="5"/>
      <c r="S518" s="5">
        <v>25</v>
      </c>
      <c r="T518" s="5">
        <v>25</v>
      </c>
      <c r="U518" s="5">
        <v>25</v>
      </c>
    </row>
    <row r="519" spans="1:21" x14ac:dyDescent="0.25">
      <c r="A519" s="5" t="s">
        <v>7051</v>
      </c>
      <c r="B519" s="5" t="s">
        <v>5374</v>
      </c>
      <c r="C519" s="5" t="s">
        <v>3548</v>
      </c>
      <c r="D519" s="5" t="s">
        <v>3782</v>
      </c>
      <c r="E519" s="5" t="s">
        <v>4363</v>
      </c>
      <c r="F519" s="5" t="s">
        <v>3584</v>
      </c>
      <c r="G519" s="5" t="s">
        <v>3782</v>
      </c>
      <c r="H519" s="5"/>
      <c r="I519" s="5" t="s">
        <v>3448</v>
      </c>
      <c r="J519" s="5" t="s">
        <v>3783</v>
      </c>
      <c r="K519" s="5" t="s">
        <v>4363</v>
      </c>
      <c r="L519" s="5">
        <v>32</v>
      </c>
      <c r="M519" s="5">
        <v>4</v>
      </c>
      <c r="N519" s="5" t="s">
        <v>3585</v>
      </c>
      <c r="O519" s="5" t="s">
        <v>3827</v>
      </c>
      <c r="P519" s="5">
        <v>4</v>
      </c>
      <c r="Q519" s="5">
        <v>2</v>
      </c>
      <c r="R519" s="5"/>
      <c r="S519" s="5">
        <v>104</v>
      </c>
      <c r="T519" s="5">
        <v>104</v>
      </c>
      <c r="U519" s="5">
        <v>104</v>
      </c>
    </row>
    <row r="520" spans="1:21" x14ac:dyDescent="0.25">
      <c r="A520" s="5" t="s">
        <v>7052</v>
      </c>
      <c r="B520" s="5" t="s">
        <v>5392</v>
      </c>
      <c r="C520" s="5" t="s">
        <v>3548</v>
      </c>
      <c r="D520" s="5" t="s">
        <v>3782</v>
      </c>
      <c r="E520" s="5" t="s">
        <v>4363</v>
      </c>
      <c r="F520" s="5" t="s">
        <v>3584</v>
      </c>
      <c r="G520" s="5" t="s">
        <v>3782</v>
      </c>
      <c r="H520" s="5"/>
      <c r="I520" s="5" t="s">
        <v>3448</v>
      </c>
      <c r="J520" s="5" t="s">
        <v>3783</v>
      </c>
      <c r="K520" s="5" t="s">
        <v>4363</v>
      </c>
      <c r="L520" s="5">
        <v>32</v>
      </c>
      <c r="M520" s="5">
        <v>4</v>
      </c>
      <c r="N520" s="5" t="s">
        <v>3585</v>
      </c>
      <c r="O520" s="5" t="s">
        <v>3827</v>
      </c>
      <c r="P520" s="5">
        <v>4</v>
      </c>
      <c r="Q520" s="5">
        <v>1</v>
      </c>
      <c r="R520" s="5"/>
      <c r="S520" s="5">
        <v>102</v>
      </c>
      <c r="T520" s="5">
        <v>102</v>
      </c>
      <c r="U520" s="5">
        <v>102</v>
      </c>
    </row>
    <row r="521" spans="1:21" x14ac:dyDescent="0.25">
      <c r="A521" s="5" t="s">
        <v>4641</v>
      </c>
      <c r="B521" s="5" t="s">
        <v>4642</v>
      </c>
      <c r="C521" s="5" t="s">
        <v>3548</v>
      </c>
      <c r="D521" s="5" t="s">
        <v>3782</v>
      </c>
      <c r="E521" s="5" t="s">
        <v>4363</v>
      </c>
      <c r="F521" s="5" t="s">
        <v>4390</v>
      </c>
      <c r="G521" s="5" t="s">
        <v>3501</v>
      </c>
      <c r="H521" s="5"/>
      <c r="I521" s="5" t="s">
        <v>3448</v>
      </c>
      <c r="J521" s="5" t="s">
        <v>3783</v>
      </c>
      <c r="K521" s="5" t="s">
        <v>4363</v>
      </c>
      <c r="L521" s="5">
        <v>25</v>
      </c>
      <c r="M521" s="5">
        <v>3</v>
      </c>
      <c r="N521" s="5" t="s">
        <v>4391</v>
      </c>
      <c r="O521" s="5" t="s">
        <v>3502</v>
      </c>
      <c r="P521" s="5">
        <v>4</v>
      </c>
      <c r="Q521" s="5">
        <v>1</v>
      </c>
      <c r="R521" s="5"/>
      <c r="S521" s="5">
        <v>71</v>
      </c>
      <c r="T521" s="5">
        <v>71</v>
      </c>
      <c r="U521" s="5">
        <v>71</v>
      </c>
    </row>
    <row r="522" spans="1:21" x14ac:dyDescent="0.25">
      <c r="A522" s="5" t="s">
        <v>4643</v>
      </c>
      <c r="B522" s="5" t="s">
        <v>4644</v>
      </c>
      <c r="C522" s="5" t="s">
        <v>3548</v>
      </c>
      <c r="D522" s="5" t="s">
        <v>3782</v>
      </c>
      <c r="E522" s="5" t="s">
        <v>4363</v>
      </c>
      <c r="F522" s="5" t="s">
        <v>4390</v>
      </c>
      <c r="G522" s="5" t="s">
        <v>3493</v>
      </c>
      <c r="H522" s="5"/>
      <c r="I522" s="5" t="s">
        <v>3448</v>
      </c>
      <c r="J522" s="5" t="s">
        <v>3783</v>
      </c>
      <c r="K522" s="5" t="s">
        <v>4363</v>
      </c>
      <c r="L522" s="5">
        <v>25</v>
      </c>
      <c r="M522" s="5">
        <v>3</v>
      </c>
      <c r="N522" s="5" t="s">
        <v>4391</v>
      </c>
      <c r="O522" s="5" t="s">
        <v>3494</v>
      </c>
      <c r="P522" s="5">
        <v>4</v>
      </c>
      <c r="Q522" s="5">
        <v>1</v>
      </c>
      <c r="R522" s="5"/>
      <c r="S522" s="5">
        <v>66</v>
      </c>
      <c r="T522" s="5">
        <v>66</v>
      </c>
      <c r="U522" s="5">
        <v>66</v>
      </c>
    </row>
    <row r="523" spans="1:21" x14ac:dyDescent="0.25">
      <c r="A523" s="5" t="s">
        <v>7053</v>
      </c>
      <c r="B523" s="5" t="s">
        <v>5400</v>
      </c>
      <c r="C523" s="5" t="s">
        <v>3548</v>
      </c>
      <c r="D523" s="5" t="s">
        <v>3782</v>
      </c>
      <c r="E523" s="5" t="s">
        <v>4363</v>
      </c>
      <c r="F523" s="5" t="s">
        <v>4390</v>
      </c>
      <c r="G523" s="5" t="s">
        <v>3782</v>
      </c>
      <c r="H523" s="5"/>
      <c r="I523" s="5" t="s">
        <v>3448</v>
      </c>
      <c r="J523" s="5" t="s">
        <v>3783</v>
      </c>
      <c r="K523" s="5" t="s">
        <v>4363</v>
      </c>
      <c r="L523" s="5">
        <v>32</v>
      </c>
      <c r="M523" s="5">
        <v>4</v>
      </c>
      <c r="N523" s="5" t="s">
        <v>4391</v>
      </c>
      <c r="O523" s="5" t="s">
        <v>3827</v>
      </c>
      <c r="P523" s="5">
        <v>4</v>
      </c>
      <c r="Q523" s="5">
        <v>1</v>
      </c>
      <c r="R523" s="5"/>
      <c r="S523" s="5">
        <v>96</v>
      </c>
      <c r="T523" s="5">
        <v>96</v>
      </c>
      <c r="U523" s="5">
        <v>96</v>
      </c>
    </row>
    <row r="524" spans="1:21" x14ac:dyDescent="0.25">
      <c r="A524" s="5" t="s">
        <v>7054</v>
      </c>
      <c r="B524" s="5" t="s">
        <v>5408</v>
      </c>
      <c r="C524" s="5" t="s">
        <v>3548</v>
      </c>
      <c r="D524" s="5" t="s">
        <v>3782</v>
      </c>
      <c r="E524" s="5" t="s">
        <v>4363</v>
      </c>
      <c r="F524" s="5" t="s">
        <v>4004</v>
      </c>
      <c r="G524" s="5" t="s">
        <v>3782</v>
      </c>
      <c r="H524" s="5"/>
      <c r="I524" s="5" t="s">
        <v>3448</v>
      </c>
      <c r="J524" s="5" t="s">
        <v>3783</v>
      </c>
      <c r="K524" s="5" t="s">
        <v>4363</v>
      </c>
      <c r="L524" s="5">
        <v>32</v>
      </c>
      <c r="M524" s="5">
        <v>4</v>
      </c>
      <c r="N524" s="5" t="s">
        <v>4005</v>
      </c>
      <c r="O524" s="5" t="s">
        <v>3827</v>
      </c>
      <c r="P524" s="5">
        <v>4</v>
      </c>
      <c r="Q524" s="5">
        <v>1</v>
      </c>
      <c r="R524" s="5"/>
      <c r="S524" s="5">
        <v>105</v>
      </c>
      <c r="T524" s="5">
        <v>105</v>
      </c>
      <c r="U524" s="5">
        <v>105</v>
      </c>
    </row>
    <row r="525" spans="1:21" x14ac:dyDescent="0.25">
      <c r="A525" s="5" t="s">
        <v>4649</v>
      </c>
      <c r="B525" s="5" t="s">
        <v>4650</v>
      </c>
      <c r="C525" s="5" t="s">
        <v>3548</v>
      </c>
      <c r="D525" s="5" t="s">
        <v>3782</v>
      </c>
      <c r="E525" s="5" t="s">
        <v>4363</v>
      </c>
      <c r="F525" s="5" t="s">
        <v>4004</v>
      </c>
      <c r="G525" s="5" t="s">
        <v>3493</v>
      </c>
      <c r="H525" s="5"/>
      <c r="I525" s="5" t="s">
        <v>3448</v>
      </c>
      <c r="J525" s="5" t="s">
        <v>3783</v>
      </c>
      <c r="K525" s="5" t="s">
        <v>4363</v>
      </c>
      <c r="L525" s="5">
        <v>25</v>
      </c>
      <c r="M525" s="5">
        <v>3</v>
      </c>
      <c r="N525" s="5" t="s">
        <v>4005</v>
      </c>
      <c r="O525" s="5" t="s">
        <v>3494</v>
      </c>
      <c r="P525" s="5">
        <v>4</v>
      </c>
      <c r="Q525" s="5">
        <v>1</v>
      </c>
      <c r="R525" s="5"/>
      <c r="S525" s="5">
        <v>68</v>
      </c>
      <c r="T525" s="5">
        <v>68</v>
      </c>
      <c r="U525" s="5">
        <v>68</v>
      </c>
    </row>
    <row r="526" spans="1:21" x14ac:dyDescent="0.25">
      <c r="A526" s="5" t="s">
        <v>7055</v>
      </c>
      <c r="B526" s="5" t="s">
        <v>5434</v>
      </c>
      <c r="C526" s="5" t="s">
        <v>3548</v>
      </c>
      <c r="D526" s="5" t="s">
        <v>3782</v>
      </c>
      <c r="E526" s="5" t="s">
        <v>4363</v>
      </c>
      <c r="F526" s="5" t="s">
        <v>4004</v>
      </c>
      <c r="G526" s="5" t="s">
        <v>3782</v>
      </c>
      <c r="H526" s="5"/>
      <c r="I526" s="5" t="s">
        <v>3448</v>
      </c>
      <c r="J526" s="5" t="s">
        <v>3783</v>
      </c>
      <c r="K526" s="5" t="s">
        <v>4363</v>
      </c>
      <c r="L526" s="5">
        <v>32</v>
      </c>
      <c r="M526" s="5">
        <v>1</v>
      </c>
      <c r="N526" s="5" t="s">
        <v>4005</v>
      </c>
      <c r="O526" s="5" t="s">
        <v>3827</v>
      </c>
      <c r="P526" s="5">
        <v>4</v>
      </c>
      <c r="Q526" s="5">
        <v>1</v>
      </c>
      <c r="R526" s="5"/>
      <c r="S526" s="5">
        <v>27</v>
      </c>
      <c r="T526" s="5">
        <v>27</v>
      </c>
      <c r="U526" s="5">
        <v>27</v>
      </c>
    </row>
    <row r="527" spans="1:21" x14ac:dyDescent="0.25">
      <c r="A527" s="5" t="s">
        <v>7056</v>
      </c>
      <c r="B527" s="5" t="s">
        <v>5480</v>
      </c>
      <c r="C527" s="5" t="s">
        <v>3548</v>
      </c>
      <c r="D527" s="5" t="s">
        <v>3782</v>
      </c>
      <c r="E527" s="5" t="s">
        <v>4363</v>
      </c>
      <c r="F527" s="5" t="s">
        <v>3584</v>
      </c>
      <c r="G527" s="5" t="s">
        <v>3782</v>
      </c>
      <c r="H527" s="5"/>
      <c r="I527" s="5" t="s">
        <v>3448</v>
      </c>
      <c r="J527" s="5" t="s">
        <v>3783</v>
      </c>
      <c r="K527" s="5" t="s">
        <v>4363</v>
      </c>
      <c r="L527" s="5">
        <v>32</v>
      </c>
      <c r="M527" s="5">
        <v>6</v>
      </c>
      <c r="N527" s="5" t="s">
        <v>3585</v>
      </c>
      <c r="O527" s="5" t="s">
        <v>3827</v>
      </c>
      <c r="P527" s="5">
        <v>4</v>
      </c>
      <c r="Q527" s="5">
        <v>2</v>
      </c>
      <c r="R527" s="5"/>
      <c r="S527" s="5">
        <v>156</v>
      </c>
      <c r="T527" s="5">
        <v>156</v>
      </c>
      <c r="U527" s="5">
        <v>156</v>
      </c>
    </row>
    <row r="528" spans="1:21" x14ac:dyDescent="0.25">
      <c r="A528" s="5" t="s">
        <v>4655</v>
      </c>
      <c r="B528" s="5" t="s">
        <v>4656</v>
      </c>
      <c r="C528" s="5" t="s">
        <v>3548</v>
      </c>
      <c r="D528" s="5" t="s">
        <v>3782</v>
      </c>
      <c r="E528" s="5" t="s">
        <v>4363</v>
      </c>
      <c r="F528" s="5" t="s">
        <v>4004</v>
      </c>
      <c r="G528" s="5" t="s">
        <v>3501</v>
      </c>
      <c r="H528" s="5"/>
      <c r="I528" s="5" t="s">
        <v>3448</v>
      </c>
      <c r="J528" s="5" t="s">
        <v>3783</v>
      </c>
      <c r="K528" s="5" t="s">
        <v>4363</v>
      </c>
      <c r="L528" s="5">
        <v>25</v>
      </c>
      <c r="M528" s="5">
        <v>1</v>
      </c>
      <c r="N528" s="5" t="s">
        <v>4005</v>
      </c>
      <c r="O528" s="5" t="s">
        <v>3502</v>
      </c>
      <c r="P528" s="5">
        <v>3</v>
      </c>
      <c r="Q528" s="5">
        <v>1</v>
      </c>
      <c r="R528" s="5"/>
      <c r="S528" s="5">
        <v>26</v>
      </c>
      <c r="T528" s="5">
        <v>26</v>
      </c>
      <c r="U528" s="5">
        <v>26</v>
      </c>
    </row>
    <row r="529" spans="1:21" x14ac:dyDescent="0.25">
      <c r="A529" s="5" t="s">
        <v>4657</v>
      </c>
      <c r="B529" s="5" t="s">
        <v>4658</v>
      </c>
      <c r="C529" s="5" t="s">
        <v>3548</v>
      </c>
      <c r="D529" s="5" t="s">
        <v>3782</v>
      </c>
      <c r="E529" s="5" t="s">
        <v>4363</v>
      </c>
      <c r="F529" s="5" t="s">
        <v>4004</v>
      </c>
      <c r="G529" s="5" t="s">
        <v>3493</v>
      </c>
      <c r="H529" s="5"/>
      <c r="I529" s="5" t="s">
        <v>3448</v>
      </c>
      <c r="J529" s="5" t="s">
        <v>3783</v>
      </c>
      <c r="K529" s="5" t="s">
        <v>4363</v>
      </c>
      <c r="L529" s="5">
        <v>25</v>
      </c>
      <c r="M529" s="5">
        <v>1</v>
      </c>
      <c r="N529" s="5" t="s">
        <v>4005</v>
      </c>
      <c r="O529" s="5" t="s">
        <v>3494</v>
      </c>
      <c r="P529" s="5">
        <v>3</v>
      </c>
      <c r="Q529" s="5">
        <v>1</v>
      </c>
      <c r="R529" s="5"/>
      <c r="S529" s="5">
        <v>24</v>
      </c>
      <c r="T529" s="5">
        <v>24</v>
      </c>
      <c r="U529" s="5">
        <v>24</v>
      </c>
    </row>
    <row r="530" spans="1:21" x14ac:dyDescent="0.25">
      <c r="A530" s="5" t="s">
        <v>7057</v>
      </c>
      <c r="B530" s="5" t="s">
        <v>5488</v>
      </c>
      <c r="C530" s="5" t="s">
        <v>3548</v>
      </c>
      <c r="D530" s="5" t="s">
        <v>3782</v>
      </c>
      <c r="E530" s="5" t="s">
        <v>4363</v>
      </c>
      <c r="F530" s="5" t="s">
        <v>4390</v>
      </c>
      <c r="G530" s="5" t="s">
        <v>3782</v>
      </c>
      <c r="H530" s="5"/>
      <c r="I530" s="5" t="s">
        <v>3448</v>
      </c>
      <c r="J530" s="5" t="s">
        <v>3783</v>
      </c>
      <c r="K530" s="5" t="s">
        <v>4363</v>
      </c>
      <c r="L530" s="5">
        <v>32</v>
      </c>
      <c r="M530" s="5">
        <v>6</v>
      </c>
      <c r="N530" s="5" t="s">
        <v>4391</v>
      </c>
      <c r="O530" s="5" t="s">
        <v>3827</v>
      </c>
      <c r="P530" s="5">
        <v>4</v>
      </c>
      <c r="Q530" s="5">
        <v>2</v>
      </c>
      <c r="R530" s="5"/>
      <c r="S530" s="5">
        <v>146</v>
      </c>
      <c r="T530" s="5">
        <v>146</v>
      </c>
      <c r="U530" s="5">
        <v>146</v>
      </c>
    </row>
    <row r="531" spans="1:21" x14ac:dyDescent="0.25">
      <c r="A531" s="5" t="s">
        <v>7058</v>
      </c>
      <c r="B531" s="5" t="s">
        <v>5496</v>
      </c>
      <c r="C531" s="5" t="s">
        <v>3548</v>
      </c>
      <c r="D531" s="5" t="s">
        <v>3782</v>
      </c>
      <c r="E531" s="5" t="s">
        <v>4363</v>
      </c>
      <c r="F531" s="5" t="s">
        <v>3584</v>
      </c>
      <c r="G531" s="5" t="s">
        <v>3782</v>
      </c>
      <c r="H531" s="5"/>
      <c r="I531" s="5" t="s">
        <v>3448</v>
      </c>
      <c r="J531" s="5" t="s">
        <v>3783</v>
      </c>
      <c r="K531" s="5" t="s">
        <v>4363</v>
      </c>
      <c r="L531" s="5">
        <v>32</v>
      </c>
      <c r="M531" s="5">
        <v>6</v>
      </c>
      <c r="N531" s="5" t="s">
        <v>3585</v>
      </c>
      <c r="O531" s="5" t="s">
        <v>3827</v>
      </c>
      <c r="P531" s="5">
        <v>4</v>
      </c>
      <c r="Q531" s="5">
        <v>1</v>
      </c>
      <c r="R531" s="5"/>
      <c r="S531" s="5">
        <v>156</v>
      </c>
      <c r="T531" s="5">
        <v>156</v>
      </c>
      <c r="U531" s="5">
        <v>156</v>
      </c>
    </row>
    <row r="532" spans="1:21" x14ac:dyDescent="0.25">
      <c r="A532" s="5" t="s">
        <v>4669</v>
      </c>
      <c r="B532" s="5" t="s">
        <v>4670</v>
      </c>
      <c r="C532" s="5" t="s">
        <v>3548</v>
      </c>
      <c r="D532" s="5" t="s">
        <v>3782</v>
      </c>
      <c r="E532" s="5" t="s">
        <v>4363</v>
      </c>
      <c r="F532" s="5" t="s">
        <v>4421</v>
      </c>
      <c r="G532" s="5" t="s">
        <v>3493</v>
      </c>
      <c r="H532" s="5"/>
      <c r="I532" s="5" t="s">
        <v>3448</v>
      </c>
      <c r="J532" s="5" t="s">
        <v>3783</v>
      </c>
      <c r="K532" s="5" t="s">
        <v>4363</v>
      </c>
      <c r="L532" s="5">
        <v>25</v>
      </c>
      <c r="M532" s="5">
        <v>1</v>
      </c>
      <c r="N532" s="5" t="s">
        <v>4422</v>
      </c>
      <c r="O532" s="5" t="s">
        <v>3494</v>
      </c>
      <c r="P532" s="5">
        <v>3</v>
      </c>
      <c r="Q532" s="5">
        <v>1</v>
      </c>
      <c r="R532" s="5"/>
      <c r="S532" s="5">
        <v>22</v>
      </c>
      <c r="T532" s="5">
        <v>22</v>
      </c>
      <c r="U532" s="5">
        <v>22</v>
      </c>
    </row>
    <row r="533" spans="1:21" x14ac:dyDescent="0.25">
      <c r="A533" s="5" t="s">
        <v>4671</v>
      </c>
      <c r="B533" s="5" t="s">
        <v>4672</v>
      </c>
      <c r="C533" s="5" t="s">
        <v>3548</v>
      </c>
      <c r="D533" s="5" t="s">
        <v>3782</v>
      </c>
      <c r="E533" s="5" t="s">
        <v>4363</v>
      </c>
      <c r="F533" s="5" t="s">
        <v>3584</v>
      </c>
      <c r="G533" s="5" t="s">
        <v>3501</v>
      </c>
      <c r="H533" s="5"/>
      <c r="I533" s="5" t="s">
        <v>3448</v>
      </c>
      <c r="J533" s="5" t="s">
        <v>3783</v>
      </c>
      <c r="K533" s="5" t="s">
        <v>4363</v>
      </c>
      <c r="L533" s="5">
        <v>25</v>
      </c>
      <c r="M533" s="5">
        <v>1</v>
      </c>
      <c r="N533" s="5" t="s">
        <v>3585</v>
      </c>
      <c r="O533" s="5" t="s">
        <v>3502</v>
      </c>
      <c r="P533" s="5">
        <v>4</v>
      </c>
      <c r="Q533" s="5">
        <v>1</v>
      </c>
      <c r="R533" s="5"/>
      <c r="S533" s="5">
        <v>35</v>
      </c>
      <c r="T533" s="5">
        <v>35</v>
      </c>
      <c r="U533" s="5">
        <v>35</v>
      </c>
    </row>
    <row r="534" spans="1:21" x14ac:dyDescent="0.25">
      <c r="A534" s="5" t="s">
        <v>4677</v>
      </c>
      <c r="B534" s="5" t="s">
        <v>4678</v>
      </c>
      <c r="C534" s="5" t="s">
        <v>3548</v>
      </c>
      <c r="D534" s="5" t="s">
        <v>3782</v>
      </c>
      <c r="E534" s="5" t="s">
        <v>4363</v>
      </c>
      <c r="F534" s="5" t="s">
        <v>3584</v>
      </c>
      <c r="G534" s="5" t="s">
        <v>3493</v>
      </c>
      <c r="H534" s="5"/>
      <c r="I534" s="5" t="s">
        <v>3448</v>
      </c>
      <c r="J534" s="5" t="s">
        <v>3783</v>
      </c>
      <c r="K534" s="5" t="s">
        <v>4363</v>
      </c>
      <c r="L534" s="5">
        <v>25</v>
      </c>
      <c r="M534" s="5">
        <v>1</v>
      </c>
      <c r="N534" s="5" t="s">
        <v>3585</v>
      </c>
      <c r="O534" s="5" t="s">
        <v>3494</v>
      </c>
      <c r="P534" s="5">
        <v>4</v>
      </c>
      <c r="Q534" s="5">
        <v>1</v>
      </c>
      <c r="R534" s="5"/>
      <c r="S534" s="5">
        <v>26</v>
      </c>
      <c r="T534" s="5">
        <v>26</v>
      </c>
      <c r="U534" s="5">
        <v>26</v>
      </c>
    </row>
    <row r="535" spans="1:21" x14ac:dyDescent="0.25">
      <c r="A535" s="5" t="s">
        <v>7059</v>
      </c>
      <c r="B535" s="5" t="s">
        <v>5510</v>
      </c>
      <c r="C535" s="5" t="s">
        <v>3548</v>
      </c>
      <c r="D535" s="5" t="s">
        <v>3782</v>
      </c>
      <c r="E535" s="5" t="s">
        <v>4363</v>
      </c>
      <c r="F535" s="5" t="s">
        <v>3584</v>
      </c>
      <c r="G535" s="5" t="s">
        <v>3782</v>
      </c>
      <c r="H535" s="5"/>
      <c r="I535" s="5" t="s">
        <v>3448</v>
      </c>
      <c r="J535" s="5" t="s">
        <v>3783</v>
      </c>
      <c r="K535" s="5" t="s">
        <v>4363</v>
      </c>
      <c r="L535" s="5">
        <v>32</v>
      </c>
      <c r="M535" s="5">
        <v>8</v>
      </c>
      <c r="N535" s="5" t="s">
        <v>3585</v>
      </c>
      <c r="O535" s="5" t="s">
        <v>3827</v>
      </c>
      <c r="P535" s="5">
        <v>4</v>
      </c>
      <c r="Q535" s="5">
        <v>2</v>
      </c>
      <c r="R535" s="5"/>
      <c r="S535" s="5">
        <v>204</v>
      </c>
      <c r="T535" s="5">
        <v>204</v>
      </c>
      <c r="U535" s="5">
        <v>204</v>
      </c>
    </row>
    <row r="536" spans="1:21" x14ac:dyDescent="0.25">
      <c r="A536" s="5" t="s">
        <v>7060</v>
      </c>
      <c r="B536" s="5" t="s">
        <v>5526</v>
      </c>
      <c r="C536" s="5" t="s">
        <v>3548</v>
      </c>
      <c r="D536" s="5" t="s">
        <v>3782</v>
      </c>
      <c r="E536" s="5" t="s">
        <v>4363</v>
      </c>
      <c r="F536" s="5" t="s">
        <v>3584</v>
      </c>
      <c r="G536" s="5" t="s">
        <v>3782</v>
      </c>
      <c r="H536" s="5"/>
      <c r="I536" s="5" t="s">
        <v>3448</v>
      </c>
      <c r="J536" s="5" t="s">
        <v>3783</v>
      </c>
      <c r="K536" s="5" t="s">
        <v>4363</v>
      </c>
      <c r="L536" s="5">
        <v>40</v>
      </c>
      <c r="M536" s="5">
        <v>2</v>
      </c>
      <c r="N536" s="5" t="s">
        <v>3585</v>
      </c>
      <c r="O536" s="5" t="s">
        <v>3827</v>
      </c>
      <c r="P536" s="5">
        <v>5</v>
      </c>
      <c r="Q536" s="5">
        <v>1</v>
      </c>
      <c r="R536" s="5"/>
      <c r="S536" s="5">
        <v>73</v>
      </c>
      <c r="T536" s="5">
        <v>73</v>
      </c>
      <c r="U536" s="5">
        <v>73</v>
      </c>
    </row>
    <row r="537" spans="1:21" x14ac:dyDescent="0.25">
      <c r="A537" s="5" t="s">
        <v>7061</v>
      </c>
      <c r="B537" s="5" t="s">
        <v>5532</v>
      </c>
      <c r="C537" s="5" t="s">
        <v>3548</v>
      </c>
      <c r="D537" s="5" t="s">
        <v>3782</v>
      </c>
      <c r="E537" s="5" t="s">
        <v>4363</v>
      </c>
      <c r="F537" s="5" t="s">
        <v>4390</v>
      </c>
      <c r="G537" s="5" t="s">
        <v>3782</v>
      </c>
      <c r="H537" s="5"/>
      <c r="I537" s="5" t="s">
        <v>3448</v>
      </c>
      <c r="J537" s="5" t="s">
        <v>3783</v>
      </c>
      <c r="K537" s="5" t="s">
        <v>4363</v>
      </c>
      <c r="L537" s="5">
        <v>40</v>
      </c>
      <c r="M537" s="5">
        <v>2</v>
      </c>
      <c r="N537" s="5" t="s">
        <v>4391</v>
      </c>
      <c r="O537" s="5" t="s">
        <v>3827</v>
      </c>
      <c r="P537" s="5">
        <v>5</v>
      </c>
      <c r="Q537" s="5">
        <v>1</v>
      </c>
      <c r="R537" s="5"/>
      <c r="S537" s="5">
        <v>68</v>
      </c>
      <c r="T537" s="5">
        <v>68</v>
      </c>
      <c r="U537" s="5">
        <v>68</v>
      </c>
    </row>
    <row r="538" spans="1:21" x14ac:dyDescent="0.25">
      <c r="A538" s="5" t="s">
        <v>4703</v>
      </c>
      <c r="B538" s="5" t="s">
        <v>4704</v>
      </c>
      <c r="C538" s="5" t="s">
        <v>3548</v>
      </c>
      <c r="D538" s="5" t="s">
        <v>3782</v>
      </c>
      <c r="E538" s="5" t="s">
        <v>4363</v>
      </c>
      <c r="F538" s="5" t="s">
        <v>4390</v>
      </c>
      <c r="G538" s="5" t="s">
        <v>3501</v>
      </c>
      <c r="H538" s="5"/>
      <c r="I538" s="5" t="s">
        <v>3448</v>
      </c>
      <c r="J538" s="5" t="s">
        <v>3783</v>
      </c>
      <c r="K538" s="5" t="s">
        <v>4363</v>
      </c>
      <c r="L538" s="5">
        <v>25</v>
      </c>
      <c r="M538" s="5">
        <v>1</v>
      </c>
      <c r="N538" s="5" t="s">
        <v>4391</v>
      </c>
      <c r="O538" s="5" t="s">
        <v>3502</v>
      </c>
      <c r="P538" s="5">
        <v>4</v>
      </c>
      <c r="Q538" s="5">
        <v>1</v>
      </c>
      <c r="R538" s="5"/>
      <c r="S538" s="5">
        <v>26</v>
      </c>
      <c r="T538" s="5">
        <v>26</v>
      </c>
      <c r="U538" s="5">
        <v>26</v>
      </c>
    </row>
    <row r="539" spans="1:21" x14ac:dyDescent="0.25">
      <c r="A539" s="5" t="s">
        <v>4705</v>
      </c>
      <c r="B539" s="5" t="s">
        <v>4706</v>
      </c>
      <c r="C539" s="5" t="s">
        <v>3548</v>
      </c>
      <c r="D539" s="5" t="s">
        <v>3782</v>
      </c>
      <c r="E539" s="5" t="s">
        <v>4363</v>
      </c>
      <c r="F539" s="5" t="s">
        <v>4390</v>
      </c>
      <c r="G539" s="5" t="s">
        <v>3493</v>
      </c>
      <c r="H539" s="5"/>
      <c r="I539" s="5" t="s">
        <v>3448</v>
      </c>
      <c r="J539" s="5" t="s">
        <v>3783</v>
      </c>
      <c r="K539" s="5" t="s">
        <v>4363</v>
      </c>
      <c r="L539" s="5">
        <v>25</v>
      </c>
      <c r="M539" s="5">
        <v>1</v>
      </c>
      <c r="N539" s="5" t="s">
        <v>4391</v>
      </c>
      <c r="O539" s="5" t="s">
        <v>3494</v>
      </c>
      <c r="P539" s="5">
        <v>4</v>
      </c>
      <c r="Q539" s="5">
        <v>1</v>
      </c>
      <c r="R539" s="5"/>
      <c r="S539" s="5">
        <v>23</v>
      </c>
      <c r="T539" s="5">
        <v>23</v>
      </c>
      <c r="U539" s="5">
        <v>23</v>
      </c>
    </row>
    <row r="540" spans="1:21" x14ac:dyDescent="0.25">
      <c r="A540" s="5" t="s">
        <v>7062</v>
      </c>
      <c r="B540" s="5" t="s">
        <v>5538</v>
      </c>
      <c r="C540" s="5" t="s">
        <v>3548</v>
      </c>
      <c r="D540" s="5" t="s">
        <v>3782</v>
      </c>
      <c r="E540" s="5" t="s">
        <v>4363</v>
      </c>
      <c r="F540" s="5" t="s">
        <v>3584</v>
      </c>
      <c r="G540" s="5" t="s">
        <v>3782</v>
      </c>
      <c r="H540" s="5"/>
      <c r="I540" s="5" t="s">
        <v>3448</v>
      </c>
      <c r="J540" s="5" t="s">
        <v>3783</v>
      </c>
      <c r="K540" s="5" t="s">
        <v>4363</v>
      </c>
      <c r="L540" s="5">
        <v>40</v>
      </c>
      <c r="M540" s="5">
        <v>3</v>
      </c>
      <c r="N540" s="5" t="s">
        <v>3585</v>
      </c>
      <c r="O540" s="5" t="s">
        <v>3827</v>
      </c>
      <c r="P540" s="5">
        <v>5</v>
      </c>
      <c r="Q540" s="5">
        <v>1</v>
      </c>
      <c r="R540" s="5"/>
      <c r="S540" s="5">
        <v>100</v>
      </c>
      <c r="T540" s="5">
        <v>100</v>
      </c>
      <c r="U540" s="5">
        <v>100</v>
      </c>
    </row>
    <row r="541" spans="1:21" x14ac:dyDescent="0.25">
      <c r="A541" s="5" t="s">
        <v>4719</v>
      </c>
      <c r="B541" s="5" t="s">
        <v>4720</v>
      </c>
      <c r="C541" s="5" t="s">
        <v>3548</v>
      </c>
      <c r="D541" s="5" t="s">
        <v>3782</v>
      </c>
      <c r="E541" s="5" t="s">
        <v>4363</v>
      </c>
      <c r="F541" s="5" t="s">
        <v>3584</v>
      </c>
      <c r="G541" s="5" t="s">
        <v>3493</v>
      </c>
      <c r="H541" s="5"/>
      <c r="I541" s="5" t="s">
        <v>3448</v>
      </c>
      <c r="J541" s="5" t="s">
        <v>3783</v>
      </c>
      <c r="K541" s="5" t="s">
        <v>4363</v>
      </c>
      <c r="L541" s="5">
        <v>25</v>
      </c>
      <c r="M541" s="5">
        <v>4</v>
      </c>
      <c r="N541" s="5" t="s">
        <v>3585</v>
      </c>
      <c r="O541" s="5" t="s">
        <v>3494</v>
      </c>
      <c r="P541" s="5">
        <v>3</v>
      </c>
      <c r="Q541" s="5">
        <v>1</v>
      </c>
      <c r="R541" s="5"/>
      <c r="S541" s="5">
        <v>87</v>
      </c>
      <c r="T541" s="5">
        <v>87</v>
      </c>
      <c r="U541" s="5">
        <v>87</v>
      </c>
    </row>
    <row r="542" spans="1:21" x14ac:dyDescent="0.25">
      <c r="A542" s="5" t="s">
        <v>7063</v>
      </c>
      <c r="B542" s="5" t="s">
        <v>5558</v>
      </c>
      <c r="C542" s="5" t="s">
        <v>3548</v>
      </c>
      <c r="D542" s="5" t="s">
        <v>3782</v>
      </c>
      <c r="E542" s="5" t="s">
        <v>4363</v>
      </c>
      <c r="F542" s="5" t="s">
        <v>3584</v>
      </c>
      <c r="G542" s="5" t="s">
        <v>3782</v>
      </c>
      <c r="H542" s="5"/>
      <c r="I542" s="5" t="s">
        <v>3448</v>
      </c>
      <c r="J542" s="5" t="s">
        <v>3783</v>
      </c>
      <c r="K542" s="5" t="s">
        <v>4363</v>
      </c>
      <c r="L542" s="5">
        <v>40</v>
      </c>
      <c r="M542" s="5">
        <v>1</v>
      </c>
      <c r="N542" s="5" t="s">
        <v>3585</v>
      </c>
      <c r="O542" s="5" t="s">
        <v>3827</v>
      </c>
      <c r="P542" s="5">
        <v>5</v>
      </c>
      <c r="Q542" s="5">
        <v>1</v>
      </c>
      <c r="R542" s="5"/>
      <c r="S542" s="5">
        <v>43</v>
      </c>
      <c r="T542" s="5">
        <v>43</v>
      </c>
      <c r="U542" s="5">
        <v>43</v>
      </c>
    </row>
    <row r="543" spans="1:21" x14ac:dyDescent="0.25">
      <c r="A543" s="5" t="s">
        <v>4723</v>
      </c>
      <c r="B543" s="5" t="s">
        <v>4724</v>
      </c>
      <c r="C543" s="5" t="s">
        <v>3548</v>
      </c>
      <c r="D543" s="5" t="s">
        <v>3782</v>
      </c>
      <c r="E543" s="5" t="s">
        <v>4363</v>
      </c>
      <c r="F543" s="5" t="s">
        <v>4390</v>
      </c>
      <c r="G543" s="5" t="s">
        <v>3493</v>
      </c>
      <c r="H543" s="5"/>
      <c r="I543" s="5" t="s">
        <v>3448</v>
      </c>
      <c r="J543" s="5" t="s">
        <v>3783</v>
      </c>
      <c r="K543" s="5" t="s">
        <v>4363</v>
      </c>
      <c r="L543" s="5">
        <v>25</v>
      </c>
      <c r="M543" s="5">
        <v>4</v>
      </c>
      <c r="N543" s="5" t="s">
        <v>4391</v>
      </c>
      <c r="O543" s="5" t="s">
        <v>3494</v>
      </c>
      <c r="P543" s="5">
        <v>3</v>
      </c>
      <c r="Q543" s="5">
        <v>1</v>
      </c>
      <c r="R543" s="5"/>
      <c r="S543" s="5">
        <v>85</v>
      </c>
      <c r="T543" s="5">
        <v>85</v>
      </c>
      <c r="U543" s="5">
        <v>85</v>
      </c>
    </row>
    <row r="544" spans="1:21" x14ac:dyDescent="0.25">
      <c r="A544" s="5" t="s">
        <v>7064</v>
      </c>
      <c r="B544" s="5" t="s">
        <v>5572</v>
      </c>
      <c r="C544" s="5" t="s">
        <v>3548</v>
      </c>
      <c r="D544" s="5" t="s">
        <v>3782</v>
      </c>
      <c r="E544" s="5" t="s">
        <v>4363</v>
      </c>
      <c r="F544" s="5" t="s">
        <v>3584</v>
      </c>
      <c r="G544" s="5" t="s">
        <v>3782</v>
      </c>
      <c r="H544" s="5"/>
      <c r="I544" s="5" t="s">
        <v>3448</v>
      </c>
      <c r="J544" s="5" t="s">
        <v>3783</v>
      </c>
      <c r="K544" s="5" t="s">
        <v>4363</v>
      </c>
      <c r="L544" s="5">
        <v>59</v>
      </c>
      <c r="M544" s="5">
        <v>2</v>
      </c>
      <c r="N544" s="5" t="s">
        <v>3585</v>
      </c>
      <c r="O544" s="5" t="s">
        <v>3827</v>
      </c>
      <c r="P544" s="5">
        <v>8</v>
      </c>
      <c r="Q544" s="5">
        <v>1</v>
      </c>
      <c r="R544" s="5"/>
      <c r="S544" s="5">
        <v>98</v>
      </c>
      <c r="T544" s="5">
        <v>98</v>
      </c>
      <c r="U544" s="5">
        <v>98</v>
      </c>
    </row>
    <row r="545" spans="1:21" x14ac:dyDescent="0.25">
      <c r="A545" s="5" t="s">
        <v>4727</v>
      </c>
      <c r="B545" s="5" t="s">
        <v>4728</v>
      </c>
      <c r="C545" s="5" t="s">
        <v>3548</v>
      </c>
      <c r="D545" s="5" t="s">
        <v>3782</v>
      </c>
      <c r="E545" s="5" t="s">
        <v>4363</v>
      </c>
      <c r="F545" s="5" t="s">
        <v>4004</v>
      </c>
      <c r="G545" s="5" t="s">
        <v>3493</v>
      </c>
      <c r="H545" s="5"/>
      <c r="I545" s="5" t="s">
        <v>3448</v>
      </c>
      <c r="J545" s="5" t="s">
        <v>3783</v>
      </c>
      <c r="K545" s="5" t="s">
        <v>4363</v>
      </c>
      <c r="L545" s="5">
        <v>25</v>
      </c>
      <c r="M545" s="5">
        <v>4</v>
      </c>
      <c r="N545" s="5" t="s">
        <v>4005</v>
      </c>
      <c r="O545" s="5" t="s">
        <v>3494</v>
      </c>
      <c r="P545" s="5">
        <v>3</v>
      </c>
      <c r="Q545" s="5">
        <v>1</v>
      </c>
      <c r="R545" s="5"/>
      <c r="S545" s="5">
        <v>89</v>
      </c>
      <c r="T545" s="5">
        <v>89</v>
      </c>
      <c r="U545" s="5">
        <v>89</v>
      </c>
    </row>
    <row r="546" spans="1:21" x14ac:dyDescent="0.25">
      <c r="A546" s="5" t="s">
        <v>7065</v>
      </c>
      <c r="B546" s="5" t="s">
        <v>5600</v>
      </c>
      <c r="C546" s="5" t="s">
        <v>3548</v>
      </c>
      <c r="D546" s="5" t="s">
        <v>3782</v>
      </c>
      <c r="E546" s="5" t="s">
        <v>4363</v>
      </c>
      <c r="F546" s="5" t="s">
        <v>3584</v>
      </c>
      <c r="G546" s="5" t="s">
        <v>3782</v>
      </c>
      <c r="H546" s="5"/>
      <c r="I546" s="5" t="s">
        <v>3448</v>
      </c>
      <c r="J546" s="5" t="s">
        <v>3783</v>
      </c>
      <c r="K546" s="5" t="s">
        <v>4363</v>
      </c>
      <c r="L546" s="5">
        <v>59</v>
      </c>
      <c r="M546" s="5">
        <v>1</v>
      </c>
      <c r="N546" s="5" t="s">
        <v>3585</v>
      </c>
      <c r="O546" s="5" t="s">
        <v>3827</v>
      </c>
      <c r="P546" s="5">
        <v>8</v>
      </c>
      <c r="Q546" s="5">
        <v>1</v>
      </c>
      <c r="R546" s="5"/>
      <c r="S546" s="5">
        <v>57</v>
      </c>
      <c r="T546" s="5">
        <v>57</v>
      </c>
      <c r="U546" s="5">
        <v>57</v>
      </c>
    </row>
    <row r="547" spans="1:21" x14ac:dyDescent="0.25">
      <c r="A547" s="5" t="s">
        <v>7066</v>
      </c>
      <c r="B547" s="5" t="s">
        <v>5848</v>
      </c>
      <c r="C547" s="5" t="s">
        <v>3548</v>
      </c>
      <c r="D547" s="5" t="s">
        <v>5817</v>
      </c>
      <c r="E547" s="5" t="s">
        <v>4363</v>
      </c>
      <c r="F547" s="5" t="s">
        <v>3584</v>
      </c>
      <c r="G547" s="5" t="s">
        <v>3782</v>
      </c>
      <c r="H547" s="5"/>
      <c r="I547" s="5" t="s">
        <v>3448</v>
      </c>
      <c r="J547" s="5" t="s">
        <v>5818</v>
      </c>
      <c r="K547" s="5" t="s">
        <v>4363</v>
      </c>
      <c r="L547" s="5">
        <v>17</v>
      </c>
      <c r="M547" s="5">
        <v>1</v>
      </c>
      <c r="N547" s="5" t="s">
        <v>3585</v>
      </c>
      <c r="O547" s="5" t="s">
        <v>3827</v>
      </c>
      <c r="P547" s="5">
        <v>1</v>
      </c>
      <c r="Q547" s="5">
        <v>1</v>
      </c>
      <c r="R547" s="5"/>
      <c r="S547" s="5">
        <v>14</v>
      </c>
      <c r="T547" s="5">
        <v>14</v>
      </c>
      <c r="U547" s="5">
        <v>14</v>
      </c>
    </row>
    <row r="548" spans="1:21" x14ac:dyDescent="0.25">
      <c r="A548" s="5" t="s">
        <v>4733</v>
      </c>
      <c r="B548" s="5" t="s">
        <v>4734</v>
      </c>
      <c r="C548" s="5" t="s">
        <v>3548</v>
      </c>
      <c r="D548" s="5" t="s">
        <v>3782</v>
      </c>
      <c r="E548" s="5" t="s">
        <v>4363</v>
      </c>
      <c r="F548" s="5" t="s">
        <v>4421</v>
      </c>
      <c r="G548" s="5" t="s">
        <v>3493</v>
      </c>
      <c r="H548" s="5"/>
      <c r="I548" s="5" t="s">
        <v>3448</v>
      </c>
      <c r="J548" s="5" t="s">
        <v>3783</v>
      </c>
      <c r="K548" s="5" t="s">
        <v>4363</v>
      </c>
      <c r="L548" s="5">
        <v>25</v>
      </c>
      <c r="M548" s="5">
        <v>4</v>
      </c>
      <c r="N548" s="5" t="s">
        <v>4422</v>
      </c>
      <c r="O548" s="5" t="s">
        <v>3494</v>
      </c>
      <c r="P548" s="5">
        <v>3</v>
      </c>
      <c r="Q548" s="5">
        <v>1</v>
      </c>
      <c r="R548" s="5"/>
      <c r="S548" s="5">
        <v>85</v>
      </c>
      <c r="T548" s="5">
        <v>85</v>
      </c>
      <c r="U548" s="5">
        <v>85</v>
      </c>
    </row>
    <row r="549" spans="1:21" x14ac:dyDescent="0.25">
      <c r="A549" s="5" t="s">
        <v>4735</v>
      </c>
      <c r="B549" s="5" t="s">
        <v>4736</v>
      </c>
      <c r="C549" s="5" t="s">
        <v>3548</v>
      </c>
      <c r="D549" s="5" t="s">
        <v>3782</v>
      </c>
      <c r="E549" s="5" t="s">
        <v>4363</v>
      </c>
      <c r="F549" s="5" t="s">
        <v>3584</v>
      </c>
      <c r="G549" s="5" t="s">
        <v>3501</v>
      </c>
      <c r="H549" s="5"/>
      <c r="I549" s="5" t="s">
        <v>3448</v>
      </c>
      <c r="J549" s="5" t="s">
        <v>3783</v>
      </c>
      <c r="K549" s="5" t="s">
        <v>4363</v>
      </c>
      <c r="L549" s="5">
        <v>25</v>
      </c>
      <c r="M549" s="5">
        <v>4</v>
      </c>
      <c r="N549" s="5" t="s">
        <v>3585</v>
      </c>
      <c r="O549" s="5" t="s">
        <v>3502</v>
      </c>
      <c r="P549" s="5">
        <v>4</v>
      </c>
      <c r="Q549" s="5">
        <v>2</v>
      </c>
      <c r="R549" s="5"/>
      <c r="S549" s="5">
        <v>130</v>
      </c>
      <c r="T549" s="5">
        <v>130</v>
      </c>
      <c r="U549" s="5">
        <v>130</v>
      </c>
    </row>
    <row r="550" spans="1:21" x14ac:dyDescent="0.25">
      <c r="A550" s="5" t="s">
        <v>4737</v>
      </c>
      <c r="B550" s="5" t="s">
        <v>4738</v>
      </c>
      <c r="C550" s="5" t="s">
        <v>3548</v>
      </c>
      <c r="D550" s="5" t="s">
        <v>3782</v>
      </c>
      <c r="E550" s="5" t="s">
        <v>4363</v>
      </c>
      <c r="F550" s="5" t="s">
        <v>3584</v>
      </c>
      <c r="G550" s="5" t="s">
        <v>3493</v>
      </c>
      <c r="H550" s="5"/>
      <c r="I550" s="5" t="s">
        <v>3448</v>
      </c>
      <c r="J550" s="5" t="s">
        <v>3783</v>
      </c>
      <c r="K550" s="5" t="s">
        <v>4363</v>
      </c>
      <c r="L550" s="5">
        <v>25</v>
      </c>
      <c r="M550" s="5">
        <v>4</v>
      </c>
      <c r="N550" s="5" t="s">
        <v>3585</v>
      </c>
      <c r="O550" s="5" t="s">
        <v>3494</v>
      </c>
      <c r="P550" s="5">
        <v>4</v>
      </c>
      <c r="Q550" s="5">
        <v>2</v>
      </c>
      <c r="R550" s="5"/>
      <c r="S550" s="5">
        <v>92</v>
      </c>
      <c r="T550" s="5">
        <v>92</v>
      </c>
      <c r="U550" s="5">
        <v>92</v>
      </c>
    </row>
    <row r="551" spans="1:21" x14ac:dyDescent="0.25">
      <c r="A551" s="5" t="s">
        <v>7067</v>
      </c>
      <c r="B551" s="5" t="s">
        <v>5856</v>
      </c>
      <c r="C551" s="5" t="s">
        <v>3548</v>
      </c>
      <c r="D551" s="5" t="s">
        <v>5817</v>
      </c>
      <c r="E551" s="5" t="s">
        <v>4363</v>
      </c>
      <c r="F551" s="5" t="s">
        <v>4390</v>
      </c>
      <c r="G551" s="5" t="s">
        <v>3782</v>
      </c>
      <c r="H551" s="5"/>
      <c r="I551" s="5" t="s">
        <v>3448</v>
      </c>
      <c r="J551" s="5" t="s">
        <v>5818</v>
      </c>
      <c r="K551" s="5" t="s">
        <v>4363</v>
      </c>
      <c r="L551" s="5">
        <v>17</v>
      </c>
      <c r="M551" s="5">
        <v>1</v>
      </c>
      <c r="N551" s="5" t="s">
        <v>4406</v>
      </c>
      <c r="O551" s="5" t="s">
        <v>3827</v>
      </c>
      <c r="P551" s="5">
        <v>1</v>
      </c>
      <c r="Q551" s="5">
        <v>1</v>
      </c>
      <c r="R551" s="5"/>
      <c r="S551" s="5">
        <v>14</v>
      </c>
      <c r="T551" s="5">
        <v>14</v>
      </c>
      <c r="U551" s="5">
        <v>14</v>
      </c>
    </row>
    <row r="552" spans="1:21" x14ac:dyDescent="0.25">
      <c r="A552" s="5" t="s">
        <v>4741</v>
      </c>
      <c r="B552" s="5" t="s">
        <v>4742</v>
      </c>
      <c r="C552" s="5" t="s">
        <v>3548</v>
      </c>
      <c r="D552" s="5" t="s">
        <v>3782</v>
      </c>
      <c r="E552" s="5" t="s">
        <v>4363</v>
      </c>
      <c r="F552" s="5" t="s">
        <v>4390</v>
      </c>
      <c r="G552" s="5" t="s">
        <v>3493</v>
      </c>
      <c r="H552" s="5"/>
      <c r="I552" s="5" t="s">
        <v>3448</v>
      </c>
      <c r="J552" s="5" t="s">
        <v>3783</v>
      </c>
      <c r="K552" s="5" t="s">
        <v>4363</v>
      </c>
      <c r="L552" s="5">
        <v>25</v>
      </c>
      <c r="M552" s="5">
        <v>4</v>
      </c>
      <c r="N552" s="5" t="s">
        <v>4391</v>
      </c>
      <c r="O552" s="5" t="s">
        <v>3494</v>
      </c>
      <c r="P552" s="5">
        <v>4</v>
      </c>
      <c r="Q552" s="5">
        <v>2</v>
      </c>
      <c r="R552" s="5"/>
      <c r="S552" s="5">
        <v>86</v>
      </c>
      <c r="T552" s="5">
        <v>86</v>
      </c>
      <c r="U552" s="5">
        <v>86</v>
      </c>
    </row>
    <row r="553" spans="1:21" x14ac:dyDescent="0.25">
      <c r="A553" s="5" t="s">
        <v>7068</v>
      </c>
      <c r="B553" s="5" t="s">
        <v>5868</v>
      </c>
      <c r="C553" s="5" t="s">
        <v>3548</v>
      </c>
      <c r="D553" s="5" t="s">
        <v>5817</v>
      </c>
      <c r="E553" s="5" t="s">
        <v>4363</v>
      </c>
      <c r="F553" s="5" t="s">
        <v>3584</v>
      </c>
      <c r="G553" s="5" t="s">
        <v>3782</v>
      </c>
      <c r="H553" s="5"/>
      <c r="I553" s="5" t="s">
        <v>3448</v>
      </c>
      <c r="J553" s="5" t="s">
        <v>5818</v>
      </c>
      <c r="K553" s="5" t="s">
        <v>4363</v>
      </c>
      <c r="L553" s="5">
        <v>17</v>
      </c>
      <c r="M553" s="5">
        <v>2</v>
      </c>
      <c r="N553" s="5" t="s">
        <v>3585</v>
      </c>
      <c r="O553" s="5" t="s">
        <v>3827</v>
      </c>
      <c r="P553" s="5">
        <v>1</v>
      </c>
      <c r="Q553" s="5">
        <v>1</v>
      </c>
      <c r="R553" s="5"/>
      <c r="S553" s="5">
        <v>27</v>
      </c>
      <c r="T553" s="5">
        <v>27</v>
      </c>
      <c r="U553" s="5">
        <v>27</v>
      </c>
    </row>
    <row r="554" spans="1:21" x14ac:dyDescent="0.25">
      <c r="A554" s="5" t="s">
        <v>4745</v>
      </c>
      <c r="B554" s="5" t="s">
        <v>4746</v>
      </c>
      <c r="C554" s="5" t="s">
        <v>3548</v>
      </c>
      <c r="D554" s="5" t="s">
        <v>3782</v>
      </c>
      <c r="E554" s="5" t="s">
        <v>4363</v>
      </c>
      <c r="F554" s="5" t="s">
        <v>3584</v>
      </c>
      <c r="G554" s="5" t="s">
        <v>3501</v>
      </c>
      <c r="H554" s="5"/>
      <c r="I554" s="5" t="s">
        <v>3448</v>
      </c>
      <c r="J554" s="5" t="s">
        <v>3783</v>
      </c>
      <c r="K554" s="5" t="s">
        <v>4363</v>
      </c>
      <c r="L554" s="5">
        <v>25</v>
      </c>
      <c r="M554" s="5">
        <v>4</v>
      </c>
      <c r="N554" s="5" t="s">
        <v>3585</v>
      </c>
      <c r="O554" s="5" t="s">
        <v>3502</v>
      </c>
      <c r="P554" s="5">
        <v>4</v>
      </c>
      <c r="Q554" s="5">
        <v>1</v>
      </c>
      <c r="R554" s="5"/>
      <c r="S554" s="5">
        <v>92</v>
      </c>
      <c r="T554" s="5">
        <v>92</v>
      </c>
      <c r="U554" s="5">
        <v>92</v>
      </c>
    </row>
    <row r="555" spans="1:21" x14ac:dyDescent="0.25">
      <c r="A555" s="5" t="s">
        <v>4747</v>
      </c>
      <c r="B555" s="5" t="s">
        <v>4748</v>
      </c>
      <c r="C555" s="5" t="s">
        <v>3548</v>
      </c>
      <c r="D555" s="5" t="s">
        <v>3782</v>
      </c>
      <c r="E555" s="5" t="s">
        <v>4363</v>
      </c>
      <c r="F555" s="5" t="s">
        <v>3584</v>
      </c>
      <c r="G555" s="5" t="s">
        <v>3493</v>
      </c>
      <c r="H555" s="5"/>
      <c r="I555" s="5" t="s">
        <v>3448</v>
      </c>
      <c r="J555" s="5" t="s">
        <v>3783</v>
      </c>
      <c r="K555" s="5" t="s">
        <v>4363</v>
      </c>
      <c r="L555" s="5">
        <v>25</v>
      </c>
      <c r="M555" s="5">
        <v>4</v>
      </c>
      <c r="N555" s="5" t="s">
        <v>3585</v>
      </c>
      <c r="O555" s="5" t="s">
        <v>3494</v>
      </c>
      <c r="P555" s="5">
        <v>4</v>
      </c>
      <c r="Q555" s="5">
        <v>1</v>
      </c>
      <c r="R555" s="5"/>
      <c r="S555" s="5">
        <v>87</v>
      </c>
      <c r="T555" s="5">
        <v>87</v>
      </c>
      <c r="U555" s="5">
        <v>87</v>
      </c>
    </row>
    <row r="556" spans="1:21" x14ac:dyDescent="0.25">
      <c r="A556" s="5" t="s">
        <v>7069</v>
      </c>
      <c r="B556" s="5" t="s">
        <v>5874</v>
      </c>
      <c r="C556" s="5" t="s">
        <v>3548</v>
      </c>
      <c r="D556" s="5" t="s">
        <v>5817</v>
      </c>
      <c r="E556" s="5" t="s">
        <v>4363</v>
      </c>
      <c r="F556" s="5" t="s">
        <v>4390</v>
      </c>
      <c r="G556" s="5" t="s">
        <v>3782</v>
      </c>
      <c r="H556" s="5"/>
      <c r="I556" s="5" t="s">
        <v>3448</v>
      </c>
      <c r="J556" s="5" t="s">
        <v>5818</v>
      </c>
      <c r="K556" s="5" t="s">
        <v>4363</v>
      </c>
      <c r="L556" s="5">
        <v>17</v>
      </c>
      <c r="M556" s="5">
        <v>2</v>
      </c>
      <c r="N556" s="5" t="s">
        <v>4406</v>
      </c>
      <c r="O556" s="5" t="s">
        <v>3827</v>
      </c>
      <c r="P556" s="5">
        <v>1</v>
      </c>
      <c r="Q556" s="5">
        <v>1</v>
      </c>
      <c r="R556" s="5"/>
      <c r="S556" s="5">
        <v>27</v>
      </c>
      <c r="T556" s="5">
        <v>27</v>
      </c>
      <c r="U556" s="5">
        <v>27</v>
      </c>
    </row>
    <row r="557" spans="1:21" x14ac:dyDescent="0.25">
      <c r="A557" s="5" t="s">
        <v>7070</v>
      </c>
      <c r="B557" s="5" t="s">
        <v>5882</v>
      </c>
      <c r="C557" s="5" t="s">
        <v>3548</v>
      </c>
      <c r="D557" s="5" t="s">
        <v>5817</v>
      </c>
      <c r="E557" s="5" t="s">
        <v>4363</v>
      </c>
      <c r="F557" s="5" t="s">
        <v>3584</v>
      </c>
      <c r="G557" s="5" t="s">
        <v>3782</v>
      </c>
      <c r="H557" s="5"/>
      <c r="I557" s="5" t="s">
        <v>3448</v>
      </c>
      <c r="J557" s="5" t="s">
        <v>5818</v>
      </c>
      <c r="K557" s="5" t="s">
        <v>4363</v>
      </c>
      <c r="L557" s="5">
        <v>17</v>
      </c>
      <c r="M557" s="5">
        <v>3</v>
      </c>
      <c r="N557" s="5" t="s">
        <v>3585</v>
      </c>
      <c r="O557" s="5" t="s">
        <v>3827</v>
      </c>
      <c r="P557" s="5">
        <v>1</v>
      </c>
      <c r="Q557" s="5">
        <v>1</v>
      </c>
      <c r="R557" s="5"/>
      <c r="S557" s="5">
        <v>42</v>
      </c>
      <c r="T557" s="5">
        <v>42</v>
      </c>
      <c r="U557" s="5">
        <v>42</v>
      </c>
    </row>
    <row r="558" spans="1:21" x14ac:dyDescent="0.25">
      <c r="A558" s="5" t="s">
        <v>7071</v>
      </c>
      <c r="B558" s="5" t="s">
        <v>5886</v>
      </c>
      <c r="C558" s="5" t="s">
        <v>3548</v>
      </c>
      <c r="D558" s="5" t="s">
        <v>5817</v>
      </c>
      <c r="E558" s="5" t="s">
        <v>4363</v>
      </c>
      <c r="F558" s="5" t="s">
        <v>4390</v>
      </c>
      <c r="G558" s="5" t="s">
        <v>3782</v>
      </c>
      <c r="H558" s="5"/>
      <c r="I558" s="5" t="s">
        <v>3448</v>
      </c>
      <c r="J558" s="5" t="s">
        <v>5818</v>
      </c>
      <c r="K558" s="5" t="s">
        <v>4363</v>
      </c>
      <c r="L558" s="5">
        <v>17</v>
      </c>
      <c r="M558" s="5">
        <v>3</v>
      </c>
      <c r="N558" s="5" t="s">
        <v>4391</v>
      </c>
      <c r="O558" s="5" t="s">
        <v>3827</v>
      </c>
      <c r="P558" s="5">
        <v>1</v>
      </c>
      <c r="Q558" s="5">
        <v>1</v>
      </c>
      <c r="R558" s="5"/>
      <c r="S558" s="5">
        <v>41</v>
      </c>
      <c r="T558" s="5">
        <v>41</v>
      </c>
      <c r="U558" s="5">
        <v>41</v>
      </c>
    </row>
    <row r="559" spans="1:21" x14ac:dyDescent="0.25">
      <c r="A559" s="5" t="s">
        <v>4755</v>
      </c>
      <c r="B559" s="5" t="s">
        <v>4756</v>
      </c>
      <c r="C559" s="5" t="s">
        <v>3548</v>
      </c>
      <c r="D559" s="5" t="s">
        <v>3782</v>
      </c>
      <c r="E559" s="5" t="s">
        <v>4363</v>
      </c>
      <c r="F559" s="5" t="s">
        <v>4390</v>
      </c>
      <c r="G559" s="5" t="s">
        <v>3493</v>
      </c>
      <c r="H559" s="5"/>
      <c r="I559" s="5" t="s">
        <v>3448</v>
      </c>
      <c r="J559" s="5" t="s">
        <v>3783</v>
      </c>
      <c r="K559" s="5" t="s">
        <v>4363</v>
      </c>
      <c r="L559" s="5">
        <v>25</v>
      </c>
      <c r="M559" s="5">
        <v>4</v>
      </c>
      <c r="N559" s="5" t="s">
        <v>4391</v>
      </c>
      <c r="O559" s="5" t="s">
        <v>3494</v>
      </c>
      <c r="P559" s="5">
        <v>4</v>
      </c>
      <c r="Q559" s="5">
        <v>1</v>
      </c>
      <c r="R559" s="5"/>
      <c r="S559" s="5">
        <v>86</v>
      </c>
      <c r="T559" s="5">
        <v>86</v>
      </c>
      <c r="U559" s="5">
        <v>86</v>
      </c>
    </row>
    <row r="560" spans="1:21" x14ac:dyDescent="0.25">
      <c r="A560" s="5" t="s">
        <v>7072</v>
      </c>
      <c r="B560" s="5" t="s">
        <v>5896</v>
      </c>
      <c r="C560" s="5" t="s">
        <v>3548</v>
      </c>
      <c r="D560" s="5" t="s">
        <v>5817</v>
      </c>
      <c r="E560" s="5" t="s">
        <v>4363</v>
      </c>
      <c r="F560" s="5" t="s">
        <v>3584</v>
      </c>
      <c r="G560" s="5" t="s">
        <v>3782</v>
      </c>
      <c r="H560" s="5"/>
      <c r="I560" s="5" t="s">
        <v>3448</v>
      </c>
      <c r="J560" s="5" t="s">
        <v>5818</v>
      </c>
      <c r="K560" s="5" t="s">
        <v>4363</v>
      </c>
      <c r="L560" s="5">
        <v>17</v>
      </c>
      <c r="M560" s="5">
        <v>4</v>
      </c>
      <c r="N560" s="5" t="s">
        <v>3585</v>
      </c>
      <c r="O560" s="5" t="s">
        <v>3827</v>
      </c>
      <c r="P560" s="5">
        <v>1</v>
      </c>
      <c r="Q560" s="5">
        <v>1</v>
      </c>
      <c r="R560" s="5"/>
      <c r="S560" s="5">
        <v>56</v>
      </c>
      <c r="T560" s="5">
        <v>56</v>
      </c>
      <c r="U560" s="5">
        <v>56</v>
      </c>
    </row>
    <row r="561" spans="1:21" x14ac:dyDescent="0.25">
      <c r="A561" s="5" t="s">
        <v>7073</v>
      </c>
      <c r="B561" s="5" t="s">
        <v>5902</v>
      </c>
      <c r="C561" s="5" t="s">
        <v>3548</v>
      </c>
      <c r="D561" s="5" t="s">
        <v>5817</v>
      </c>
      <c r="E561" s="5" t="s">
        <v>4363</v>
      </c>
      <c r="F561" s="5" t="s">
        <v>4390</v>
      </c>
      <c r="G561" s="5" t="s">
        <v>3782</v>
      </c>
      <c r="H561" s="5"/>
      <c r="I561" s="5" t="s">
        <v>3448</v>
      </c>
      <c r="J561" s="5" t="s">
        <v>5818</v>
      </c>
      <c r="K561" s="5" t="s">
        <v>4363</v>
      </c>
      <c r="L561" s="5">
        <v>17</v>
      </c>
      <c r="M561" s="5">
        <v>4</v>
      </c>
      <c r="N561" s="5" t="s">
        <v>4391</v>
      </c>
      <c r="O561" s="5" t="s">
        <v>3827</v>
      </c>
      <c r="P561" s="5">
        <v>1</v>
      </c>
      <c r="Q561" s="5">
        <v>1</v>
      </c>
      <c r="R561" s="5"/>
      <c r="S561" s="5">
        <v>54</v>
      </c>
      <c r="T561" s="5">
        <v>54</v>
      </c>
      <c r="U561" s="5">
        <v>54</v>
      </c>
    </row>
    <row r="562" spans="1:21" x14ac:dyDescent="0.25">
      <c r="A562" s="5" t="s">
        <v>4761</v>
      </c>
      <c r="B562" s="5" t="s">
        <v>4762</v>
      </c>
      <c r="C562" s="5" t="s">
        <v>3548</v>
      </c>
      <c r="D562" s="5" t="s">
        <v>3782</v>
      </c>
      <c r="E562" s="5" t="s">
        <v>4363</v>
      </c>
      <c r="F562" s="5" t="s">
        <v>4004</v>
      </c>
      <c r="G562" s="5" t="s">
        <v>3493</v>
      </c>
      <c r="H562" s="5"/>
      <c r="I562" s="5" t="s">
        <v>3448</v>
      </c>
      <c r="J562" s="5" t="s">
        <v>3783</v>
      </c>
      <c r="K562" s="5" t="s">
        <v>4363</v>
      </c>
      <c r="L562" s="5">
        <v>25</v>
      </c>
      <c r="M562" s="5">
        <v>4</v>
      </c>
      <c r="N562" s="5" t="s">
        <v>4005</v>
      </c>
      <c r="O562" s="5" t="s">
        <v>3494</v>
      </c>
      <c r="P562" s="5">
        <v>4</v>
      </c>
      <c r="Q562" s="5">
        <v>1</v>
      </c>
      <c r="R562" s="5"/>
      <c r="S562" s="5">
        <v>89</v>
      </c>
      <c r="T562" s="5">
        <v>89</v>
      </c>
      <c r="U562" s="5">
        <v>89</v>
      </c>
    </row>
    <row r="563" spans="1:21" x14ac:dyDescent="0.25">
      <c r="A563" s="5" t="s">
        <v>7074</v>
      </c>
      <c r="B563" s="5" t="s">
        <v>5916</v>
      </c>
      <c r="C563" s="5" t="s">
        <v>3548</v>
      </c>
      <c r="D563" s="5" t="s">
        <v>5817</v>
      </c>
      <c r="E563" s="5" t="s">
        <v>4363</v>
      </c>
      <c r="F563" s="5" t="s">
        <v>3584</v>
      </c>
      <c r="G563" s="5" t="s">
        <v>3782</v>
      </c>
      <c r="H563" s="5"/>
      <c r="I563" s="5" t="s">
        <v>3448</v>
      </c>
      <c r="J563" s="5" t="s">
        <v>5818</v>
      </c>
      <c r="K563" s="5" t="s">
        <v>4363</v>
      </c>
      <c r="L563" s="5">
        <v>25</v>
      </c>
      <c r="M563" s="5">
        <v>1</v>
      </c>
      <c r="N563" s="5" t="s">
        <v>3585</v>
      </c>
      <c r="O563" s="5" t="s">
        <v>3827</v>
      </c>
      <c r="P563" s="5">
        <v>1.5</v>
      </c>
      <c r="Q563" s="5">
        <v>1</v>
      </c>
      <c r="R563" s="5"/>
      <c r="S563" s="5">
        <v>20</v>
      </c>
      <c r="T563" s="5">
        <v>20</v>
      </c>
      <c r="U563" s="5">
        <v>20</v>
      </c>
    </row>
    <row r="564" spans="1:21" x14ac:dyDescent="0.25">
      <c r="A564" s="5" t="s">
        <v>7075</v>
      </c>
      <c r="B564" s="5" t="s">
        <v>5922</v>
      </c>
      <c r="C564" s="5" t="s">
        <v>3548</v>
      </c>
      <c r="D564" s="5" t="s">
        <v>5817</v>
      </c>
      <c r="E564" s="5" t="s">
        <v>4363</v>
      </c>
      <c r="F564" s="5" t="s">
        <v>4390</v>
      </c>
      <c r="G564" s="5" t="s">
        <v>3782</v>
      </c>
      <c r="H564" s="5"/>
      <c r="I564" s="5" t="s">
        <v>3448</v>
      </c>
      <c r="J564" s="5" t="s">
        <v>5818</v>
      </c>
      <c r="K564" s="5" t="s">
        <v>4363</v>
      </c>
      <c r="L564" s="5">
        <v>25</v>
      </c>
      <c r="M564" s="5">
        <v>1</v>
      </c>
      <c r="N564" s="5" t="s">
        <v>4391</v>
      </c>
      <c r="O564" s="5" t="s">
        <v>3827</v>
      </c>
      <c r="P564" s="5">
        <v>1.5</v>
      </c>
      <c r="Q564" s="5">
        <v>1</v>
      </c>
      <c r="R564" s="5"/>
      <c r="S564" s="5">
        <v>19</v>
      </c>
      <c r="T564" s="5">
        <v>19</v>
      </c>
      <c r="U564" s="5">
        <v>19</v>
      </c>
    </row>
    <row r="565" spans="1:21" x14ac:dyDescent="0.25">
      <c r="A565" s="5" t="s">
        <v>4767</v>
      </c>
      <c r="B565" s="5" t="s">
        <v>4768</v>
      </c>
      <c r="C565" s="5" t="s">
        <v>3548</v>
      </c>
      <c r="D565" s="5" t="s">
        <v>3782</v>
      </c>
      <c r="E565" s="5" t="s">
        <v>4363</v>
      </c>
      <c r="F565" s="5" t="s">
        <v>4004</v>
      </c>
      <c r="G565" s="5" t="s">
        <v>3493</v>
      </c>
      <c r="H565" s="5"/>
      <c r="I565" s="5" t="s">
        <v>3448</v>
      </c>
      <c r="J565" s="5" t="s">
        <v>3783</v>
      </c>
      <c r="K565" s="5" t="s">
        <v>4363</v>
      </c>
      <c r="L565" s="5">
        <v>25</v>
      </c>
      <c r="M565" s="5">
        <v>1</v>
      </c>
      <c r="N565" s="5" t="s">
        <v>4005</v>
      </c>
      <c r="O565" s="5" t="s">
        <v>3494</v>
      </c>
      <c r="P565" s="5">
        <v>4</v>
      </c>
      <c r="Q565" s="5">
        <v>1</v>
      </c>
      <c r="R565" s="5"/>
      <c r="S565" s="5">
        <v>24</v>
      </c>
      <c r="T565" s="5">
        <v>24</v>
      </c>
      <c r="U565" s="5">
        <v>24</v>
      </c>
    </row>
    <row r="566" spans="1:21" x14ac:dyDescent="0.25">
      <c r="A566" s="5" t="s">
        <v>7076</v>
      </c>
      <c r="B566" s="5" t="s">
        <v>5936</v>
      </c>
      <c r="C566" s="5" t="s">
        <v>3548</v>
      </c>
      <c r="D566" s="5" t="s">
        <v>5817</v>
      </c>
      <c r="E566" s="5" t="s">
        <v>4363</v>
      </c>
      <c r="F566" s="5" t="s">
        <v>3584</v>
      </c>
      <c r="G566" s="5" t="s">
        <v>3782</v>
      </c>
      <c r="H566" s="5"/>
      <c r="I566" s="5" t="s">
        <v>3448</v>
      </c>
      <c r="J566" s="5" t="s">
        <v>5818</v>
      </c>
      <c r="K566" s="5" t="s">
        <v>4363</v>
      </c>
      <c r="L566" s="5">
        <v>25</v>
      </c>
      <c r="M566" s="5">
        <v>1</v>
      </c>
      <c r="N566" s="5" t="s">
        <v>3585</v>
      </c>
      <c r="O566" s="5" t="s">
        <v>3827</v>
      </c>
      <c r="P566" s="5">
        <v>2</v>
      </c>
      <c r="Q566" s="5">
        <v>1</v>
      </c>
      <c r="R566" s="5"/>
      <c r="S566" s="5">
        <v>21</v>
      </c>
      <c r="T566" s="5">
        <v>21</v>
      </c>
      <c r="U566" s="5">
        <v>21</v>
      </c>
    </row>
    <row r="567" spans="1:21" x14ac:dyDescent="0.25">
      <c r="A567" s="5" t="s">
        <v>7077</v>
      </c>
      <c r="B567" s="5" t="s">
        <v>5944</v>
      </c>
      <c r="C567" s="5" t="s">
        <v>3548</v>
      </c>
      <c r="D567" s="5" t="s">
        <v>5817</v>
      </c>
      <c r="E567" s="5" t="s">
        <v>4363</v>
      </c>
      <c r="F567" s="5" t="s">
        <v>4390</v>
      </c>
      <c r="G567" s="5" t="s">
        <v>3782</v>
      </c>
      <c r="H567" s="5"/>
      <c r="I567" s="5" t="s">
        <v>3448</v>
      </c>
      <c r="J567" s="5" t="s">
        <v>5818</v>
      </c>
      <c r="K567" s="5" t="s">
        <v>4363</v>
      </c>
      <c r="L567" s="5">
        <v>25</v>
      </c>
      <c r="M567" s="5">
        <v>1</v>
      </c>
      <c r="N567" s="5" t="s">
        <v>4391</v>
      </c>
      <c r="O567" s="5" t="s">
        <v>3827</v>
      </c>
      <c r="P567" s="5">
        <v>2</v>
      </c>
      <c r="Q567" s="5">
        <v>1</v>
      </c>
      <c r="R567" s="5"/>
      <c r="S567" s="5">
        <v>20</v>
      </c>
      <c r="T567" s="5">
        <v>20</v>
      </c>
      <c r="U567" s="5">
        <v>20</v>
      </c>
    </row>
    <row r="568" spans="1:21" x14ac:dyDescent="0.25">
      <c r="A568" s="5" t="s">
        <v>4791</v>
      </c>
      <c r="B568" s="5" t="s">
        <v>4792</v>
      </c>
      <c r="C568" s="5" t="s">
        <v>3548</v>
      </c>
      <c r="D568" s="5" t="s">
        <v>3782</v>
      </c>
      <c r="E568" s="5" t="s">
        <v>4363</v>
      </c>
      <c r="F568" s="5" t="s">
        <v>3584</v>
      </c>
      <c r="G568" s="5" t="s">
        <v>3493</v>
      </c>
      <c r="H568" s="5"/>
      <c r="I568" s="5" t="s">
        <v>3448</v>
      </c>
      <c r="J568" s="5" t="s">
        <v>3783</v>
      </c>
      <c r="K568" s="5" t="s">
        <v>4363</v>
      </c>
      <c r="L568" s="5">
        <v>25</v>
      </c>
      <c r="M568" s="5">
        <v>6</v>
      </c>
      <c r="N568" s="5" t="s">
        <v>3585</v>
      </c>
      <c r="O568" s="5" t="s">
        <v>3494</v>
      </c>
      <c r="P568" s="5">
        <v>3</v>
      </c>
      <c r="Q568" s="5">
        <v>2</v>
      </c>
      <c r="R568" s="5"/>
      <c r="S568" s="5">
        <v>134</v>
      </c>
      <c r="T568" s="5">
        <v>134</v>
      </c>
      <c r="U568" s="5">
        <v>134</v>
      </c>
    </row>
    <row r="569" spans="1:21" x14ac:dyDescent="0.25">
      <c r="A569" s="5" t="s">
        <v>7078</v>
      </c>
      <c r="B569" s="5" t="s">
        <v>5950</v>
      </c>
      <c r="C569" s="5" t="s">
        <v>3548</v>
      </c>
      <c r="D569" s="5" t="s">
        <v>5817</v>
      </c>
      <c r="E569" s="5" t="s">
        <v>4363</v>
      </c>
      <c r="F569" s="5" t="s">
        <v>3584</v>
      </c>
      <c r="G569" s="5" t="s">
        <v>3782</v>
      </c>
      <c r="H569" s="5"/>
      <c r="I569" s="5" t="s">
        <v>3448</v>
      </c>
      <c r="J569" s="5" t="s">
        <v>5818</v>
      </c>
      <c r="K569" s="5" t="s">
        <v>4363</v>
      </c>
      <c r="L569" s="5">
        <v>25</v>
      </c>
      <c r="M569" s="5">
        <v>2</v>
      </c>
      <c r="N569" s="5" t="s">
        <v>3585</v>
      </c>
      <c r="O569" s="5" t="s">
        <v>3827</v>
      </c>
      <c r="P569" s="5">
        <v>1.5</v>
      </c>
      <c r="Q569" s="5">
        <v>1</v>
      </c>
      <c r="R569" s="5"/>
      <c r="S569" s="5">
        <v>39</v>
      </c>
      <c r="T569" s="5">
        <v>39</v>
      </c>
      <c r="U569" s="5">
        <v>39</v>
      </c>
    </row>
    <row r="570" spans="1:21" x14ac:dyDescent="0.25">
      <c r="A570" s="5" t="s">
        <v>4795</v>
      </c>
      <c r="B570" s="5" t="s">
        <v>4796</v>
      </c>
      <c r="C570" s="5" t="s">
        <v>3548</v>
      </c>
      <c r="D570" s="5" t="s">
        <v>3782</v>
      </c>
      <c r="E570" s="5" t="s">
        <v>4363</v>
      </c>
      <c r="F570" s="5" t="s">
        <v>4004</v>
      </c>
      <c r="G570" s="5" t="s">
        <v>3493</v>
      </c>
      <c r="H570" s="5"/>
      <c r="I570" s="5" t="s">
        <v>3448</v>
      </c>
      <c r="J570" s="5" t="s">
        <v>3783</v>
      </c>
      <c r="K570" s="5" t="s">
        <v>4363</v>
      </c>
      <c r="L570" s="5">
        <v>25</v>
      </c>
      <c r="M570" s="5">
        <v>6</v>
      </c>
      <c r="N570" s="5" t="s">
        <v>4005</v>
      </c>
      <c r="O570" s="5" t="s">
        <v>3494</v>
      </c>
      <c r="P570" s="5">
        <v>4</v>
      </c>
      <c r="Q570" s="5">
        <v>2</v>
      </c>
      <c r="R570" s="5"/>
      <c r="S570" s="5">
        <v>133</v>
      </c>
      <c r="T570" s="5">
        <v>133</v>
      </c>
      <c r="U570" s="5">
        <v>133</v>
      </c>
    </row>
    <row r="571" spans="1:21" x14ac:dyDescent="0.25">
      <c r="A571" s="5" t="s">
        <v>7079</v>
      </c>
      <c r="B571" s="5" t="s">
        <v>5956</v>
      </c>
      <c r="C571" s="5" t="s">
        <v>3548</v>
      </c>
      <c r="D571" s="5" t="s">
        <v>5817</v>
      </c>
      <c r="E571" s="5" t="s">
        <v>4363</v>
      </c>
      <c r="F571" s="5" t="s">
        <v>4390</v>
      </c>
      <c r="G571" s="5" t="s">
        <v>3782</v>
      </c>
      <c r="H571" s="5"/>
      <c r="I571" s="5" t="s">
        <v>3448</v>
      </c>
      <c r="J571" s="5" t="s">
        <v>5818</v>
      </c>
      <c r="K571" s="5" t="s">
        <v>4363</v>
      </c>
      <c r="L571" s="5">
        <v>25</v>
      </c>
      <c r="M571" s="5">
        <v>2</v>
      </c>
      <c r="N571" s="5" t="s">
        <v>4391</v>
      </c>
      <c r="O571" s="5" t="s">
        <v>3827</v>
      </c>
      <c r="P571" s="5">
        <v>1.5</v>
      </c>
      <c r="Q571" s="5">
        <v>1</v>
      </c>
      <c r="R571" s="5"/>
      <c r="S571" s="5">
        <v>37</v>
      </c>
      <c r="T571" s="5">
        <v>37</v>
      </c>
      <c r="U571" s="5">
        <v>37</v>
      </c>
    </row>
    <row r="572" spans="1:21" x14ac:dyDescent="0.25">
      <c r="A572" s="5" t="s">
        <v>7080</v>
      </c>
      <c r="B572" s="5" t="s">
        <v>5972</v>
      </c>
      <c r="C572" s="5" t="s">
        <v>3548</v>
      </c>
      <c r="D572" s="5" t="s">
        <v>5817</v>
      </c>
      <c r="E572" s="5" t="s">
        <v>4363</v>
      </c>
      <c r="F572" s="5" t="s">
        <v>3584</v>
      </c>
      <c r="G572" s="5" t="s">
        <v>3782</v>
      </c>
      <c r="H572" s="5"/>
      <c r="I572" s="5" t="s">
        <v>3448</v>
      </c>
      <c r="J572" s="5" t="s">
        <v>5818</v>
      </c>
      <c r="K572" s="5" t="s">
        <v>4363</v>
      </c>
      <c r="L572" s="5">
        <v>25</v>
      </c>
      <c r="M572" s="5">
        <v>2</v>
      </c>
      <c r="N572" s="5" t="s">
        <v>3585</v>
      </c>
      <c r="O572" s="5" t="s">
        <v>3827</v>
      </c>
      <c r="P572" s="5">
        <v>2</v>
      </c>
      <c r="Q572" s="5">
        <v>1</v>
      </c>
      <c r="R572" s="5"/>
      <c r="S572" s="5">
        <v>38</v>
      </c>
      <c r="T572" s="5">
        <v>38</v>
      </c>
      <c r="U572" s="5">
        <v>38</v>
      </c>
    </row>
    <row r="573" spans="1:21" x14ac:dyDescent="0.25">
      <c r="A573" s="5" t="s">
        <v>7081</v>
      </c>
      <c r="B573" s="5" t="s">
        <v>5978</v>
      </c>
      <c r="C573" s="5" t="s">
        <v>3548</v>
      </c>
      <c r="D573" s="5" t="s">
        <v>5817</v>
      </c>
      <c r="E573" s="5" t="s">
        <v>4363</v>
      </c>
      <c r="F573" s="5" t="s">
        <v>4390</v>
      </c>
      <c r="G573" s="5" t="s">
        <v>3782</v>
      </c>
      <c r="H573" s="5"/>
      <c r="I573" s="5" t="s">
        <v>3448</v>
      </c>
      <c r="J573" s="5" t="s">
        <v>5818</v>
      </c>
      <c r="K573" s="5" t="s">
        <v>4363</v>
      </c>
      <c r="L573" s="5">
        <v>25</v>
      </c>
      <c r="M573" s="5">
        <v>2</v>
      </c>
      <c r="N573" s="5" t="s">
        <v>4406</v>
      </c>
      <c r="O573" s="5" t="s">
        <v>3827</v>
      </c>
      <c r="P573" s="5">
        <v>2</v>
      </c>
      <c r="Q573" s="5">
        <v>1</v>
      </c>
      <c r="R573" s="5"/>
      <c r="S573" s="5">
        <v>38</v>
      </c>
      <c r="T573" s="5">
        <v>38</v>
      </c>
      <c r="U573" s="5">
        <v>38</v>
      </c>
    </row>
    <row r="574" spans="1:21" x14ac:dyDescent="0.25">
      <c r="A574" s="5" t="s">
        <v>4803</v>
      </c>
      <c r="B574" s="5" t="s">
        <v>4804</v>
      </c>
      <c r="C574" s="5" t="s">
        <v>3548</v>
      </c>
      <c r="D574" s="5" t="s">
        <v>3782</v>
      </c>
      <c r="E574" s="5" t="s">
        <v>4363</v>
      </c>
      <c r="F574" s="5" t="s">
        <v>4004</v>
      </c>
      <c r="G574" s="5" t="s">
        <v>3493</v>
      </c>
      <c r="H574" s="5"/>
      <c r="I574" s="5" t="s">
        <v>3448</v>
      </c>
      <c r="J574" s="5" t="s">
        <v>3783</v>
      </c>
      <c r="K574" s="5" t="s">
        <v>4363</v>
      </c>
      <c r="L574" s="5">
        <v>25</v>
      </c>
      <c r="M574" s="5">
        <v>6</v>
      </c>
      <c r="N574" s="5" t="s">
        <v>4005</v>
      </c>
      <c r="O574" s="5" t="s">
        <v>3494</v>
      </c>
      <c r="P574" s="5">
        <v>4</v>
      </c>
      <c r="Q574" s="5">
        <v>1</v>
      </c>
      <c r="R574" s="5"/>
      <c r="S574" s="5">
        <v>133</v>
      </c>
      <c r="T574" s="5">
        <v>133</v>
      </c>
      <c r="U574" s="5">
        <v>133</v>
      </c>
    </row>
    <row r="575" spans="1:21" x14ac:dyDescent="0.25">
      <c r="A575" s="5" t="s">
        <v>7082</v>
      </c>
      <c r="B575" s="5" t="s">
        <v>6014</v>
      </c>
      <c r="C575" s="5" t="s">
        <v>3548</v>
      </c>
      <c r="D575" s="5" t="s">
        <v>5817</v>
      </c>
      <c r="E575" s="5" t="s">
        <v>4363</v>
      </c>
      <c r="F575" s="5" t="s">
        <v>3584</v>
      </c>
      <c r="G575" s="5" t="s">
        <v>3782</v>
      </c>
      <c r="H575" s="5"/>
      <c r="I575" s="5" t="s">
        <v>3448</v>
      </c>
      <c r="J575" s="5" t="s">
        <v>5818</v>
      </c>
      <c r="K575" s="5" t="s">
        <v>4363</v>
      </c>
      <c r="L575" s="5">
        <v>25</v>
      </c>
      <c r="M575" s="5">
        <v>3</v>
      </c>
      <c r="N575" s="5" t="s">
        <v>3585</v>
      </c>
      <c r="O575" s="5" t="s">
        <v>3827</v>
      </c>
      <c r="P575" s="5">
        <v>1.5</v>
      </c>
      <c r="Q575" s="5">
        <v>1</v>
      </c>
      <c r="R575" s="5"/>
      <c r="S575" s="5">
        <v>61</v>
      </c>
      <c r="T575" s="5">
        <v>61</v>
      </c>
      <c r="U575" s="5">
        <v>61</v>
      </c>
    </row>
    <row r="576" spans="1:21" x14ac:dyDescent="0.25">
      <c r="A576" s="5" t="s">
        <v>7083</v>
      </c>
      <c r="B576" s="5" t="s">
        <v>6018</v>
      </c>
      <c r="C576" s="5" t="s">
        <v>3548</v>
      </c>
      <c r="D576" s="5" t="s">
        <v>5817</v>
      </c>
      <c r="E576" s="5" t="s">
        <v>4363</v>
      </c>
      <c r="F576" s="5" t="s">
        <v>4390</v>
      </c>
      <c r="G576" s="5" t="s">
        <v>3782</v>
      </c>
      <c r="H576" s="5"/>
      <c r="I576" s="5" t="s">
        <v>3448</v>
      </c>
      <c r="J576" s="5" t="s">
        <v>5818</v>
      </c>
      <c r="K576" s="5" t="s">
        <v>4363</v>
      </c>
      <c r="L576" s="5">
        <v>25</v>
      </c>
      <c r="M576" s="5">
        <v>3</v>
      </c>
      <c r="N576" s="5" t="s">
        <v>4391</v>
      </c>
      <c r="O576" s="5" t="s">
        <v>3827</v>
      </c>
      <c r="P576" s="5">
        <v>1.5</v>
      </c>
      <c r="Q576" s="5">
        <v>1</v>
      </c>
      <c r="R576" s="5"/>
      <c r="S576" s="5">
        <v>56</v>
      </c>
      <c r="T576" s="5">
        <v>56</v>
      </c>
      <c r="U576" s="5">
        <v>56</v>
      </c>
    </row>
    <row r="577" spans="1:21" x14ac:dyDescent="0.25">
      <c r="A577" s="5" t="s">
        <v>4809</v>
      </c>
      <c r="B577" s="5" t="s">
        <v>4810</v>
      </c>
      <c r="C577" s="5" t="s">
        <v>3548</v>
      </c>
      <c r="D577" s="5" t="s">
        <v>3782</v>
      </c>
      <c r="E577" s="5" t="s">
        <v>4363</v>
      </c>
      <c r="F577" s="5" t="s">
        <v>4004</v>
      </c>
      <c r="G577" s="5" t="s">
        <v>3493</v>
      </c>
      <c r="H577" s="5"/>
      <c r="I577" s="5" t="s">
        <v>3448</v>
      </c>
      <c r="J577" s="5" t="s">
        <v>3783</v>
      </c>
      <c r="K577" s="5" t="s">
        <v>4363</v>
      </c>
      <c r="L577" s="5">
        <v>25</v>
      </c>
      <c r="M577" s="5">
        <v>8</v>
      </c>
      <c r="N577" s="5" t="s">
        <v>4005</v>
      </c>
      <c r="O577" s="5" t="s">
        <v>3494</v>
      </c>
      <c r="P577" s="5">
        <v>4</v>
      </c>
      <c r="Q577" s="5">
        <v>2</v>
      </c>
      <c r="R577" s="5"/>
      <c r="S577" s="5">
        <v>178</v>
      </c>
      <c r="T577" s="5">
        <v>178</v>
      </c>
      <c r="U577" s="5">
        <v>178</v>
      </c>
    </row>
    <row r="578" spans="1:21" x14ac:dyDescent="0.25">
      <c r="A578" s="5" t="s">
        <v>7084</v>
      </c>
      <c r="B578" s="5" t="s">
        <v>6032</v>
      </c>
      <c r="C578" s="5" t="s">
        <v>3548</v>
      </c>
      <c r="D578" s="5" t="s">
        <v>5817</v>
      </c>
      <c r="E578" s="5" t="s">
        <v>4363</v>
      </c>
      <c r="F578" s="5" t="s">
        <v>3584</v>
      </c>
      <c r="G578" s="5" t="s">
        <v>3782</v>
      </c>
      <c r="H578" s="5"/>
      <c r="I578" s="5" t="s">
        <v>3448</v>
      </c>
      <c r="J578" s="5" t="s">
        <v>5818</v>
      </c>
      <c r="K578" s="5" t="s">
        <v>4363</v>
      </c>
      <c r="L578" s="5">
        <v>25</v>
      </c>
      <c r="M578" s="5">
        <v>3</v>
      </c>
      <c r="N578" s="5" t="s">
        <v>3585</v>
      </c>
      <c r="O578" s="5" t="s">
        <v>3827</v>
      </c>
      <c r="P578" s="5">
        <v>2</v>
      </c>
      <c r="Q578" s="5">
        <v>1</v>
      </c>
      <c r="R578" s="5"/>
      <c r="S578" s="5">
        <v>57</v>
      </c>
      <c r="T578" s="5">
        <v>57</v>
      </c>
      <c r="U578" s="5">
        <v>57</v>
      </c>
    </row>
    <row r="579" spans="1:21" x14ac:dyDescent="0.25">
      <c r="A579" s="5" t="s">
        <v>7085</v>
      </c>
      <c r="B579" s="5" t="s">
        <v>6044</v>
      </c>
      <c r="C579" s="5" t="s">
        <v>3548</v>
      </c>
      <c r="D579" s="5" t="s">
        <v>5817</v>
      </c>
      <c r="E579" s="5" t="s">
        <v>4363</v>
      </c>
      <c r="F579" s="5" t="s">
        <v>3584</v>
      </c>
      <c r="G579" s="5" t="s">
        <v>3782</v>
      </c>
      <c r="H579" s="5"/>
      <c r="I579" s="5" t="s">
        <v>3448</v>
      </c>
      <c r="J579" s="5" t="s">
        <v>5818</v>
      </c>
      <c r="K579" s="5" t="s">
        <v>4363</v>
      </c>
      <c r="L579" s="5">
        <v>25</v>
      </c>
      <c r="M579" s="5">
        <v>4</v>
      </c>
      <c r="N579" s="5" t="s">
        <v>3585</v>
      </c>
      <c r="O579" s="5" t="s">
        <v>3827</v>
      </c>
      <c r="P579" s="5">
        <v>1.5</v>
      </c>
      <c r="Q579" s="5">
        <v>1</v>
      </c>
      <c r="R579" s="5"/>
      <c r="S579" s="5">
        <v>81</v>
      </c>
      <c r="T579" s="5">
        <v>81</v>
      </c>
      <c r="U579" s="5">
        <v>81</v>
      </c>
    </row>
    <row r="580" spans="1:21" x14ac:dyDescent="0.25">
      <c r="A580" s="5" t="s">
        <v>4815</v>
      </c>
      <c r="B580" s="5" t="s">
        <v>4816</v>
      </c>
      <c r="C580" s="5" t="s">
        <v>3548</v>
      </c>
      <c r="D580" s="5" t="s">
        <v>3782</v>
      </c>
      <c r="E580" s="5" t="s">
        <v>4363</v>
      </c>
      <c r="F580" s="5" t="s">
        <v>4004</v>
      </c>
      <c r="G580" s="5" t="s">
        <v>3493</v>
      </c>
      <c r="H580" s="5"/>
      <c r="I580" s="5" t="s">
        <v>3448</v>
      </c>
      <c r="J580" s="5" t="s">
        <v>3783</v>
      </c>
      <c r="K580" s="5" t="s">
        <v>4363</v>
      </c>
      <c r="L580" s="5">
        <v>28</v>
      </c>
      <c r="M580" s="5">
        <v>10</v>
      </c>
      <c r="N580" s="5" t="s">
        <v>4005</v>
      </c>
      <c r="O580" s="5" t="s">
        <v>3494</v>
      </c>
      <c r="P580" s="5">
        <v>4</v>
      </c>
      <c r="Q580" s="5">
        <v>3</v>
      </c>
      <c r="R580" s="5"/>
      <c r="S580" s="5">
        <v>247</v>
      </c>
      <c r="T580" s="5">
        <v>247</v>
      </c>
      <c r="U580" s="5">
        <v>247</v>
      </c>
    </row>
    <row r="581" spans="1:21" x14ac:dyDescent="0.25">
      <c r="A581" s="5" t="s">
        <v>7086</v>
      </c>
      <c r="B581" s="5" t="s">
        <v>6050</v>
      </c>
      <c r="C581" s="5" t="s">
        <v>3548</v>
      </c>
      <c r="D581" s="5" t="s">
        <v>5817</v>
      </c>
      <c r="E581" s="5" t="s">
        <v>4363</v>
      </c>
      <c r="F581" s="5" t="s">
        <v>4390</v>
      </c>
      <c r="G581" s="5" t="s">
        <v>3782</v>
      </c>
      <c r="H581" s="5"/>
      <c r="I581" s="5" t="s">
        <v>3448</v>
      </c>
      <c r="J581" s="5" t="s">
        <v>5818</v>
      </c>
      <c r="K581" s="5" t="s">
        <v>4363</v>
      </c>
      <c r="L581" s="5">
        <v>25</v>
      </c>
      <c r="M581" s="5">
        <v>4</v>
      </c>
      <c r="N581" s="5" t="s">
        <v>4391</v>
      </c>
      <c r="O581" s="5" t="s">
        <v>3827</v>
      </c>
      <c r="P581" s="5">
        <v>1.5</v>
      </c>
      <c r="Q581" s="5">
        <v>1</v>
      </c>
      <c r="R581" s="5"/>
      <c r="S581" s="5">
        <v>76</v>
      </c>
      <c r="T581" s="5">
        <v>76</v>
      </c>
      <c r="U581" s="5">
        <v>76</v>
      </c>
    </row>
    <row r="582" spans="1:21" x14ac:dyDescent="0.25">
      <c r="A582" s="5" t="s">
        <v>7087</v>
      </c>
      <c r="B582" s="5" t="s">
        <v>6062</v>
      </c>
      <c r="C582" s="5" t="s">
        <v>3548</v>
      </c>
      <c r="D582" s="5" t="s">
        <v>5817</v>
      </c>
      <c r="E582" s="5" t="s">
        <v>4363</v>
      </c>
      <c r="F582" s="5" t="s">
        <v>3584</v>
      </c>
      <c r="G582" s="5" t="s">
        <v>3782</v>
      </c>
      <c r="H582" s="5"/>
      <c r="I582" s="5" t="s">
        <v>3448</v>
      </c>
      <c r="J582" s="5" t="s">
        <v>5818</v>
      </c>
      <c r="K582" s="5" t="s">
        <v>4363</v>
      </c>
      <c r="L582" s="5">
        <v>25</v>
      </c>
      <c r="M582" s="5">
        <v>4</v>
      </c>
      <c r="N582" s="5" t="s">
        <v>3585</v>
      </c>
      <c r="O582" s="5" t="s">
        <v>3827</v>
      </c>
      <c r="P582" s="5">
        <v>2</v>
      </c>
      <c r="Q582" s="5">
        <v>1</v>
      </c>
      <c r="R582" s="5"/>
      <c r="S582" s="5">
        <v>76</v>
      </c>
      <c r="T582" s="5">
        <v>76</v>
      </c>
      <c r="U582" s="5">
        <v>76</v>
      </c>
    </row>
    <row r="583" spans="1:21" x14ac:dyDescent="0.25">
      <c r="A583" s="5" t="s">
        <v>4821</v>
      </c>
      <c r="B583" s="5" t="s">
        <v>4822</v>
      </c>
      <c r="C583" s="5" t="s">
        <v>3548</v>
      </c>
      <c r="D583" s="5" t="s">
        <v>3782</v>
      </c>
      <c r="E583" s="5" t="s">
        <v>4363</v>
      </c>
      <c r="F583" s="5" t="s">
        <v>4004</v>
      </c>
      <c r="G583" s="5" t="s">
        <v>3493</v>
      </c>
      <c r="H583" s="5"/>
      <c r="I583" s="5" t="s">
        <v>3448</v>
      </c>
      <c r="J583" s="5" t="s">
        <v>3783</v>
      </c>
      <c r="K583" s="5" t="s">
        <v>4363</v>
      </c>
      <c r="L583" s="5">
        <v>28</v>
      </c>
      <c r="M583" s="5">
        <v>12</v>
      </c>
      <c r="N583" s="5" t="s">
        <v>4005</v>
      </c>
      <c r="O583" s="5" t="s">
        <v>3494</v>
      </c>
      <c r="P583" s="5">
        <v>4</v>
      </c>
      <c r="Q583" s="5">
        <v>3</v>
      </c>
      <c r="R583" s="5"/>
      <c r="S583" s="5">
        <v>295</v>
      </c>
      <c r="T583" s="5">
        <v>295</v>
      </c>
      <c r="U583" s="5">
        <v>295</v>
      </c>
    </row>
    <row r="584" spans="1:21" x14ac:dyDescent="0.25">
      <c r="A584" s="5" t="s">
        <v>7088</v>
      </c>
      <c r="B584" s="5" t="s">
        <v>6074</v>
      </c>
      <c r="C584" s="5" t="s">
        <v>3548</v>
      </c>
      <c r="D584" s="5" t="s">
        <v>5817</v>
      </c>
      <c r="E584" s="5" t="s">
        <v>4363</v>
      </c>
      <c r="F584" s="5" t="s">
        <v>3584</v>
      </c>
      <c r="G584" s="5" t="s">
        <v>3782</v>
      </c>
      <c r="H584" s="5"/>
      <c r="I584" s="5" t="s">
        <v>3448</v>
      </c>
      <c r="J584" s="5" t="s">
        <v>5818</v>
      </c>
      <c r="K584" s="5" t="s">
        <v>4363</v>
      </c>
      <c r="L584" s="5">
        <v>28</v>
      </c>
      <c r="M584" s="5">
        <v>1</v>
      </c>
      <c r="N584" s="5" t="s">
        <v>3585</v>
      </c>
      <c r="O584" s="5" t="s">
        <v>3827</v>
      </c>
      <c r="P584" s="5">
        <v>2</v>
      </c>
      <c r="Q584" s="5">
        <v>1</v>
      </c>
      <c r="R584" s="5"/>
      <c r="S584" s="5">
        <v>22</v>
      </c>
      <c r="T584" s="5">
        <v>22</v>
      </c>
      <c r="U584" s="5">
        <v>22</v>
      </c>
    </row>
    <row r="585" spans="1:21" x14ac:dyDescent="0.25">
      <c r="A585" s="5" t="s">
        <v>7089</v>
      </c>
      <c r="B585" s="5" t="s">
        <v>6082</v>
      </c>
      <c r="C585" s="5" t="s">
        <v>3548</v>
      </c>
      <c r="D585" s="5" t="s">
        <v>5817</v>
      </c>
      <c r="E585" s="5" t="s">
        <v>4363</v>
      </c>
      <c r="F585" s="5" t="s">
        <v>3584</v>
      </c>
      <c r="G585" s="5" t="s">
        <v>3782</v>
      </c>
      <c r="H585" s="5"/>
      <c r="I585" s="5" t="s">
        <v>3448</v>
      </c>
      <c r="J585" s="5" t="s">
        <v>5818</v>
      </c>
      <c r="K585" s="5" t="s">
        <v>4363</v>
      </c>
      <c r="L585" s="5">
        <v>28</v>
      </c>
      <c r="M585" s="5">
        <v>2</v>
      </c>
      <c r="N585" s="5" t="s">
        <v>3585</v>
      </c>
      <c r="O585" s="5" t="s">
        <v>3827</v>
      </c>
      <c r="P585" s="5">
        <v>2</v>
      </c>
      <c r="Q585" s="5">
        <v>1</v>
      </c>
      <c r="R585" s="5"/>
      <c r="S585" s="5">
        <v>43</v>
      </c>
      <c r="T585" s="5">
        <v>43</v>
      </c>
      <c r="U585" s="5">
        <v>43</v>
      </c>
    </row>
    <row r="586" spans="1:21" x14ac:dyDescent="0.25">
      <c r="A586" s="5" t="s">
        <v>4827</v>
      </c>
      <c r="B586" s="5" t="s">
        <v>4828</v>
      </c>
      <c r="C586" s="5" t="s">
        <v>3548</v>
      </c>
      <c r="D586" s="5" t="s">
        <v>3782</v>
      </c>
      <c r="E586" s="5" t="s">
        <v>4363</v>
      </c>
      <c r="F586" s="5" t="s">
        <v>4004</v>
      </c>
      <c r="G586" s="5" t="s">
        <v>3493</v>
      </c>
      <c r="H586" s="5"/>
      <c r="I586" s="5" t="s">
        <v>3448</v>
      </c>
      <c r="J586" s="5" t="s">
        <v>3783</v>
      </c>
      <c r="K586" s="5" t="s">
        <v>4363</v>
      </c>
      <c r="L586" s="5">
        <v>28</v>
      </c>
      <c r="M586" s="5">
        <v>2</v>
      </c>
      <c r="N586" s="5" t="s">
        <v>4005</v>
      </c>
      <c r="O586" s="5" t="s">
        <v>3494</v>
      </c>
      <c r="P586" s="5">
        <v>3</v>
      </c>
      <c r="Q586" s="5">
        <v>1</v>
      </c>
      <c r="R586" s="5"/>
      <c r="S586" s="5">
        <v>43</v>
      </c>
      <c r="T586" s="5">
        <v>43</v>
      </c>
      <c r="U586" s="5">
        <v>43</v>
      </c>
    </row>
    <row r="587" spans="1:21" x14ac:dyDescent="0.25">
      <c r="A587" s="5" t="s">
        <v>7090</v>
      </c>
      <c r="B587" s="5" t="s">
        <v>6108</v>
      </c>
      <c r="C587" s="5" t="s">
        <v>3548</v>
      </c>
      <c r="D587" s="5" t="s">
        <v>5817</v>
      </c>
      <c r="E587" s="5" t="s">
        <v>4363</v>
      </c>
      <c r="F587" s="5" t="s">
        <v>3584</v>
      </c>
      <c r="G587" s="5" t="s">
        <v>3782</v>
      </c>
      <c r="H587" s="5"/>
      <c r="I587" s="5" t="s">
        <v>3448</v>
      </c>
      <c r="J587" s="5" t="s">
        <v>5818</v>
      </c>
      <c r="K587" s="5" t="s">
        <v>4363</v>
      </c>
      <c r="L587" s="5">
        <v>28</v>
      </c>
      <c r="M587" s="5">
        <v>3</v>
      </c>
      <c r="N587" s="5" t="s">
        <v>3585</v>
      </c>
      <c r="O587" s="5" t="s">
        <v>3827</v>
      </c>
      <c r="P587" s="5">
        <v>2</v>
      </c>
      <c r="Q587" s="5">
        <v>1</v>
      </c>
      <c r="R587" s="5"/>
      <c r="S587" s="5">
        <v>64</v>
      </c>
      <c r="T587" s="5">
        <v>64</v>
      </c>
      <c r="U587" s="5">
        <v>64</v>
      </c>
    </row>
    <row r="588" spans="1:21" x14ac:dyDescent="0.25">
      <c r="A588" s="5" t="s">
        <v>7091</v>
      </c>
      <c r="B588" s="5" t="s">
        <v>6122</v>
      </c>
      <c r="C588" s="5" t="s">
        <v>3548</v>
      </c>
      <c r="D588" s="5" t="s">
        <v>5817</v>
      </c>
      <c r="E588" s="5" t="s">
        <v>4363</v>
      </c>
      <c r="F588" s="5" t="s">
        <v>3584</v>
      </c>
      <c r="G588" s="5" t="s">
        <v>3782</v>
      </c>
      <c r="H588" s="5"/>
      <c r="I588" s="5" t="s">
        <v>3448</v>
      </c>
      <c r="J588" s="5" t="s">
        <v>5818</v>
      </c>
      <c r="K588" s="5" t="s">
        <v>4363</v>
      </c>
      <c r="L588" s="5">
        <v>28</v>
      </c>
      <c r="M588" s="5">
        <v>4</v>
      </c>
      <c r="N588" s="5" t="s">
        <v>3585</v>
      </c>
      <c r="O588" s="5" t="s">
        <v>3827</v>
      </c>
      <c r="P588" s="5">
        <v>2</v>
      </c>
      <c r="Q588" s="5">
        <v>1</v>
      </c>
      <c r="R588" s="5"/>
      <c r="S588" s="5">
        <v>84</v>
      </c>
      <c r="T588" s="5">
        <v>84</v>
      </c>
      <c r="U588" s="5">
        <v>84</v>
      </c>
    </row>
    <row r="589" spans="1:21" x14ac:dyDescent="0.25">
      <c r="A589" s="5" t="s">
        <v>4837</v>
      </c>
      <c r="B589" s="5" t="s">
        <v>4838</v>
      </c>
      <c r="C589" s="5" t="s">
        <v>3548</v>
      </c>
      <c r="D589" s="5" t="s">
        <v>3782</v>
      </c>
      <c r="E589" s="5" t="s">
        <v>4363</v>
      </c>
      <c r="F589" s="5" t="s">
        <v>3584</v>
      </c>
      <c r="G589" s="5" t="s">
        <v>3501</v>
      </c>
      <c r="H589" s="5"/>
      <c r="I589" s="5" t="s">
        <v>3448</v>
      </c>
      <c r="J589" s="5" t="s">
        <v>3783</v>
      </c>
      <c r="K589" s="5" t="s">
        <v>4363</v>
      </c>
      <c r="L589" s="5">
        <v>28</v>
      </c>
      <c r="M589" s="5">
        <v>2</v>
      </c>
      <c r="N589" s="5" t="s">
        <v>3585</v>
      </c>
      <c r="O589" s="5" t="s">
        <v>3502</v>
      </c>
      <c r="P589" s="5">
        <v>4</v>
      </c>
      <c r="Q589" s="5">
        <v>1</v>
      </c>
      <c r="R589" s="5"/>
      <c r="S589" s="5">
        <v>53</v>
      </c>
      <c r="T589" s="5">
        <v>53</v>
      </c>
      <c r="U589" s="5">
        <v>53</v>
      </c>
    </row>
    <row r="590" spans="1:21" x14ac:dyDescent="0.25">
      <c r="A590" s="5" t="s">
        <v>4839</v>
      </c>
      <c r="B590" s="5" t="s">
        <v>4840</v>
      </c>
      <c r="C590" s="5" t="s">
        <v>3548</v>
      </c>
      <c r="D590" s="5" t="s">
        <v>3782</v>
      </c>
      <c r="E590" s="5" t="s">
        <v>4363</v>
      </c>
      <c r="F590" s="5" t="s">
        <v>3584</v>
      </c>
      <c r="G590" s="5" t="s">
        <v>3493</v>
      </c>
      <c r="H590" s="5"/>
      <c r="I590" s="5" t="s">
        <v>3448</v>
      </c>
      <c r="J590" s="5" t="s">
        <v>3783</v>
      </c>
      <c r="K590" s="5" t="s">
        <v>4363</v>
      </c>
      <c r="L590" s="5">
        <v>28</v>
      </c>
      <c r="M590" s="5">
        <v>2</v>
      </c>
      <c r="N590" s="5" t="s">
        <v>3585</v>
      </c>
      <c r="O590" s="5" t="s">
        <v>3494</v>
      </c>
      <c r="P590" s="5">
        <v>4</v>
      </c>
      <c r="Q590" s="5">
        <v>1</v>
      </c>
      <c r="R590" s="5"/>
      <c r="S590" s="5">
        <v>49</v>
      </c>
      <c r="T590" s="5">
        <v>49</v>
      </c>
      <c r="U590" s="5">
        <v>49</v>
      </c>
    </row>
    <row r="591" spans="1:21" x14ac:dyDescent="0.25">
      <c r="A591" s="5" t="s">
        <v>7092</v>
      </c>
      <c r="B591" s="5" t="s">
        <v>6136</v>
      </c>
      <c r="C591" s="5" t="s">
        <v>3548</v>
      </c>
      <c r="D591" s="5" t="s">
        <v>5817</v>
      </c>
      <c r="E591" s="5" t="s">
        <v>4363</v>
      </c>
      <c r="F591" s="5" t="s">
        <v>3584</v>
      </c>
      <c r="G591" s="5" t="s">
        <v>3782</v>
      </c>
      <c r="H591" s="5"/>
      <c r="I591" s="5" t="s">
        <v>3448</v>
      </c>
      <c r="J591" s="5" t="s">
        <v>5818</v>
      </c>
      <c r="K591" s="5" t="s">
        <v>4363</v>
      </c>
      <c r="L591" s="5">
        <v>30</v>
      </c>
      <c r="M591" s="5">
        <v>1</v>
      </c>
      <c r="N591" s="5" t="s">
        <v>3585</v>
      </c>
      <c r="O591" s="5" t="s">
        <v>3827</v>
      </c>
      <c r="P591" s="5">
        <v>2</v>
      </c>
      <c r="Q591" s="5">
        <v>1</v>
      </c>
      <c r="R591" s="5"/>
      <c r="S591" s="5">
        <v>21</v>
      </c>
      <c r="T591" s="5">
        <v>21</v>
      </c>
      <c r="U591" s="5">
        <v>21</v>
      </c>
    </row>
    <row r="592" spans="1:21" x14ac:dyDescent="0.25">
      <c r="A592" s="5" t="s">
        <v>7093</v>
      </c>
      <c r="B592" s="5" t="s">
        <v>6142</v>
      </c>
      <c r="C592" s="5" t="s">
        <v>3548</v>
      </c>
      <c r="D592" s="5" t="s">
        <v>5817</v>
      </c>
      <c r="E592" s="5" t="s">
        <v>4363</v>
      </c>
      <c r="F592" s="5" t="s">
        <v>3584</v>
      </c>
      <c r="G592" s="5" t="s">
        <v>3782</v>
      </c>
      <c r="H592" s="5"/>
      <c r="I592" s="5" t="s">
        <v>3448</v>
      </c>
      <c r="J592" s="5" t="s">
        <v>5818</v>
      </c>
      <c r="K592" s="5" t="s">
        <v>4363</v>
      </c>
      <c r="L592" s="5">
        <v>30</v>
      </c>
      <c r="M592" s="5">
        <v>2</v>
      </c>
      <c r="N592" s="5" t="s">
        <v>3585</v>
      </c>
      <c r="O592" s="5" t="s">
        <v>3827</v>
      </c>
      <c r="P592" s="5">
        <v>2</v>
      </c>
      <c r="Q592" s="5">
        <v>1</v>
      </c>
      <c r="R592" s="5"/>
      <c r="S592" s="5">
        <v>43</v>
      </c>
      <c r="T592" s="5">
        <v>43</v>
      </c>
      <c r="U592" s="5">
        <v>43</v>
      </c>
    </row>
    <row r="593" spans="1:21" x14ac:dyDescent="0.25">
      <c r="A593" s="5" t="s">
        <v>7094</v>
      </c>
      <c r="B593" s="5" t="s">
        <v>6156</v>
      </c>
      <c r="C593" s="5" t="s">
        <v>3548</v>
      </c>
      <c r="D593" s="5" t="s">
        <v>5817</v>
      </c>
      <c r="E593" s="5" t="s">
        <v>4363</v>
      </c>
      <c r="F593" s="5" t="s">
        <v>3584</v>
      </c>
      <c r="G593" s="5" t="s">
        <v>3782</v>
      </c>
      <c r="H593" s="5"/>
      <c r="I593" s="5" t="s">
        <v>3448</v>
      </c>
      <c r="J593" s="5" t="s">
        <v>5818</v>
      </c>
      <c r="K593" s="5" t="s">
        <v>4363</v>
      </c>
      <c r="L593" s="5">
        <v>30</v>
      </c>
      <c r="M593" s="5">
        <v>4</v>
      </c>
      <c r="N593" s="5" t="s">
        <v>3585</v>
      </c>
      <c r="O593" s="5" t="s">
        <v>3827</v>
      </c>
      <c r="P593" s="5">
        <v>2</v>
      </c>
      <c r="Q593" s="5">
        <v>1</v>
      </c>
      <c r="R593" s="5"/>
      <c r="S593" s="5">
        <v>84</v>
      </c>
      <c r="T593" s="5">
        <v>84</v>
      </c>
      <c r="U593" s="5">
        <v>84</v>
      </c>
    </row>
    <row r="594" spans="1:21" x14ac:dyDescent="0.25">
      <c r="A594" s="5" t="s">
        <v>4851</v>
      </c>
      <c r="B594" s="5" t="s">
        <v>4852</v>
      </c>
      <c r="C594" s="5" t="s">
        <v>3548</v>
      </c>
      <c r="D594" s="5" t="s">
        <v>3782</v>
      </c>
      <c r="E594" s="5" t="s">
        <v>4363</v>
      </c>
      <c r="F594" s="5" t="s">
        <v>4390</v>
      </c>
      <c r="G594" s="5" t="s">
        <v>3493</v>
      </c>
      <c r="H594" s="5"/>
      <c r="I594" s="5" t="s">
        <v>3448</v>
      </c>
      <c r="J594" s="5" t="s">
        <v>3783</v>
      </c>
      <c r="K594" s="5" t="s">
        <v>4363</v>
      </c>
      <c r="L594" s="5">
        <v>28</v>
      </c>
      <c r="M594" s="5">
        <v>2</v>
      </c>
      <c r="N594" s="5" t="s">
        <v>4391</v>
      </c>
      <c r="O594" s="5" t="s">
        <v>3494</v>
      </c>
      <c r="P594" s="5">
        <v>4</v>
      </c>
      <c r="Q594" s="5">
        <v>1</v>
      </c>
      <c r="R594" s="5"/>
      <c r="S594" s="5">
        <v>48</v>
      </c>
      <c r="T594" s="5">
        <v>48</v>
      </c>
      <c r="U594" s="5">
        <v>48</v>
      </c>
    </row>
    <row r="595" spans="1:21" x14ac:dyDescent="0.25">
      <c r="A595" s="5" t="s">
        <v>4853</v>
      </c>
      <c r="B595" s="5" t="s">
        <v>4854</v>
      </c>
      <c r="C595" s="5" t="s">
        <v>3548</v>
      </c>
      <c r="D595" s="5" t="s">
        <v>3782</v>
      </c>
      <c r="E595" s="5" t="s">
        <v>4363</v>
      </c>
      <c r="F595" s="5" t="s">
        <v>4004</v>
      </c>
      <c r="G595" s="5" t="s">
        <v>3501</v>
      </c>
      <c r="H595" s="5"/>
      <c r="I595" s="5" t="s">
        <v>3448</v>
      </c>
      <c r="J595" s="5" t="s">
        <v>3783</v>
      </c>
      <c r="K595" s="5" t="s">
        <v>4363</v>
      </c>
      <c r="L595" s="5">
        <v>28</v>
      </c>
      <c r="M595" s="5">
        <v>2</v>
      </c>
      <c r="N595" s="5" t="s">
        <v>4005</v>
      </c>
      <c r="O595" s="5" t="s">
        <v>3502</v>
      </c>
      <c r="P595" s="5">
        <v>4</v>
      </c>
      <c r="Q595" s="5">
        <v>1</v>
      </c>
      <c r="R595" s="5"/>
      <c r="S595" s="5">
        <v>63</v>
      </c>
      <c r="T595" s="5">
        <v>63</v>
      </c>
      <c r="U595" s="5">
        <v>63</v>
      </c>
    </row>
    <row r="596" spans="1:21" x14ac:dyDescent="0.25">
      <c r="A596" s="5" t="s">
        <v>4855</v>
      </c>
      <c r="B596" s="5" t="s">
        <v>4856</v>
      </c>
      <c r="C596" s="5" t="s">
        <v>3548</v>
      </c>
      <c r="D596" s="5" t="s">
        <v>3782</v>
      </c>
      <c r="E596" s="5" t="s">
        <v>4363</v>
      </c>
      <c r="F596" s="5" t="s">
        <v>4004</v>
      </c>
      <c r="G596" s="5" t="s">
        <v>3493</v>
      </c>
      <c r="H596" s="5"/>
      <c r="I596" s="5" t="s">
        <v>3448</v>
      </c>
      <c r="J596" s="5" t="s">
        <v>3783</v>
      </c>
      <c r="K596" s="5" t="s">
        <v>4363</v>
      </c>
      <c r="L596" s="5">
        <v>28</v>
      </c>
      <c r="M596" s="5">
        <v>2</v>
      </c>
      <c r="N596" s="5" t="s">
        <v>4005</v>
      </c>
      <c r="O596" s="5" t="s">
        <v>3494</v>
      </c>
      <c r="P596" s="5">
        <v>4</v>
      </c>
      <c r="Q596" s="5">
        <v>1</v>
      </c>
      <c r="R596" s="5"/>
      <c r="S596" s="5">
        <v>50</v>
      </c>
      <c r="T596" s="5">
        <v>50</v>
      </c>
      <c r="U596" s="5">
        <v>50</v>
      </c>
    </row>
    <row r="597" spans="1:21" x14ac:dyDescent="0.25">
      <c r="A597" s="5" t="s">
        <v>7095</v>
      </c>
      <c r="B597" s="5" t="s">
        <v>6162</v>
      </c>
      <c r="C597" s="5" t="s">
        <v>3548</v>
      </c>
      <c r="D597" s="5" t="s">
        <v>5817</v>
      </c>
      <c r="E597" s="5" t="s">
        <v>4363</v>
      </c>
      <c r="F597" s="5" t="s">
        <v>3584</v>
      </c>
      <c r="G597" s="5" t="s">
        <v>3782</v>
      </c>
      <c r="H597" s="5"/>
      <c r="I597" s="5" t="s">
        <v>3448</v>
      </c>
      <c r="J597" s="5" t="s">
        <v>5818</v>
      </c>
      <c r="K597" s="5" t="s">
        <v>4363</v>
      </c>
      <c r="L597" s="5">
        <v>31</v>
      </c>
      <c r="M597" s="5">
        <v>1</v>
      </c>
      <c r="N597" s="5" t="s">
        <v>3585</v>
      </c>
      <c r="O597" s="5" t="s">
        <v>3827</v>
      </c>
      <c r="P597" s="5">
        <v>2</v>
      </c>
      <c r="Q597" s="5">
        <v>1</v>
      </c>
      <c r="R597" s="5"/>
      <c r="S597" s="5">
        <v>27</v>
      </c>
      <c r="T597" s="5">
        <v>27</v>
      </c>
      <c r="U597" s="5">
        <v>27</v>
      </c>
    </row>
    <row r="598" spans="1:21" x14ac:dyDescent="0.25">
      <c r="A598" s="5" t="s">
        <v>4865</v>
      </c>
      <c r="B598" s="5" t="s">
        <v>4866</v>
      </c>
      <c r="C598" s="5" t="s">
        <v>3548</v>
      </c>
      <c r="D598" s="5" t="s">
        <v>3782</v>
      </c>
      <c r="E598" s="5" t="s">
        <v>4363</v>
      </c>
      <c r="F598" s="5" t="s">
        <v>4004</v>
      </c>
      <c r="G598" s="5" t="s">
        <v>3493</v>
      </c>
      <c r="H598" s="5"/>
      <c r="I598" s="5" t="s">
        <v>3448</v>
      </c>
      <c r="J598" s="5" t="s">
        <v>3783</v>
      </c>
      <c r="K598" s="5" t="s">
        <v>4363</v>
      </c>
      <c r="L598" s="5">
        <v>28</v>
      </c>
      <c r="M598" s="5">
        <v>3</v>
      </c>
      <c r="N598" s="5" t="s">
        <v>4005</v>
      </c>
      <c r="O598" s="5" t="s">
        <v>3494</v>
      </c>
      <c r="P598" s="5">
        <v>3</v>
      </c>
      <c r="Q598" s="5">
        <v>1</v>
      </c>
      <c r="R598" s="5"/>
      <c r="S598" s="5">
        <v>66</v>
      </c>
      <c r="T598" s="5">
        <v>66</v>
      </c>
      <c r="U598" s="5">
        <v>66</v>
      </c>
    </row>
    <row r="599" spans="1:21" x14ac:dyDescent="0.25">
      <c r="A599" s="5" t="s">
        <v>7096</v>
      </c>
      <c r="B599" s="5" t="s">
        <v>6164</v>
      </c>
      <c r="C599" s="5" t="s">
        <v>3548</v>
      </c>
      <c r="D599" s="5" t="s">
        <v>5817</v>
      </c>
      <c r="E599" s="5" t="s">
        <v>4363</v>
      </c>
      <c r="F599" s="5" t="s">
        <v>3584</v>
      </c>
      <c r="G599" s="5" t="s">
        <v>3782</v>
      </c>
      <c r="H599" s="5"/>
      <c r="I599" s="5" t="s">
        <v>3448</v>
      </c>
      <c r="J599" s="5" t="s">
        <v>5818</v>
      </c>
      <c r="K599" s="5" t="s">
        <v>4363</v>
      </c>
      <c r="L599" s="5">
        <v>31</v>
      </c>
      <c r="M599" s="5">
        <v>2</v>
      </c>
      <c r="N599" s="5" t="s">
        <v>3585</v>
      </c>
      <c r="O599" s="5" t="s">
        <v>3827</v>
      </c>
      <c r="P599" s="5">
        <v>2</v>
      </c>
      <c r="Q599" s="5">
        <v>1</v>
      </c>
      <c r="R599" s="5"/>
      <c r="S599" s="5">
        <v>54</v>
      </c>
      <c r="T599" s="5">
        <v>54</v>
      </c>
      <c r="U599" s="5">
        <v>54</v>
      </c>
    </row>
    <row r="600" spans="1:21" x14ac:dyDescent="0.25">
      <c r="A600" s="5" t="s">
        <v>7097</v>
      </c>
      <c r="B600" s="5" t="s">
        <v>6170</v>
      </c>
      <c r="C600" s="5" t="s">
        <v>3548</v>
      </c>
      <c r="D600" s="5" t="s">
        <v>5817</v>
      </c>
      <c r="E600" s="5" t="s">
        <v>4363</v>
      </c>
      <c r="F600" s="5" t="s">
        <v>3584</v>
      </c>
      <c r="G600" s="5" t="s">
        <v>3782</v>
      </c>
      <c r="H600" s="5"/>
      <c r="I600" s="5" t="s">
        <v>3448</v>
      </c>
      <c r="J600" s="5" t="s">
        <v>5818</v>
      </c>
      <c r="K600" s="5" t="s">
        <v>4363</v>
      </c>
      <c r="L600" s="5">
        <v>32</v>
      </c>
      <c r="M600" s="5">
        <v>1</v>
      </c>
      <c r="N600" s="5" t="s">
        <v>3585</v>
      </c>
      <c r="O600" s="5" t="s">
        <v>3827</v>
      </c>
      <c r="P600" s="5">
        <v>2</v>
      </c>
      <c r="Q600" s="5">
        <v>1</v>
      </c>
      <c r="R600" s="5"/>
      <c r="S600" s="5">
        <v>25</v>
      </c>
      <c r="T600" s="5">
        <v>25</v>
      </c>
      <c r="U600" s="5">
        <v>25</v>
      </c>
    </row>
    <row r="601" spans="1:21" x14ac:dyDescent="0.25">
      <c r="A601" s="5" t="s">
        <v>4871</v>
      </c>
      <c r="B601" s="5" t="s">
        <v>4872</v>
      </c>
      <c r="C601" s="5" t="s">
        <v>3548</v>
      </c>
      <c r="D601" s="5" t="s">
        <v>3782</v>
      </c>
      <c r="E601" s="5" t="s">
        <v>4363</v>
      </c>
      <c r="F601" s="5" t="s">
        <v>3584</v>
      </c>
      <c r="G601" s="5" t="s">
        <v>3501</v>
      </c>
      <c r="H601" s="5"/>
      <c r="I601" s="5" t="s">
        <v>3448</v>
      </c>
      <c r="J601" s="5" t="s">
        <v>3783</v>
      </c>
      <c r="K601" s="5" t="s">
        <v>4363</v>
      </c>
      <c r="L601" s="5">
        <v>28</v>
      </c>
      <c r="M601" s="5">
        <v>3</v>
      </c>
      <c r="N601" s="5" t="s">
        <v>3585</v>
      </c>
      <c r="O601" s="5" t="s">
        <v>3502</v>
      </c>
      <c r="P601" s="5">
        <v>4</v>
      </c>
      <c r="Q601" s="5">
        <v>1</v>
      </c>
      <c r="R601" s="5"/>
      <c r="S601" s="5">
        <v>79</v>
      </c>
      <c r="T601" s="5">
        <v>79</v>
      </c>
      <c r="U601" s="5">
        <v>79</v>
      </c>
    </row>
    <row r="602" spans="1:21" x14ac:dyDescent="0.25">
      <c r="A602" s="5" t="s">
        <v>4873</v>
      </c>
      <c r="B602" s="5" t="s">
        <v>4874</v>
      </c>
      <c r="C602" s="5" t="s">
        <v>3548</v>
      </c>
      <c r="D602" s="5" t="s">
        <v>3782</v>
      </c>
      <c r="E602" s="5" t="s">
        <v>4363</v>
      </c>
      <c r="F602" s="5" t="s">
        <v>3584</v>
      </c>
      <c r="G602" s="5" t="s">
        <v>3493</v>
      </c>
      <c r="H602" s="5"/>
      <c r="I602" s="5" t="s">
        <v>3448</v>
      </c>
      <c r="J602" s="5" t="s">
        <v>3783</v>
      </c>
      <c r="K602" s="5" t="s">
        <v>4363</v>
      </c>
      <c r="L602" s="5">
        <v>28</v>
      </c>
      <c r="M602" s="5">
        <v>3</v>
      </c>
      <c r="N602" s="5" t="s">
        <v>3585</v>
      </c>
      <c r="O602" s="5" t="s">
        <v>3494</v>
      </c>
      <c r="P602" s="5">
        <v>4</v>
      </c>
      <c r="Q602" s="5">
        <v>1</v>
      </c>
      <c r="R602" s="5"/>
      <c r="S602" s="5">
        <v>73</v>
      </c>
      <c r="T602" s="5">
        <v>73</v>
      </c>
      <c r="U602" s="5">
        <v>73</v>
      </c>
    </row>
    <row r="603" spans="1:21" x14ac:dyDescent="0.25">
      <c r="A603" s="5" t="s">
        <v>7098</v>
      </c>
      <c r="B603" s="5" t="s">
        <v>6178</v>
      </c>
      <c r="C603" s="5" t="s">
        <v>3548</v>
      </c>
      <c r="D603" s="5" t="s">
        <v>5817</v>
      </c>
      <c r="E603" s="5" t="s">
        <v>4363</v>
      </c>
      <c r="F603" s="5" t="s">
        <v>4390</v>
      </c>
      <c r="G603" s="5" t="s">
        <v>3782</v>
      </c>
      <c r="H603" s="5"/>
      <c r="I603" s="5" t="s">
        <v>3448</v>
      </c>
      <c r="J603" s="5" t="s">
        <v>5818</v>
      </c>
      <c r="K603" s="5" t="s">
        <v>4363</v>
      </c>
      <c r="L603" s="5">
        <v>32</v>
      </c>
      <c r="M603" s="5">
        <v>1</v>
      </c>
      <c r="N603" s="5" t="s">
        <v>4406</v>
      </c>
      <c r="O603" s="5" t="s">
        <v>3827</v>
      </c>
      <c r="P603" s="5">
        <v>2</v>
      </c>
      <c r="Q603" s="5">
        <v>1</v>
      </c>
      <c r="R603" s="5"/>
      <c r="S603" s="5">
        <v>25</v>
      </c>
      <c r="T603" s="5">
        <v>25</v>
      </c>
      <c r="U603" s="5">
        <v>25</v>
      </c>
    </row>
    <row r="604" spans="1:21" x14ac:dyDescent="0.25">
      <c r="A604" s="5" t="s">
        <v>7099</v>
      </c>
      <c r="B604" s="5" t="s">
        <v>6188</v>
      </c>
      <c r="C604" s="5" t="s">
        <v>3548</v>
      </c>
      <c r="D604" s="5" t="s">
        <v>5817</v>
      </c>
      <c r="E604" s="5" t="s">
        <v>4363</v>
      </c>
      <c r="F604" s="5" t="s">
        <v>3584</v>
      </c>
      <c r="G604" s="5" t="s">
        <v>3782</v>
      </c>
      <c r="H604" s="5"/>
      <c r="I604" s="5" t="s">
        <v>3448</v>
      </c>
      <c r="J604" s="5" t="s">
        <v>5818</v>
      </c>
      <c r="K604" s="5" t="s">
        <v>4363</v>
      </c>
      <c r="L604" s="5">
        <v>32</v>
      </c>
      <c r="M604" s="5">
        <v>2</v>
      </c>
      <c r="N604" s="5" t="s">
        <v>3585</v>
      </c>
      <c r="O604" s="5" t="s">
        <v>3827</v>
      </c>
      <c r="P604" s="5">
        <v>2</v>
      </c>
      <c r="Q604" s="5">
        <v>1</v>
      </c>
      <c r="R604" s="5"/>
      <c r="S604" s="5">
        <v>52</v>
      </c>
      <c r="T604" s="5">
        <v>52</v>
      </c>
      <c r="U604" s="5">
        <v>52</v>
      </c>
    </row>
    <row r="605" spans="1:21" x14ac:dyDescent="0.25">
      <c r="A605" s="5" t="s">
        <v>7100</v>
      </c>
      <c r="B605" s="5" t="s">
        <v>6200</v>
      </c>
      <c r="C605" s="5" t="s">
        <v>3548</v>
      </c>
      <c r="D605" s="5" t="s">
        <v>5817</v>
      </c>
      <c r="E605" s="5" t="s">
        <v>4363</v>
      </c>
      <c r="F605" s="5" t="s">
        <v>4390</v>
      </c>
      <c r="G605" s="5" t="s">
        <v>3782</v>
      </c>
      <c r="H605" s="5"/>
      <c r="I605" s="5" t="s">
        <v>3448</v>
      </c>
      <c r="J605" s="5" t="s">
        <v>5818</v>
      </c>
      <c r="K605" s="5" t="s">
        <v>4363</v>
      </c>
      <c r="L605" s="5">
        <v>32</v>
      </c>
      <c r="M605" s="5">
        <v>2</v>
      </c>
      <c r="N605" s="5" t="s">
        <v>4391</v>
      </c>
      <c r="O605" s="5" t="s">
        <v>3827</v>
      </c>
      <c r="P605" s="5">
        <v>2</v>
      </c>
      <c r="Q605" s="5">
        <v>1</v>
      </c>
      <c r="R605" s="5"/>
      <c r="S605" s="5">
        <v>48</v>
      </c>
      <c r="T605" s="5">
        <v>48</v>
      </c>
      <c r="U605" s="5">
        <v>48</v>
      </c>
    </row>
    <row r="606" spans="1:21" x14ac:dyDescent="0.25">
      <c r="A606" s="5" t="s">
        <v>4881</v>
      </c>
      <c r="B606" s="5" t="s">
        <v>4882</v>
      </c>
      <c r="C606" s="5" t="s">
        <v>3548</v>
      </c>
      <c r="D606" s="5" t="s">
        <v>3782</v>
      </c>
      <c r="E606" s="5" t="s">
        <v>4363</v>
      </c>
      <c r="F606" s="5" t="s">
        <v>4390</v>
      </c>
      <c r="G606" s="5" t="s">
        <v>3493</v>
      </c>
      <c r="H606" s="5"/>
      <c r="I606" s="5" t="s">
        <v>3448</v>
      </c>
      <c r="J606" s="5" t="s">
        <v>3783</v>
      </c>
      <c r="K606" s="5" t="s">
        <v>4363</v>
      </c>
      <c r="L606" s="5">
        <v>28</v>
      </c>
      <c r="M606" s="5">
        <v>3</v>
      </c>
      <c r="N606" s="5" t="s">
        <v>4391</v>
      </c>
      <c r="O606" s="5" t="s">
        <v>3494</v>
      </c>
      <c r="P606" s="5">
        <v>4</v>
      </c>
      <c r="Q606" s="5">
        <v>1</v>
      </c>
      <c r="R606" s="5"/>
      <c r="S606" s="5">
        <v>72</v>
      </c>
      <c r="T606" s="5">
        <v>72</v>
      </c>
      <c r="U606" s="5">
        <v>72</v>
      </c>
    </row>
    <row r="607" spans="1:21" x14ac:dyDescent="0.25">
      <c r="A607" s="5" t="s">
        <v>4883</v>
      </c>
      <c r="B607" s="5" t="s">
        <v>4884</v>
      </c>
      <c r="C607" s="5" t="s">
        <v>3548</v>
      </c>
      <c r="D607" s="5" t="s">
        <v>3782</v>
      </c>
      <c r="E607" s="5" t="s">
        <v>4363</v>
      </c>
      <c r="F607" s="5" t="s">
        <v>4004</v>
      </c>
      <c r="G607" s="5" t="s">
        <v>3493</v>
      </c>
      <c r="H607" s="5"/>
      <c r="I607" s="5" t="s">
        <v>3448</v>
      </c>
      <c r="J607" s="5" t="s">
        <v>3783</v>
      </c>
      <c r="K607" s="5" t="s">
        <v>4363</v>
      </c>
      <c r="L607" s="5">
        <v>28</v>
      </c>
      <c r="M607" s="5">
        <v>3</v>
      </c>
      <c r="N607" s="5" t="s">
        <v>4005</v>
      </c>
      <c r="O607" s="5" t="s">
        <v>3494</v>
      </c>
      <c r="P607" s="5">
        <v>4</v>
      </c>
      <c r="Q607" s="5">
        <v>1</v>
      </c>
      <c r="R607" s="5"/>
      <c r="S607" s="5">
        <v>74</v>
      </c>
      <c r="T607" s="5">
        <v>74</v>
      </c>
      <c r="U607" s="5">
        <v>74</v>
      </c>
    </row>
    <row r="608" spans="1:21" x14ac:dyDescent="0.25">
      <c r="A608" s="5" t="s">
        <v>7101</v>
      </c>
      <c r="B608" s="5" t="s">
        <v>6226</v>
      </c>
      <c r="C608" s="5" t="s">
        <v>3548</v>
      </c>
      <c r="D608" s="5" t="s">
        <v>5817</v>
      </c>
      <c r="E608" s="5" t="s">
        <v>4363</v>
      </c>
      <c r="F608" s="5" t="s">
        <v>3584</v>
      </c>
      <c r="G608" s="5" t="s">
        <v>3782</v>
      </c>
      <c r="H608" s="5"/>
      <c r="I608" s="5" t="s">
        <v>3448</v>
      </c>
      <c r="J608" s="5" t="s">
        <v>5818</v>
      </c>
      <c r="K608" s="5" t="s">
        <v>4363</v>
      </c>
      <c r="L608" s="5">
        <v>32</v>
      </c>
      <c r="M608" s="5">
        <v>3</v>
      </c>
      <c r="N608" s="5" t="s">
        <v>3585</v>
      </c>
      <c r="O608" s="5" t="s">
        <v>3827</v>
      </c>
      <c r="P608" s="5">
        <v>2</v>
      </c>
      <c r="Q608" s="5">
        <v>1</v>
      </c>
      <c r="R608" s="5"/>
      <c r="S608" s="5">
        <v>78</v>
      </c>
      <c r="T608" s="5">
        <v>78</v>
      </c>
      <c r="U608" s="5">
        <v>78</v>
      </c>
    </row>
    <row r="609" spans="1:21" x14ac:dyDescent="0.25">
      <c r="A609" s="5" t="s">
        <v>7102</v>
      </c>
      <c r="B609" s="5" t="s">
        <v>6232</v>
      </c>
      <c r="C609" s="5" t="s">
        <v>3548</v>
      </c>
      <c r="D609" s="5" t="s">
        <v>5817</v>
      </c>
      <c r="E609" s="5" t="s">
        <v>4363</v>
      </c>
      <c r="F609" s="5" t="s">
        <v>4390</v>
      </c>
      <c r="G609" s="5" t="s">
        <v>3782</v>
      </c>
      <c r="H609" s="5"/>
      <c r="I609" s="5" t="s">
        <v>3448</v>
      </c>
      <c r="J609" s="5" t="s">
        <v>5818</v>
      </c>
      <c r="K609" s="5" t="s">
        <v>4363</v>
      </c>
      <c r="L609" s="5">
        <v>32</v>
      </c>
      <c r="M609" s="5">
        <v>3</v>
      </c>
      <c r="N609" s="5" t="s">
        <v>4391</v>
      </c>
      <c r="O609" s="5" t="s">
        <v>3827</v>
      </c>
      <c r="P609" s="5">
        <v>2</v>
      </c>
      <c r="Q609" s="5">
        <v>1</v>
      </c>
      <c r="R609" s="5"/>
      <c r="S609" s="5">
        <v>74</v>
      </c>
      <c r="T609" s="5">
        <v>74</v>
      </c>
      <c r="U609" s="5">
        <v>74</v>
      </c>
    </row>
    <row r="610" spans="1:21" x14ac:dyDescent="0.25">
      <c r="A610" s="5" t="s">
        <v>4889</v>
      </c>
      <c r="B610" s="5" t="s">
        <v>4890</v>
      </c>
      <c r="C610" s="5" t="s">
        <v>3548</v>
      </c>
      <c r="D610" s="5" t="s">
        <v>3782</v>
      </c>
      <c r="E610" s="5" t="s">
        <v>4363</v>
      </c>
      <c r="F610" s="5" t="s">
        <v>4004</v>
      </c>
      <c r="G610" s="5" t="s">
        <v>3493</v>
      </c>
      <c r="H610" s="5"/>
      <c r="I610" s="5" t="s">
        <v>3448</v>
      </c>
      <c r="J610" s="5" t="s">
        <v>3783</v>
      </c>
      <c r="K610" s="5" t="s">
        <v>4363</v>
      </c>
      <c r="L610" s="5">
        <v>28</v>
      </c>
      <c r="M610" s="5">
        <v>1</v>
      </c>
      <c r="N610" s="5" t="s">
        <v>4005</v>
      </c>
      <c r="O610" s="5" t="s">
        <v>3494</v>
      </c>
      <c r="P610" s="5">
        <v>3</v>
      </c>
      <c r="Q610" s="5">
        <v>1</v>
      </c>
      <c r="R610" s="5"/>
      <c r="S610" s="5">
        <v>22</v>
      </c>
      <c r="T610" s="5">
        <v>22</v>
      </c>
      <c r="U610" s="5">
        <v>22</v>
      </c>
    </row>
    <row r="611" spans="1:21" x14ac:dyDescent="0.25">
      <c r="A611" s="5" t="s">
        <v>7103</v>
      </c>
      <c r="B611" s="5" t="s">
        <v>6242</v>
      </c>
      <c r="C611" s="5" t="s">
        <v>3548</v>
      </c>
      <c r="D611" s="5" t="s">
        <v>5817</v>
      </c>
      <c r="E611" s="5" t="s">
        <v>4363</v>
      </c>
      <c r="F611" s="5" t="s">
        <v>3584</v>
      </c>
      <c r="G611" s="5" t="s">
        <v>3782</v>
      </c>
      <c r="H611" s="5"/>
      <c r="I611" s="5" t="s">
        <v>3448</v>
      </c>
      <c r="J611" s="5" t="s">
        <v>5818</v>
      </c>
      <c r="K611" s="5" t="s">
        <v>4363</v>
      </c>
      <c r="L611" s="5">
        <v>32</v>
      </c>
      <c r="M611" s="5">
        <v>4</v>
      </c>
      <c r="N611" s="5" t="s">
        <v>3585</v>
      </c>
      <c r="O611" s="5" t="s">
        <v>3827</v>
      </c>
      <c r="P611" s="5">
        <v>2</v>
      </c>
      <c r="Q611" s="5">
        <v>1</v>
      </c>
      <c r="R611" s="5"/>
      <c r="S611" s="5">
        <v>96</v>
      </c>
      <c r="T611" s="5">
        <v>96</v>
      </c>
      <c r="U611" s="5">
        <v>96</v>
      </c>
    </row>
    <row r="612" spans="1:21" x14ac:dyDescent="0.25">
      <c r="A612" s="5" t="s">
        <v>7104</v>
      </c>
      <c r="B612" s="5" t="s">
        <v>7105</v>
      </c>
      <c r="C612" s="5" t="s">
        <v>3548</v>
      </c>
      <c r="D612" s="5" t="s">
        <v>3782</v>
      </c>
      <c r="E612" s="5" t="s">
        <v>4252</v>
      </c>
      <c r="F612" s="5" t="s">
        <v>4004</v>
      </c>
      <c r="G612" s="5" t="s">
        <v>4255</v>
      </c>
      <c r="H612" s="5"/>
      <c r="I612" s="5" t="s">
        <v>3448</v>
      </c>
      <c r="J612" s="5" t="s">
        <v>3783</v>
      </c>
      <c r="K612" s="5" t="s">
        <v>4253</v>
      </c>
      <c r="L612" s="5">
        <v>24</v>
      </c>
      <c r="M612" s="5">
        <v>8</v>
      </c>
      <c r="N612" s="5" t="s">
        <v>4005</v>
      </c>
      <c r="O612" s="5" t="s">
        <v>3502</v>
      </c>
      <c r="P612" s="5">
        <v>2</v>
      </c>
      <c r="Q612" s="5">
        <v>2</v>
      </c>
      <c r="R612" s="5"/>
      <c r="S612" s="5">
        <v>215</v>
      </c>
      <c r="T612" s="5">
        <v>215</v>
      </c>
      <c r="U612" s="5">
        <v>215</v>
      </c>
    </row>
    <row r="613" spans="1:21" x14ac:dyDescent="0.25">
      <c r="A613" s="5" t="s">
        <v>7106</v>
      </c>
      <c r="B613" s="5" t="s">
        <v>7107</v>
      </c>
      <c r="C613" s="5" t="s">
        <v>3548</v>
      </c>
      <c r="D613" s="5" t="s">
        <v>3782</v>
      </c>
      <c r="E613" s="5" t="s">
        <v>4252</v>
      </c>
      <c r="F613" s="5" t="s">
        <v>4004</v>
      </c>
      <c r="G613" s="5" t="s">
        <v>4255</v>
      </c>
      <c r="H613" s="5"/>
      <c r="I613" s="5" t="s">
        <v>3448</v>
      </c>
      <c r="J613" s="5" t="s">
        <v>3783</v>
      </c>
      <c r="K613" s="5" t="s">
        <v>4253</v>
      </c>
      <c r="L613" s="5">
        <v>24</v>
      </c>
      <c r="M613" s="5">
        <v>6</v>
      </c>
      <c r="N613" s="5" t="s">
        <v>4005</v>
      </c>
      <c r="O613" s="5" t="s">
        <v>3502</v>
      </c>
      <c r="P613" s="5">
        <v>2</v>
      </c>
      <c r="Q613" s="5">
        <v>2</v>
      </c>
      <c r="R613" s="5"/>
      <c r="S613" s="5">
        <v>161</v>
      </c>
      <c r="T613" s="5">
        <v>161</v>
      </c>
      <c r="U613" s="5">
        <v>161</v>
      </c>
    </row>
    <row r="614" spans="1:21" x14ac:dyDescent="0.25">
      <c r="A614" s="5" t="s">
        <v>7108</v>
      </c>
      <c r="B614" s="5" t="s">
        <v>7109</v>
      </c>
      <c r="C614" s="5" t="s">
        <v>3548</v>
      </c>
      <c r="D614" s="5" t="s">
        <v>3782</v>
      </c>
      <c r="E614" s="5" t="s">
        <v>4252</v>
      </c>
      <c r="F614" s="5" t="s">
        <v>4004</v>
      </c>
      <c r="G614" s="5" t="s">
        <v>4255</v>
      </c>
      <c r="H614" s="5"/>
      <c r="I614" s="5" t="s">
        <v>3448</v>
      </c>
      <c r="J614" s="5" t="s">
        <v>3783</v>
      </c>
      <c r="K614" s="5" t="s">
        <v>4253</v>
      </c>
      <c r="L614" s="5">
        <v>24</v>
      </c>
      <c r="M614" s="5">
        <v>4</v>
      </c>
      <c r="N614" s="5" t="s">
        <v>4005</v>
      </c>
      <c r="O614" s="5" t="s">
        <v>3502</v>
      </c>
      <c r="P614" s="5">
        <v>2</v>
      </c>
      <c r="Q614" s="5">
        <v>1</v>
      </c>
      <c r="R614" s="5"/>
      <c r="S614" s="5">
        <v>108</v>
      </c>
      <c r="T614" s="5">
        <v>108</v>
      </c>
      <c r="U614" s="5">
        <v>108</v>
      </c>
    </row>
    <row r="615" spans="1:21" x14ac:dyDescent="0.25">
      <c r="A615" s="5" t="s">
        <v>4254</v>
      </c>
      <c r="B615" s="5" t="s">
        <v>4251</v>
      </c>
      <c r="C615" s="5" t="s">
        <v>3548</v>
      </c>
      <c r="D615" s="5" t="s">
        <v>3782</v>
      </c>
      <c r="E615" s="5" t="s">
        <v>4252</v>
      </c>
      <c r="F615" s="5" t="s">
        <v>4004</v>
      </c>
      <c r="G615" s="5" t="s">
        <v>4255</v>
      </c>
      <c r="H615" s="5"/>
      <c r="I615" s="5" t="s">
        <v>3448</v>
      </c>
      <c r="J615" s="5" t="s">
        <v>3783</v>
      </c>
      <c r="K615" s="5" t="s">
        <v>4253</v>
      </c>
      <c r="L615" s="5">
        <v>24</v>
      </c>
      <c r="M615" s="5">
        <v>2</v>
      </c>
      <c r="N615" s="5" t="s">
        <v>4005</v>
      </c>
      <c r="O615" s="5" t="s">
        <v>3502</v>
      </c>
      <c r="P615" s="5">
        <v>2</v>
      </c>
      <c r="Q615" s="5">
        <v>1</v>
      </c>
      <c r="R615" s="5"/>
      <c r="S615" s="5">
        <v>54</v>
      </c>
      <c r="T615" s="5">
        <v>54</v>
      </c>
      <c r="U615" s="5">
        <v>54</v>
      </c>
    </row>
    <row r="616" spans="1:21" x14ac:dyDescent="0.25">
      <c r="A616" s="5" t="s">
        <v>4895</v>
      </c>
      <c r="B616" s="5" t="s">
        <v>4896</v>
      </c>
      <c r="C616" s="5" t="s">
        <v>3548</v>
      </c>
      <c r="D616" s="5" t="s">
        <v>3782</v>
      </c>
      <c r="E616" s="5" t="s">
        <v>4363</v>
      </c>
      <c r="F616" s="5" t="s">
        <v>3584</v>
      </c>
      <c r="G616" s="5" t="s">
        <v>3501</v>
      </c>
      <c r="H616" s="5"/>
      <c r="I616" s="5" t="s">
        <v>3448</v>
      </c>
      <c r="J616" s="5" t="s">
        <v>3783</v>
      </c>
      <c r="K616" s="5" t="s">
        <v>4363</v>
      </c>
      <c r="L616" s="5">
        <v>28</v>
      </c>
      <c r="M616" s="5">
        <v>1</v>
      </c>
      <c r="N616" s="5" t="s">
        <v>3585</v>
      </c>
      <c r="O616" s="5" t="s">
        <v>3502</v>
      </c>
      <c r="P616" s="5">
        <v>4</v>
      </c>
      <c r="Q616" s="5">
        <v>1</v>
      </c>
      <c r="R616" s="5"/>
      <c r="S616" s="5">
        <v>29</v>
      </c>
      <c r="T616" s="5">
        <v>29</v>
      </c>
      <c r="U616" s="5">
        <v>29</v>
      </c>
    </row>
    <row r="617" spans="1:21" x14ac:dyDescent="0.25">
      <c r="A617" s="5" t="s">
        <v>4897</v>
      </c>
      <c r="B617" s="5" t="s">
        <v>4898</v>
      </c>
      <c r="C617" s="5" t="s">
        <v>3548</v>
      </c>
      <c r="D617" s="5" t="s">
        <v>3782</v>
      </c>
      <c r="E617" s="5" t="s">
        <v>4363</v>
      </c>
      <c r="F617" s="5" t="s">
        <v>3584</v>
      </c>
      <c r="G617" s="5" t="s">
        <v>3493</v>
      </c>
      <c r="H617" s="5"/>
      <c r="I617" s="5" t="s">
        <v>3448</v>
      </c>
      <c r="J617" s="5" t="s">
        <v>3783</v>
      </c>
      <c r="K617" s="5" t="s">
        <v>4363</v>
      </c>
      <c r="L617" s="5">
        <v>28</v>
      </c>
      <c r="M617" s="5">
        <v>1</v>
      </c>
      <c r="N617" s="5" t="s">
        <v>3585</v>
      </c>
      <c r="O617" s="5" t="s">
        <v>3494</v>
      </c>
      <c r="P617" s="5">
        <v>4</v>
      </c>
      <c r="Q617" s="5">
        <v>1</v>
      </c>
      <c r="R617" s="5"/>
      <c r="S617" s="5">
        <v>27</v>
      </c>
      <c r="T617" s="5">
        <v>27</v>
      </c>
      <c r="U617" s="5">
        <v>27</v>
      </c>
    </row>
    <row r="618" spans="1:21" x14ac:dyDescent="0.25">
      <c r="A618" s="5" t="s">
        <v>4265</v>
      </c>
      <c r="B618" s="5" t="s">
        <v>4266</v>
      </c>
      <c r="C618" s="5" t="s">
        <v>3548</v>
      </c>
      <c r="D618" s="5" t="s">
        <v>3782</v>
      </c>
      <c r="E618" s="5" t="s">
        <v>4252</v>
      </c>
      <c r="F618" s="5" t="s">
        <v>4004</v>
      </c>
      <c r="G618" s="5" t="s">
        <v>4255</v>
      </c>
      <c r="H618" s="5"/>
      <c r="I618" s="5" t="s">
        <v>3448</v>
      </c>
      <c r="J618" s="5" t="s">
        <v>3783</v>
      </c>
      <c r="K618" s="5" t="s">
        <v>4253</v>
      </c>
      <c r="L618" s="5">
        <v>39</v>
      </c>
      <c r="M618" s="5">
        <v>2</v>
      </c>
      <c r="N618" s="5" t="s">
        <v>4005</v>
      </c>
      <c r="O618" s="5" t="s">
        <v>4256</v>
      </c>
      <c r="P618" s="5">
        <v>3</v>
      </c>
      <c r="Q618" s="5">
        <v>1</v>
      </c>
      <c r="R618" s="5"/>
      <c r="S618" s="5">
        <v>85</v>
      </c>
      <c r="T618" s="5">
        <v>85</v>
      </c>
      <c r="U618" s="5">
        <v>85</v>
      </c>
    </row>
    <row r="619" spans="1:21" x14ac:dyDescent="0.25">
      <c r="A619" s="5" t="s">
        <v>4269</v>
      </c>
      <c r="B619" s="5" t="s">
        <v>4270</v>
      </c>
      <c r="C619" s="5" t="s">
        <v>3548</v>
      </c>
      <c r="D619" s="5" t="s">
        <v>3782</v>
      </c>
      <c r="E619" s="5" t="s">
        <v>4252</v>
      </c>
      <c r="F619" s="5" t="s">
        <v>4004</v>
      </c>
      <c r="G619" s="5" t="s">
        <v>4255</v>
      </c>
      <c r="H619" s="5"/>
      <c r="I619" s="5" t="s">
        <v>3448</v>
      </c>
      <c r="J619" s="5" t="s">
        <v>3783</v>
      </c>
      <c r="K619" s="5" t="s">
        <v>4253</v>
      </c>
      <c r="L619" s="5">
        <v>39</v>
      </c>
      <c r="M619" s="5">
        <v>3</v>
      </c>
      <c r="N619" s="5" t="s">
        <v>4005</v>
      </c>
      <c r="O619" s="5" t="s">
        <v>4256</v>
      </c>
      <c r="P619" s="5">
        <v>3</v>
      </c>
      <c r="Q619" s="5">
        <v>1</v>
      </c>
      <c r="R619" s="5"/>
      <c r="S619" s="5">
        <v>127</v>
      </c>
      <c r="T619" s="5">
        <v>127</v>
      </c>
      <c r="U619" s="5">
        <v>127</v>
      </c>
    </row>
    <row r="620" spans="1:21" x14ac:dyDescent="0.25">
      <c r="A620" s="5" t="s">
        <v>4913</v>
      </c>
      <c r="B620" s="5" t="s">
        <v>4914</v>
      </c>
      <c r="C620" s="5" t="s">
        <v>3548</v>
      </c>
      <c r="D620" s="5" t="s">
        <v>3782</v>
      </c>
      <c r="E620" s="5" t="s">
        <v>4363</v>
      </c>
      <c r="F620" s="5" t="s">
        <v>4390</v>
      </c>
      <c r="G620" s="5" t="s">
        <v>3493</v>
      </c>
      <c r="H620" s="5"/>
      <c r="I620" s="5" t="s">
        <v>3448</v>
      </c>
      <c r="J620" s="5" t="s">
        <v>3783</v>
      </c>
      <c r="K620" s="5" t="s">
        <v>4363</v>
      </c>
      <c r="L620" s="5">
        <v>28</v>
      </c>
      <c r="M620" s="5">
        <v>1</v>
      </c>
      <c r="N620" s="5" t="s">
        <v>4391</v>
      </c>
      <c r="O620" s="5" t="s">
        <v>3494</v>
      </c>
      <c r="P620" s="5">
        <v>4</v>
      </c>
      <c r="Q620" s="5">
        <v>1</v>
      </c>
      <c r="R620" s="5"/>
      <c r="S620" s="5">
        <v>25</v>
      </c>
      <c r="T620" s="5">
        <v>25</v>
      </c>
      <c r="U620" s="5">
        <v>25</v>
      </c>
    </row>
    <row r="621" spans="1:21" x14ac:dyDescent="0.25">
      <c r="A621" s="5" t="s">
        <v>4915</v>
      </c>
      <c r="B621" s="5" t="s">
        <v>4916</v>
      </c>
      <c r="C621" s="5" t="s">
        <v>3548</v>
      </c>
      <c r="D621" s="5" t="s">
        <v>3782</v>
      </c>
      <c r="E621" s="5" t="s">
        <v>4363</v>
      </c>
      <c r="F621" s="5" t="s">
        <v>4004</v>
      </c>
      <c r="G621" s="5" t="s">
        <v>3493</v>
      </c>
      <c r="H621" s="5"/>
      <c r="I621" s="5" t="s">
        <v>3448</v>
      </c>
      <c r="J621" s="5" t="s">
        <v>3783</v>
      </c>
      <c r="K621" s="5" t="s">
        <v>4363</v>
      </c>
      <c r="L621" s="5">
        <v>28</v>
      </c>
      <c r="M621" s="5">
        <v>4</v>
      </c>
      <c r="N621" s="5" t="s">
        <v>4005</v>
      </c>
      <c r="O621" s="5" t="s">
        <v>3494</v>
      </c>
      <c r="P621" s="5">
        <v>3</v>
      </c>
      <c r="Q621" s="5">
        <v>1</v>
      </c>
      <c r="R621" s="5"/>
      <c r="S621" s="5">
        <v>85</v>
      </c>
      <c r="T621" s="5">
        <v>85</v>
      </c>
      <c r="U621" s="5">
        <v>85</v>
      </c>
    </row>
    <row r="622" spans="1:21" x14ac:dyDescent="0.25">
      <c r="A622" s="5" t="s">
        <v>4273</v>
      </c>
      <c r="B622" s="5" t="s">
        <v>4274</v>
      </c>
      <c r="C622" s="5" t="s">
        <v>3548</v>
      </c>
      <c r="D622" s="5" t="s">
        <v>3782</v>
      </c>
      <c r="E622" s="5" t="s">
        <v>4252</v>
      </c>
      <c r="F622" s="5" t="s">
        <v>4004</v>
      </c>
      <c r="G622" s="5" t="s">
        <v>4255</v>
      </c>
      <c r="H622" s="5"/>
      <c r="I622" s="5" t="s">
        <v>3448</v>
      </c>
      <c r="J622" s="5" t="s">
        <v>3783</v>
      </c>
      <c r="K622" s="5" t="s">
        <v>4253</v>
      </c>
      <c r="L622" s="5">
        <v>39</v>
      </c>
      <c r="M622" s="5">
        <v>1</v>
      </c>
      <c r="N622" s="5" t="s">
        <v>4005</v>
      </c>
      <c r="O622" s="5" t="s">
        <v>4256</v>
      </c>
      <c r="P622" s="5">
        <v>3</v>
      </c>
      <c r="Q622" s="5">
        <v>1</v>
      </c>
      <c r="R622" s="5"/>
      <c r="S622" s="5">
        <v>42</v>
      </c>
      <c r="T622" s="5">
        <v>42</v>
      </c>
      <c r="U622" s="5">
        <v>42</v>
      </c>
    </row>
    <row r="623" spans="1:21" x14ac:dyDescent="0.25">
      <c r="A623" s="5" t="s">
        <v>4277</v>
      </c>
      <c r="B623" s="5" t="s">
        <v>4278</v>
      </c>
      <c r="C623" s="5" t="s">
        <v>3548</v>
      </c>
      <c r="D623" s="5" t="s">
        <v>3782</v>
      </c>
      <c r="E623" s="5" t="s">
        <v>4252</v>
      </c>
      <c r="F623" s="5" t="s">
        <v>4004</v>
      </c>
      <c r="G623" s="5" t="s">
        <v>4255</v>
      </c>
      <c r="H623" s="5"/>
      <c r="I623" s="5" t="s">
        <v>3448</v>
      </c>
      <c r="J623" s="5" t="s">
        <v>3783</v>
      </c>
      <c r="K623" s="5" t="s">
        <v>4253</v>
      </c>
      <c r="L623" s="5">
        <v>39</v>
      </c>
      <c r="M623" s="5">
        <v>4</v>
      </c>
      <c r="N623" s="5" t="s">
        <v>4005</v>
      </c>
      <c r="O623" s="5" t="s">
        <v>4256</v>
      </c>
      <c r="P623" s="5">
        <v>3</v>
      </c>
      <c r="Q623" s="5">
        <v>1</v>
      </c>
      <c r="R623" s="5"/>
      <c r="S623" s="5">
        <v>170</v>
      </c>
      <c r="T623" s="5">
        <v>170</v>
      </c>
      <c r="U623" s="5">
        <v>170</v>
      </c>
    </row>
    <row r="624" spans="1:21" x14ac:dyDescent="0.25">
      <c r="A624" s="5" t="s">
        <v>4921</v>
      </c>
      <c r="B624" s="5" t="s">
        <v>4922</v>
      </c>
      <c r="C624" s="5" t="s">
        <v>3548</v>
      </c>
      <c r="D624" s="5" t="s">
        <v>3782</v>
      </c>
      <c r="E624" s="5" t="s">
        <v>4363</v>
      </c>
      <c r="F624" s="5" t="s">
        <v>3584</v>
      </c>
      <c r="G624" s="5" t="s">
        <v>3501</v>
      </c>
      <c r="H624" s="5"/>
      <c r="I624" s="5" t="s">
        <v>3448</v>
      </c>
      <c r="J624" s="5" t="s">
        <v>3783</v>
      </c>
      <c r="K624" s="5" t="s">
        <v>4363</v>
      </c>
      <c r="L624" s="5">
        <v>28</v>
      </c>
      <c r="M624" s="5">
        <v>4</v>
      </c>
      <c r="N624" s="5" t="s">
        <v>3585</v>
      </c>
      <c r="O624" s="5" t="s">
        <v>3502</v>
      </c>
      <c r="P624" s="5">
        <v>4</v>
      </c>
      <c r="Q624" s="5">
        <v>1</v>
      </c>
      <c r="R624" s="5"/>
      <c r="S624" s="5">
        <v>112</v>
      </c>
      <c r="T624" s="5">
        <v>112</v>
      </c>
      <c r="U624" s="5">
        <v>112</v>
      </c>
    </row>
    <row r="625" spans="1:21" x14ac:dyDescent="0.25">
      <c r="A625" s="5" t="s">
        <v>4923</v>
      </c>
      <c r="B625" s="5" t="s">
        <v>4924</v>
      </c>
      <c r="C625" s="5" t="s">
        <v>3548</v>
      </c>
      <c r="D625" s="5" t="s">
        <v>3782</v>
      </c>
      <c r="E625" s="5" t="s">
        <v>4363</v>
      </c>
      <c r="F625" s="5" t="s">
        <v>3584</v>
      </c>
      <c r="G625" s="5" t="s">
        <v>3493</v>
      </c>
      <c r="H625" s="5"/>
      <c r="I625" s="5" t="s">
        <v>3448</v>
      </c>
      <c r="J625" s="5" t="s">
        <v>3783</v>
      </c>
      <c r="K625" s="5" t="s">
        <v>4363</v>
      </c>
      <c r="L625" s="5">
        <v>28</v>
      </c>
      <c r="M625" s="5">
        <v>4</v>
      </c>
      <c r="N625" s="5" t="s">
        <v>3585</v>
      </c>
      <c r="O625" s="5" t="s">
        <v>3494</v>
      </c>
      <c r="P625" s="5">
        <v>4</v>
      </c>
      <c r="Q625" s="5">
        <v>1</v>
      </c>
      <c r="R625" s="5"/>
      <c r="S625" s="5">
        <v>98</v>
      </c>
      <c r="T625" s="5">
        <v>98</v>
      </c>
      <c r="U625" s="5">
        <v>98</v>
      </c>
    </row>
    <row r="626" spans="1:21" x14ac:dyDescent="0.25">
      <c r="A626" s="5" t="s">
        <v>4287</v>
      </c>
      <c r="B626" s="5" t="s">
        <v>4288</v>
      </c>
      <c r="C626" s="5" t="s">
        <v>3548</v>
      </c>
      <c r="D626" s="5" t="s">
        <v>3782</v>
      </c>
      <c r="E626" s="5" t="s">
        <v>4252</v>
      </c>
      <c r="F626" s="5" t="s">
        <v>4004</v>
      </c>
      <c r="G626" s="5" t="s">
        <v>4255</v>
      </c>
      <c r="H626" s="5"/>
      <c r="I626" s="5" t="s">
        <v>3448</v>
      </c>
      <c r="J626" s="5" t="s">
        <v>3783</v>
      </c>
      <c r="K626" s="5" t="s">
        <v>4253</v>
      </c>
      <c r="L626" s="5">
        <v>49</v>
      </c>
      <c r="M626" s="5">
        <v>2</v>
      </c>
      <c r="N626" s="5" t="s">
        <v>4005</v>
      </c>
      <c r="O626" s="5" t="s">
        <v>4256</v>
      </c>
      <c r="P626" s="5">
        <v>4</v>
      </c>
      <c r="Q626" s="5">
        <v>1</v>
      </c>
      <c r="R626" s="5"/>
      <c r="S626" s="5">
        <v>109</v>
      </c>
      <c r="T626" s="5">
        <v>109</v>
      </c>
      <c r="U626" s="5">
        <v>109</v>
      </c>
    </row>
    <row r="627" spans="1:21" x14ac:dyDescent="0.25">
      <c r="A627" s="5" t="s">
        <v>4931</v>
      </c>
      <c r="B627" s="5" t="s">
        <v>4932</v>
      </c>
      <c r="C627" s="5" t="s">
        <v>3548</v>
      </c>
      <c r="D627" s="5" t="s">
        <v>3782</v>
      </c>
      <c r="E627" s="5" t="s">
        <v>4363</v>
      </c>
      <c r="F627" s="5" t="s">
        <v>4390</v>
      </c>
      <c r="G627" s="5" t="s">
        <v>3493</v>
      </c>
      <c r="H627" s="5"/>
      <c r="I627" s="5" t="s">
        <v>3448</v>
      </c>
      <c r="J627" s="5" t="s">
        <v>3783</v>
      </c>
      <c r="K627" s="5" t="s">
        <v>4363</v>
      </c>
      <c r="L627" s="5">
        <v>28</v>
      </c>
      <c r="M627" s="5">
        <v>4</v>
      </c>
      <c r="N627" s="5" t="s">
        <v>4391</v>
      </c>
      <c r="O627" s="5" t="s">
        <v>3494</v>
      </c>
      <c r="P627" s="5">
        <v>4</v>
      </c>
      <c r="Q627" s="5">
        <v>1</v>
      </c>
      <c r="R627" s="5"/>
      <c r="S627" s="5">
        <v>94</v>
      </c>
      <c r="T627" s="5">
        <v>94</v>
      </c>
      <c r="U627" s="5">
        <v>94</v>
      </c>
    </row>
    <row r="628" spans="1:21" x14ac:dyDescent="0.25">
      <c r="A628" s="5" t="s">
        <v>4293</v>
      </c>
      <c r="B628" s="5" t="s">
        <v>4294</v>
      </c>
      <c r="C628" s="5" t="s">
        <v>3548</v>
      </c>
      <c r="D628" s="5" t="s">
        <v>3782</v>
      </c>
      <c r="E628" s="5" t="s">
        <v>4252</v>
      </c>
      <c r="F628" s="5" t="s">
        <v>4004</v>
      </c>
      <c r="G628" s="5" t="s">
        <v>4255</v>
      </c>
      <c r="H628" s="5"/>
      <c r="I628" s="5" t="s">
        <v>3448</v>
      </c>
      <c r="J628" s="5" t="s">
        <v>3783</v>
      </c>
      <c r="K628" s="5" t="s">
        <v>4253</v>
      </c>
      <c r="L628" s="5">
        <v>49</v>
      </c>
      <c r="M628" s="5">
        <v>3</v>
      </c>
      <c r="N628" s="5" t="s">
        <v>4005</v>
      </c>
      <c r="O628" s="5" t="s">
        <v>4256</v>
      </c>
      <c r="P628" s="5">
        <v>4</v>
      </c>
      <c r="Q628" s="5">
        <v>1</v>
      </c>
      <c r="R628" s="5"/>
      <c r="S628" s="5">
        <v>165</v>
      </c>
      <c r="T628" s="5">
        <v>165</v>
      </c>
      <c r="U628" s="5">
        <v>165</v>
      </c>
    </row>
    <row r="629" spans="1:21" x14ac:dyDescent="0.25">
      <c r="A629" s="5" t="s">
        <v>4935</v>
      </c>
      <c r="B629" s="5" t="s">
        <v>4936</v>
      </c>
      <c r="C629" s="5" t="s">
        <v>3548</v>
      </c>
      <c r="D629" s="5" t="s">
        <v>3782</v>
      </c>
      <c r="E629" s="5" t="s">
        <v>4363</v>
      </c>
      <c r="F629" s="5" t="s">
        <v>4004</v>
      </c>
      <c r="G629" s="5" t="s">
        <v>3493</v>
      </c>
      <c r="H629" s="5"/>
      <c r="I629" s="5" t="s">
        <v>3448</v>
      </c>
      <c r="J629" s="5" t="s">
        <v>3783</v>
      </c>
      <c r="K629" s="5" t="s">
        <v>4363</v>
      </c>
      <c r="L629" s="5">
        <v>28</v>
      </c>
      <c r="M629" s="5">
        <v>4</v>
      </c>
      <c r="N629" s="5" t="s">
        <v>4005</v>
      </c>
      <c r="O629" s="5" t="s">
        <v>3494</v>
      </c>
      <c r="P629" s="5">
        <v>4</v>
      </c>
      <c r="Q629" s="5">
        <v>1</v>
      </c>
      <c r="R629" s="5"/>
      <c r="S629" s="5">
        <v>98</v>
      </c>
      <c r="T629" s="5">
        <v>98</v>
      </c>
      <c r="U629" s="5">
        <v>98</v>
      </c>
    </row>
    <row r="630" spans="1:21" x14ac:dyDescent="0.25">
      <c r="A630" s="5" t="s">
        <v>4297</v>
      </c>
      <c r="B630" s="5" t="s">
        <v>4298</v>
      </c>
      <c r="C630" s="5" t="s">
        <v>3548</v>
      </c>
      <c r="D630" s="5" t="s">
        <v>3782</v>
      </c>
      <c r="E630" s="5" t="s">
        <v>4252</v>
      </c>
      <c r="F630" s="5" t="s">
        <v>4004</v>
      </c>
      <c r="G630" s="5" t="s">
        <v>4255</v>
      </c>
      <c r="H630" s="5"/>
      <c r="I630" s="5" t="s">
        <v>3448</v>
      </c>
      <c r="J630" s="5" t="s">
        <v>3783</v>
      </c>
      <c r="K630" s="5" t="s">
        <v>4253</v>
      </c>
      <c r="L630" s="5">
        <v>49</v>
      </c>
      <c r="M630" s="5">
        <v>4</v>
      </c>
      <c r="N630" s="5" t="s">
        <v>4005</v>
      </c>
      <c r="O630" s="5" t="s">
        <v>4256</v>
      </c>
      <c r="P630" s="5">
        <v>4</v>
      </c>
      <c r="Q630" s="5">
        <v>1</v>
      </c>
      <c r="R630" s="5"/>
      <c r="S630" s="5">
        <v>216</v>
      </c>
      <c r="T630" s="5">
        <v>216</v>
      </c>
      <c r="U630" s="5">
        <v>216</v>
      </c>
    </row>
    <row r="631" spans="1:21" x14ac:dyDescent="0.25">
      <c r="A631" s="5" t="s">
        <v>4307</v>
      </c>
      <c r="B631" s="5" t="s">
        <v>4308</v>
      </c>
      <c r="C631" s="5" t="s">
        <v>3548</v>
      </c>
      <c r="D631" s="5" t="s">
        <v>3782</v>
      </c>
      <c r="E631" s="5" t="s">
        <v>4252</v>
      </c>
      <c r="F631" s="5" t="s">
        <v>4004</v>
      </c>
      <c r="G631" s="5" t="s">
        <v>4255</v>
      </c>
      <c r="H631" s="5"/>
      <c r="I631" s="5" t="s">
        <v>3448</v>
      </c>
      <c r="J631" s="5" t="s">
        <v>3783</v>
      </c>
      <c r="K631" s="5" t="s">
        <v>4253</v>
      </c>
      <c r="L631" s="5">
        <v>49</v>
      </c>
      <c r="M631" s="5">
        <v>1</v>
      </c>
      <c r="N631" s="5" t="s">
        <v>4005</v>
      </c>
      <c r="O631" s="5" t="s">
        <v>4256</v>
      </c>
      <c r="P631" s="5">
        <v>4</v>
      </c>
      <c r="Q631" s="5">
        <v>1</v>
      </c>
      <c r="R631" s="5"/>
      <c r="S631" s="5">
        <v>58</v>
      </c>
      <c r="T631" s="5">
        <v>58</v>
      </c>
      <c r="U631" s="5">
        <v>58</v>
      </c>
    </row>
    <row r="632" spans="1:21" x14ac:dyDescent="0.25">
      <c r="A632" s="5" t="s">
        <v>4941</v>
      </c>
      <c r="B632" s="5" t="s">
        <v>4942</v>
      </c>
      <c r="C632" s="5" t="s">
        <v>3548</v>
      </c>
      <c r="D632" s="5" t="s">
        <v>3782</v>
      </c>
      <c r="E632" s="5" t="s">
        <v>4363</v>
      </c>
      <c r="F632" s="5" t="s">
        <v>4004</v>
      </c>
      <c r="G632" s="5" t="s">
        <v>3493</v>
      </c>
      <c r="H632" s="5"/>
      <c r="I632" s="5" t="s">
        <v>3448</v>
      </c>
      <c r="J632" s="5" t="s">
        <v>3783</v>
      </c>
      <c r="K632" s="5" t="s">
        <v>4363</v>
      </c>
      <c r="L632" s="5">
        <v>28</v>
      </c>
      <c r="M632" s="5">
        <v>1</v>
      </c>
      <c r="N632" s="5" t="s">
        <v>4005</v>
      </c>
      <c r="O632" s="5" t="s">
        <v>3494</v>
      </c>
      <c r="P632" s="5">
        <v>4</v>
      </c>
      <c r="Q632" s="5">
        <v>1</v>
      </c>
      <c r="R632" s="5"/>
      <c r="S632" s="5">
        <v>26</v>
      </c>
      <c r="T632" s="5">
        <v>26</v>
      </c>
      <c r="U632" s="5">
        <v>26</v>
      </c>
    </row>
    <row r="633" spans="1:21" x14ac:dyDescent="0.25">
      <c r="A633" s="5" t="s">
        <v>4965</v>
      </c>
      <c r="B633" s="5" t="s">
        <v>4966</v>
      </c>
      <c r="C633" s="5" t="s">
        <v>3548</v>
      </c>
      <c r="D633" s="5" t="s">
        <v>3782</v>
      </c>
      <c r="E633" s="5" t="s">
        <v>4363</v>
      </c>
      <c r="F633" s="5" t="s">
        <v>4004</v>
      </c>
      <c r="G633" s="5" t="s">
        <v>3493</v>
      </c>
      <c r="H633" s="5"/>
      <c r="I633" s="5" t="s">
        <v>3448</v>
      </c>
      <c r="J633" s="5" t="s">
        <v>3783</v>
      </c>
      <c r="K633" s="5" t="s">
        <v>4363</v>
      </c>
      <c r="L633" s="5">
        <v>28</v>
      </c>
      <c r="M633" s="5">
        <v>6</v>
      </c>
      <c r="N633" s="5" t="s">
        <v>4005</v>
      </c>
      <c r="O633" s="5" t="s">
        <v>3494</v>
      </c>
      <c r="P633" s="5">
        <v>4</v>
      </c>
      <c r="Q633" s="5">
        <v>2</v>
      </c>
      <c r="R633" s="5"/>
      <c r="S633" s="5">
        <v>146</v>
      </c>
      <c r="T633" s="5">
        <v>146</v>
      </c>
      <c r="U633" s="5">
        <v>146</v>
      </c>
    </row>
    <row r="634" spans="1:21" x14ac:dyDescent="0.25">
      <c r="A634" s="5" t="s">
        <v>4337</v>
      </c>
      <c r="B634" s="5" t="s">
        <v>4338</v>
      </c>
      <c r="C634" s="5" t="s">
        <v>3548</v>
      </c>
      <c r="D634" s="5" t="s">
        <v>3782</v>
      </c>
      <c r="E634" s="5" t="s">
        <v>4252</v>
      </c>
      <c r="F634" s="5" t="s">
        <v>4004</v>
      </c>
      <c r="G634" s="5" t="s">
        <v>4255</v>
      </c>
      <c r="H634" s="5"/>
      <c r="I634" s="5" t="s">
        <v>3448</v>
      </c>
      <c r="J634" s="5" t="s">
        <v>3783</v>
      </c>
      <c r="K634" s="5" t="s">
        <v>4253</v>
      </c>
      <c r="L634" s="5">
        <v>51</v>
      </c>
      <c r="M634" s="5">
        <v>1</v>
      </c>
      <c r="N634" s="5" t="s">
        <v>4005</v>
      </c>
      <c r="O634" s="5" t="s">
        <v>4256</v>
      </c>
      <c r="P634" s="5">
        <v>4</v>
      </c>
      <c r="Q634" s="5">
        <v>1</v>
      </c>
      <c r="R634" s="5"/>
      <c r="S634" s="5">
        <v>66</v>
      </c>
      <c r="T634" s="5">
        <v>66</v>
      </c>
      <c r="U634" s="5">
        <v>66</v>
      </c>
    </row>
    <row r="635" spans="1:21" x14ac:dyDescent="0.25">
      <c r="A635" s="5" t="s">
        <v>4359</v>
      </c>
      <c r="B635" s="5" t="s">
        <v>4360</v>
      </c>
      <c r="C635" s="5" t="s">
        <v>3548</v>
      </c>
      <c r="D635" s="5" t="s">
        <v>3782</v>
      </c>
      <c r="E635" s="5" t="s">
        <v>4252</v>
      </c>
      <c r="F635" s="5" t="s">
        <v>4004</v>
      </c>
      <c r="G635" s="5" t="s">
        <v>4255</v>
      </c>
      <c r="H635" s="5"/>
      <c r="I635" s="5" t="s">
        <v>3448</v>
      </c>
      <c r="J635" s="5" t="s">
        <v>3783</v>
      </c>
      <c r="K635" s="5" t="s">
        <v>4253</v>
      </c>
      <c r="L635" s="5">
        <v>80</v>
      </c>
      <c r="M635" s="5">
        <v>1</v>
      </c>
      <c r="N635" s="5" t="s">
        <v>4005</v>
      </c>
      <c r="O635" s="5" t="s">
        <v>4256</v>
      </c>
      <c r="P635" s="5">
        <v>5</v>
      </c>
      <c r="Q635" s="5">
        <v>1</v>
      </c>
      <c r="R635" s="5"/>
      <c r="S635" s="5">
        <v>89</v>
      </c>
      <c r="T635" s="5">
        <v>89</v>
      </c>
      <c r="U635" s="5">
        <v>89</v>
      </c>
    </row>
    <row r="636" spans="1:21" x14ac:dyDescent="0.25">
      <c r="A636" s="5" t="s">
        <v>4973</v>
      </c>
      <c r="B636" s="5" t="s">
        <v>4974</v>
      </c>
      <c r="C636" s="5" t="s">
        <v>3548</v>
      </c>
      <c r="D636" s="5" t="s">
        <v>3782</v>
      </c>
      <c r="E636" s="5" t="s">
        <v>4363</v>
      </c>
      <c r="F636" s="5" t="s">
        <v>4004</v>
      </c>
      <c r="G636" s="5" t="s">
        <v>3493</v>
      </c>
      <c r="H636" s="5"/>
      <c r="I636" s="5" t="s">
        <v>3448</v>
      </c>
      <c r="J636" s="5" t="s">
        <v>3783</v>
      </c>
      <c r="K636" s="5" t="s">
        <v>4363</v>
      </c>
      <c r="L636" s="5">
        <v>28</v>
      </c>
      <c r="M636" s="5">
        <v>6</v>
      </c>
      <c r="N636" s="5" t="s">
        <v>4005</v>
      </c>
      <c r="O636" s="5" t="s">
        <v>3494</v>
      </c>
      <c r="P636" s="5">
        <v>4</v>
      </c>
      <c r="Q636" s="5">
        <v>1</v>
      </c>
      <c r="R636" s="5"/>
      <c r="S636" s="5">
        <v>146</v>
      </c>
      <c r="T636" s="5">
        <v>146</v>
      </c>
      <c r="U636" s="5">
        <v>146</v>
      </c>
    </row>
    <row r="637" spans="1:21" x14ac:dyDescent="0.25">
      <c r="A637" s="5" t="s">
        <v>4979</v>
      </c>
      <c r="B637" s="5" t="s">
        <v>4980</v>
      </c>
      <c r="C637" s="5" t="s">
        <v>3548</v>
      </c>
      <c r="D637" s="5" t="s">
        <v>3782</v>
      </c>
      <c r="E637" s="5" t="s">
        <v>4363</v>
      </c>
      <c r="F637" s="5" t="s">
        <v>4004</v>
      </c>
      <c r="G637" s="5" t="s">
        <v>3493</v>
      </c>
      <c r="H637" s="5"/>
      <c r="I637" s="5" t="s">
        <v>3448</v>
      </c>
      <c r="J637" s="5" t="s">
        <v>3783</v>
      </c>
      <c r="K637" s="5" t="s">
        <v>4363</v>
      </c>
      <c r="L637" s="5">
        <v>28</v>
      </c>
      <c r="M637" s="5">
        <v>8</v>
      </c>
      <c r="N637" s="5" t="s">
        <v>4005</v>
      </c>
      <c r="O637" s="5" t="s">
        <v>3494</v>
      </c>
      <c r="P637" s="5">
        <v>4</v>
      </c>
      <c r="Q637" s="5">
        <v>2</v>
      </c>
      <c r="R637" s="5"/>
      <c r="S637" s="5">
        <v>196</v>
      </c>
      <c r="T637" s="5">
        <v>196</v>
      </c>
      <c r="U637" s="5">
        <v>196</v>
      </c>
    </row>
    <row r="638" spans="1:21" x14ac:dyDescent="0.25">
      <c r="A638" s="5" t="s">
        <v>4985</v>
      </c>
      <c r="B638" s="5" t="s">
        <v>4986</v>
      </c>
      <c r="C638" s="5" t="s">
        <v>3548</v>
      </c>
      <c r="D638" s="5" t="s">
        <v>3782</v>
      </c>
      <c r="E638" s="5" t="s">
        <v>4363</v>
      </c>
      <c r="F638" s="5" t="s">
        <v>4004</v>
      </c>
      <c r="G638" s="5" t="s">
        <v>3493</v>
      </c>
      <c r="H638" s="5"/>
      <c r="I638" s="5" t="s">
        <v>3448</v>
      </c>
      <c r="J638" s="5" t="s">
        <v>3783</v>
      </c>
      <c r="K638" s="5" t="s">
        <v>4363</v>
      </c>
      <c r="L638" s="5">
        <v>30</v>
      </c>
      <c r="M638" s="5">
        <v>10</v>
      </c>
      <c r="N638" s="5" t="s">
        <v>4005</v>
      </c>
      <c r="O638" s="5" t="s">
        <v>3494</v>
      </c>
      <c r="P638" s="5">
        <v>4</v>
      </c>
      <c r="Q638" s="5">
        <v>3</v>
      </c>
      <c r="R638" s="5"/>
      <c r="S638" s="5">
        <v>270</v>
      </c>
      <c r="T638" s="5">
        <v>270</v>
      </c>
      <c r="U638" s="5">
        <v>270</v>
      </c>
    </row>
    <row r="639" spans="1:21" x14ac:dyDescent="0.25">
      <c r="A639" s="5" t="s">
        <v>4991</v>
      </c>
      <c r="B639" s="5" t="s">
        <v>4992</v>
      </c>
      <c r="C639" s="5" t="s">
        <v>3548</v>
      </c>
      <c r="D639" s="5" t="s">
        <v>3782</v>
      </c>
      <c r="E639" s="5" t="s">
        <v>4363</v>
      </c>
      <c r="F639" s="5" t="s">
        <v>4004</v>
      </c>
      <c r="G639" s="5" t="s">
        <v>3493</v>
      </c>
      <c r="H639" s="5"/>
      <c r="I639" s="5" t="s">
        <v>3448</v>
      </c>
      <c r="J639" s="5" t="s">
        <v>3783</v>
      </c>
      <c r="K639" s="5" t="s">
        <v>4363</v>
      </c>
      <c r="L639" s="5">
        <v>30</v>
      </c>
      <c r="M639" s="5">
        <v>12</v>
      </c>
      <c r="N639" s="5" t="s">
        <v>4005</v>
      </c>
      <c r="O639" s="5" t="s">
        <v>3494</v>
      </c>
      <c r="P639" s="5">
        <v>4</v>
      </c>
      <c r="Q639" s="5">
        <v>3</v>
      </c>
      <c r="R639" s="5"/>
      <c r="S639" s="5">
        <v>323</v>
      </c>
      <c r="T639" s="5">
        <v>323</v>
      </c>
      <c r="U639" s="5">
        <v>323</v>
      </c>
    </row>
    <row r="640" spans="1:21" x14ac:dyDescent="0.25">
      <c r="A640" s="5" t="s">
        <v>4997</v>
      </c>
      <c r="B640" s="5" t="s">
        <v>4998</v>
      </c>
      <c r="C640" s="5" t="s">
        <v>3548</v>
      </c>
      <c r="D640" s="5" t="s">
        <v>3782</v>
      </c>
      <c r="E640" s="5" t="s">
        <v>4363</v>
      </c>
      <c r="F640" s="5" t="s">
        <v>3584</v>
      </c>
      <c r="G640" s="5" t="s">
        <v>3501</v>
      </c>
      <c r="H640" s="5"/>
      <c r="I640" s="5" t="s">
        <v>3448</v>
      </c>
      <c r="J640" s="5" t="s">
        <v>3783</v>
      </c>
      <c r="K640" s="5" t="s">
        <v>4363</v>
      </c>
      <c r="L640" s="5">
        <v>30</v>
      </c>
      <c r="M640" s="5">
        <v>2</v>
      </c>
      <c r="N640" s="5" t="s">
        <v>3585</v>
      </c>
      <c r="O640" s="5" t="s">
        <v>3502</v>
      </c>
      <c r="P640" s="5">
        <v>4</v>
      </c>
      <c r="Q640" s="5">
        <v>1</v>
      </c>
      <c r="R640" s="5"/>
      <c r="S640" s="5">
        <v>72</v>
      </c>
      <c r="T640" s="5">
        <v>72</v>
      </c>
      <c r="U640" s="5">
        <v>72</v>
      </c>
    </row>
    <row r="641" spans="1:21" x14ac:dyDescent="0.25">
      <c r="A641" s="5" t="s">
        <v>4999</v>
      </c>
      <c r="B641" s="5" t="s">
        <v>5000</v>
      </c>
      <c r="C641" s="5" t="s">
        <v>3548</v>
      </c>
      <c r="D641" s="5" t="s">
        <v>3782</v>
      </c>
      <c r="E641" s="5" t="s">
        <v>4363</v>
      </c>
      <c r="F641" s="5" t="s">
        <v>3584</v>
      </c>
      <c r="G641" s="5" t="s">
        <v>3493</v>
      </c>
      <c r="H641" s="5"/>
      <c r="I641" s="5" t="s">
        <v>3448</v>
      </c>
      <c r="J641" s="5" t="s">
        <v>3783</v>
      </c>
      <c r="K641" s="5" t="s">
        <v>4363</v>
      </c>
      <c r="L641" s="5">
        <v>30</v>
      </c>
      <c r="M641" s="5">
        <v>2</v>
      </c>
      <c r="N641" s="5" t="s">
        <v>3585</v>
      </c>
      <c r="O641" s="5" t="s">
        <v>3494</v>
      </c>
      <c r="P641" s="5">
        <v>4</v>
      </c>
      <c r="Q641" s="5">
        <v>1</v>
      </c>
      <c r="R641" s="5"/>
      <c r="S641" s="5">
        <v>54</v>
      </c>
      <c r="T641" s="5">
        <v>54</v>
      </c>
      <c r="U641" s="5">
        <v>54</v>
      </c>
    </row>
    <row r="642" spans="1:21" x14ac:dyDescent="0.25">
      <c r="A642" s="5" t="s">
        <v>5007</v>
      </c>
      <c r="B642" s="5" t="s">
        <v>5008</v>
      </c>
      <c r="C642" s="5" t="s">
        <v>3548</v>
      </c>
      <c r="D642" s="5" t="s">
        <v>3782</v>
      </c>
      <c r="E642" s="5" t="s">
        <v>4363</v>
      </c>
      <c r="F642" s="5" t="s">
        <v>4390</v>
      </c>
      <c r="G642" s="5" t="s">
        <v>3493</v>
      </c>
      <c r="H642" s="5"/>
      <c r="I642" s="5" t="s">
        <v>3448</v>
      </c>
      <c r="J642" s="5" t="s">
        <v>3783</v>
      </c>
      <c r="K642" s="5" t="s">
        <v>4363</v>
      </c>
      <c r="L642" s="5">
        <v>30</v>
      </c>
      <c r="M642" s="5">
        <v>2</v>
      </c>
      <c r="N642" s="5" t="s">
        <v>4391</v>
      </c>
      <c r="O642" s="5" t="s">
        <v>3494</v>
      </c>
      <c r="P642" s="5">
        <v>4</v>
      </c>
      <c r="Q642" s="5">
        <v>1</v>
      </c>
      <c r="R642" s="5"/>
      <c r="S642" s="5">
        <v>52</v>
      </c>
      <c r="T642" s="5">
        <v>52</v>
      </c>
      <c r="U642" s="5">
        <v>52</v>
      </c>
    </row>
    <row r="643" spans="1:21" x14ac:dyDescent="0.25">
      <c r="A643" s="5" t="s">
        <v>5015</v>
      </c>
      <c r="B643" s="5" t="s">
        <v>5016</v>
      </c>
      <c r="C643" s="5" t="s">
        <v>3548</v>
      </c>
      <c r="D643" s="5" t="s">
        <v>3782</v>
      </c>
      <c r="E643" s="5" t="s">
        <v>4363</v>
      </c>
      <c r="F643" s="5" t="s">
        <v>4004</v>
      </c>
      <c r="G643" s="5" t="s">
        <v>3501</v>
      </c>
      <c r="H643" s="5"/>
      <c r="I643" s="5" t="s">
        <v>3448</v>
      </c>
      <c r="J643" s="5" t="s">
        <v>3783</v>
      </c>
      <c r="K643" s="5" t="s">
        <v>4363</v>
      </c>
      <c r="L643" s="5">
        <v>30</v>
      </c>
      <c r="M643" s="5">
        <v>2</v>
      </c>
      <c r="N643" s="5" t="s">
        <v>4005</v>
      </c>
      <c r="O643" s="5" t="s">
        <v>3502</v>
      </c>
      <c r="P643" s="5">
        <v>4</v>
      </c>
      <c r="Q643" s="5">
        <v>1</v>
      </c>
      <c r="R643" s="5"/>
      <c r="S643" s="5">
        <v>69</v>
      </c>
      <c r="T643" s="5">
        <v>69</v>
      </c>
      <c r="U643" s="5">
        <v>69</v>
      </c>
    </row>
    <row r="644" spans="1:21" x14ac:dyDescent="0.25">
      <c r="A644" s="5" t="s">
        <v>5017</v>
      </c>
      <c r="B644" s="5" t="s">
        <v>5018</v>
      </c>
      <c r="C644" s="5" t="s">
        <v>3548</v>
      </c>
      <c r="D644" s="5" t="s">
        <v>3782</v>
      </c>
      <c r="E644" s="5" t="s">
        <v>4363</v>
      </c>
      <c r="F644" s="5" t="s">
        <v>4004</v>
      </c>
      <c r="G644" s="5" t="s">
        <v>3493</v>
      </c>
      <c r="H644" s="5"/>
      <c r="I644" s="5" t="s">
        <v>3448</v>
      </c>
      <c r="J644" s="5" t="s">
        <v>3783</v>
      </c>
      <c r="K644" s="5" t="s">
        <v>4363</v>
      </c>
      <c r="L644" s="5">
        <v>30</v>
      </c>
      <c r="M644" s="5">
        <v>2</v>
      </c>
      <c r="N644" s="5" t="s">
        <v>4005</v>
      </c>
      <c r="O644" s="5" t="s">
        <v>3494</v>
      </c>
      <c r="P644" s="5">
        <v>4</v>
      </c>
      <c r="Q644" s="5">
        <v>1</v>
      </c>
      <c r="R644" s="5"/>
      <c r="S644" s="5">
        <v>55</v>
      </c>
      <c r="T644" s="5">
        <v>55</v>
      </c>
      <c r="U644" s="5">
        <v>55</v>
      </c>
    </row>
    <row r="645" spans="1:21" x14ac:dyDescent="0.25">
      <c r="A645" s="5" t="s">
        <v>5027</v>
      </c>
      <c r="B645" s="5" t="s">
        <v>5028</v>
      </c>
      <c r="C645" s="5" t="s">
        <v>3548</v>
      </c>
      <c r="D645" s="5" t="s">
        <v>3782</v>
      </c>
      <c r="E645" s="5" t="s">
        <v>4363</v>
      </c>
      <c r="F645" s="5" t="s">
        <v>3584</v>
      </c>
      <c r="G645" s="5" t="s">
        <v>3501</v>
      </c>
      <c r="H645" s="5"/>
      <c r="I645" s="5" t="s">
        <v>3448</v>
      </c>
      <c r="J645" s="5" t="s">
        <v>3783</v>
      </c>
      <c r="K645" s="5" t="s">
        <v>4363</v>
      </c>
      <c r="L645" s="5">
        <v>30</v>
      </c>
      <c r="M645" s="5">
        <v>3</v>
      </c>
      <c r="N645" s="5" t="s">
        <v>3585</v>
      </c>
      <c r="O645" s="5" t="s">
        <v>3502</v>
      </c>
      <c r="P645" s="5">
        <v>4</v>
      </c>
      <c r="Q645" s="5">
        <v>2</v>
      </c>
      <c r="R645" s="5"/>
      <c r="S645" s="5">
        <v>111</v>
      </c>
      <c r="T645" s="5">
        <v>111</v>
      </c>
      <c r="U645" s="5">
        <v>111</v>
      </c>
    </row>
    <row r="646" spans="1:21" x14ac:dyDescent="0.25">
      <c r="A646" s="5" t="s">
        <v>5029</v>
      </c>
      <c r="B646" s="5" t="s">
        <v>5030</v>
      </c>
      <c r="C646" s="5" t="s">
        <v>3548</v>
      </c>
      <c r="D646" s="5" t="s">
        <v>3782</v>
      </c>
      <c r="E646" s="5" t="s">
        <v>4363</v>
      </c>
      <c r="F646" s="5" t="s">
        <v>3584</v>
      </c>
      <c r="G646" s="5" t="s">
        <v>3493</v>
      </c>
      <c r="H646" s="5"/>
      <c r="I646" s="5" t="s">
        <v>3448</v>
      </c>
      <c r="J646" s="5" t="s">
        <v>3783</v>
      </c>
      <c r="K646" s="5" t="s">
        <v>4363</v>
      </c>
      <c r="L646" s="5">
        <v>30</v>
      </c>
      <c r="M646" s="5">
        <v>3</v>
      </c>
      <c r="N646" s="5" t="s">
        <v>3585</v>
      </c>
      <c r="O646" s="5" t="s">
        <v>3494</v>
      </c>
      <c r="P646" s="5">
        <v>4</v>
      </c>
      <c r="Q646" s="5">
        <v>2</v>
      </c>
      <c r="R646" s="5"/>
      <c r="S646" s="5">
        <v>83</v>
      </c>
      <c r="T646" s="5">
        <v>83</v>
      </c>
      <c r="U646" s="5">
        <v>83</v>
      </c>
    </row>
    <row r="647" spans="1:21" x14ac:dyDescent="0.25">
      <c r="A647" s="5" t="s">
        <v>5033</v>
      </c>
      <c r="B647" s="5" t="s">
        <v>5034</v>
      </c>
      <c r="C647" s="5" t="s">
        <v>3548</v>
      </c>
      <c r="D647" s="5" t="s">
        <v>3782</v>
      </c>
      <c r="E647" s="5" t="s">
        <v>4363</v>
      </c>
      <c r="F647" s="5" t="s">
        <v>3584</v>
      </c>
      <c r="G647" s="5" t="s">
        <v>3501</v>
      </c>
      <c r="H647" s="5"/>
      <c r="I647" s="5" t="s">
        <v>3448</v>
      </c>
      <c r="J647" s="5" t="s">
        <v>3783</v>
      </c>
      <c r="K647" s="5" t="s">
        <v>4363</v>
      </c>
      <c r="L647" s="5">
        <v>30</v>
      </c>
      <c r="M647" s="5">
        <v>3</v>
      </c>
      <c r="N647" s="5" t="s">
        <v>3585</v>
      </c>
      <c r="O647" s="5" t="s">
        <v>3502</v>
      </c>
      <c r="P647" s="5">
        <v>4</v>
      </c>
      <c r="Q647" s="5">
        <v>1</v>
      </c>
      <c r="R647" s="5"/>
      <c r="S647" s="5">
        <v>105</v>
      </c>
      <c r="T647" s="5">
        <v>105</v>
      </c>
      <c r="U647" s="5">
        <v>105</v>
      </c>
    </row>
    <row r="648" spans="1:21" x14ac:dyDescent="0.25">
      <c r="A648" s="5" t="s">
        <v>5035</v>
      </c>
      <c r="B648" s="5" t="s">
        <v>5036</v>
      </c>
      <c r="C648" s="5" t="s">
        <v>3548</v>
      </c>
      <c r="D648" s="5" t="s">
        <v>3782</v>
      </c>
      <c r="E648" s="5" t="s">
        <v>4363</v>
      </c>
      <c r="F648" s="5" t="s">
        <v>3584</v>
      </c>
      <c r="G648" s="5" t="s">
        <v>3493</v>
      </c>
      <c r="H648" s="5"/>
      <c r="I648" s="5" t="s">
        <v>3448</v>
      </c>
      <c r="J648" s="5" t="s">
        <v>3783</v>
      </c>
      <c r="K648" s="5" t="s">
        <v>4363</v>
      </c>
      <c r="L648" s="5">
        <v>30</v>
      </c>
      <c r="M648" s="5">
        <v>3</v>
      </c>
      <c r="N648" s="5" t="s">
        <v>3585</v>
      </c>
      <c r="O648" s="5" t="s">
        <v>3494</v>
      </c>
      <c r="P648" s="5">
        <v>4</v>
      </c>
      <c r="Q648" s="5">
        <v>1</v>
      </c>
      <c r="R648" s="5"/>
      <c r="S648" s="5">
        <v>79</v>
      </c>
      <c r="T648" s="5">
        <v>79</v>
      </c>
      <c r="U648" s="5">
        <v>79</v>
      </c>
    </row>
    <row r="649" spans="1:21" x14ac:dyDescent="0.25">
      <c r="A649" s="5" t="s">
        <v>5041</v>
      </c>
      <c r="B649" s="5" t="s">
        <v>5042</v>
      </c>
      <c r="C649" s="5" t="s">
        <v>3548</v>
      </c>
      <c r="D649" s="5" t="s">
        <v>3782</v>
      </c>
      <c r="E649" s="5" t="s">
        <v>4363</v>
      </c>
      <c r="F649" s="5" t="s">
        <v>4390</v>
      </c>
      <c r="G649" s="5" t="s">
        <v>3493</v>
      </c>
      <c r="H649" s="5"/>
      <c r="I649" s="5" t="s">
        <v>3448</v>
      </c>
      <c r="J649" s="5" t="s">
        <v>3783</v>
      </c>
      <c r="K649" s="5" t="s">
        <v>4363</v>
      </c>
      <c r="L649" s="5">
        <v>30</v>
      </c>
      <c r="M649" s="5">
        <v>3</v>
      </c>
      <c r="N649" s="5" t="s">
        <v>4391</v>
      </c>
      <c r="O649" s="5" t="s">
        <v>3494</v>
      </c>
      <c r="P649" s="5">
        <v>4</v>
      </c>
      <c r="Q649" s="5">
        <v>1</v>
      </c>
      <c r="R649" s="5"/>
      <c r="S649" s="5">
        <v>76</v>
      </c>
      <c r="T649" s="5">
        <v>76</v>
      </c>
      <c r="U649" s="5">
        <v>76</v>
      </c>
    </row>
    <row r="650" spans="1:21" x14ac:dyDescent="0.25">
      <c r="A650" s="5" t="s">
        <v>5045</v>
      </c>
      <c r="B650" s="5" t="s">
        <v>5046</v>
      </c>
      <c r="C650" s="5" t="s">
        <v>3548</v>
      </c>
      <c r="D650" s="5" t="s">
        <v>3782</v>
      </c>
      <c r="E650" s="5" t="s">
        <v>4363</v>
      </c>
      <c r="F650" s="5" t="s">
        <v>4004</v>
      </c>
      <c r="G650" s="5" t="s">
        <v>3493</v>
      </c>
      <c r="H650" s="5"/>
      <c r="I650" s="5" t="s">
        <v>3448</v>
      </c>
      <c r="J650" s="5" t="s">
        <v>3783</v>
      </c>
      <c r="K650" s="5" t="s">
        <v>4363</v>
      </c>
      <c r="L650" s="5">
        <v>30</v>
      </c>
      <c r="M650" s="5">
        <v>3</v>
      </c>
      <c r="N650" s="5" t="s">
        <v>4005</v>
      </c>
      <c r="O650" s="5" t="s">
        <v>3494</v>
      </c>
      <c r="P650" s="5">
        <v>4</v>
      </c>
      <c r="Q650" s="5">
        <v>1</v>
      </c>
      <c r="R650" s="5"/>
      <c r="S650" s="5">
        <v>81</v>
      </c>
      <c r="T650" s="5">
        <v>81</v>
      </c>
      <c r="U650" s="5">
        <v>81</v>
      </c>
    </row>
    <row r="651" spans="1:21" x14ac:dyDescent="0.25">
      <c r="A651" s="5" t="s">
        <v>5053</v>
      </c>
      <c r="B651" s="5" t="s">
        <v>5054</v>
      </c>
      <c r="C651" s="5" t="s">
        <v>3548</v>
      </c>
      <c r="D651" s="5" t="s">
        <v>3782</v>
      </c>
      <c r="E651" s="5" t="s">
        <v>4363</v>
      </c>
      <c r="F651" s="5" t="s">
        <v>3584</v>
      </c>
      <c r="G651" s="5" t="s">
        <v>3501</v>
      </c>
      <c r="H651" s="5"/>
      <c r="I651" s="5" t="s">
        <v>3448</v>
      </c>
      <c r="J651" s="5" t="s">
        <v>3783</v>
      </c>
      <c r="K651" s="5" t="s">
        <v>4363</v>
      </c>
      <c r="L651" s="5">
        <v>30</v>
      </c>
      <c r="M651" s="5">
        <v>1</v>
      </c>
      <c r="N651" s="5" t="s">
        <v>3585</v>
      </c>
      <c r="O651" s="5" t="s">
        <v>3502</v>
      </c>
      <c r="P651" s="5">
        <v>4</v>
      </c>
      <c r="Q651" s="5">
        <v>1</v>
      </c>
      <c r="R651" s="5"/>
      <c r="S651" s="5">
        <v>39</v>
      </c>
      <c r="T651" s="5">
        <v>39</v>
      </c>
      <c r="U651" s="5">
        <v>39</v>
      </c>
    </row>
    <row r="652" spans="1:21" x14ac:dyDescent="0.25">
      <c r="A652" s="5" t="s">
        <v>5055</v>
      </c>
      <c r="B652" s="5" t="s">
        <v>5056</v>
      </c>
      <c r="C652" s="5" t="s">
        <v>3548</v>
      </c>
      <c r="D652" s="5" t="s">
        <v>3782</v>
      </c>
      <c r="E652" s="5" t="s">
        <v>4363</v>
      </c>
      <c r="F652" s="5" t="s">
        <v>3584</v>
      </c>
      <c r="G652" s="5" t="s">
        <v>3493</v>
      </c>
      <c r="H652" s="5"/>
      <c r="I652" s="5" t="s">
        <v>3448</v>
      </c>
      <c r="J652" s="5" t="s">
        <v>3783</v>
      </c>
      <c r="K652" s="5" t="s">
        <v>4363</v>
      </c>
      <c r="L652" s="5">
        <v>30</v>
      </c>
      <c r="M652" s="5">
        <v>1</v>
      </c>
      <c r="N652" s="5" t="s">
        <v>3585</v>
      </c>
      <c r="O652" s="5" t="s">
        <v>3494</v>
      </c>
      <c r="P652" s="5">
        <v>4</v>
      </c>
      <c r="Q652" s="5">
        <v>1</v>
      </c>
      <c r="R652" s="5"/>
      <c r="S652" s="5">
        <v>29</v>
      </c>
      <c r="T652" s="5">
        <v>29</v>
      </c>
      <c r="U652" s="5">
        <v>29</v>
      </c>
    </row>
    <row r="653" spans="1:21" x14ac:dyDescent="0.25">
      <c r="A653" s="5" t="s">
        <v>5073</v>
      </c>
      <c r="B653" s="5" t="s">
        <v>5074</v>
      </c>
      <c r="C653" s="5" t="s">
        <v>3548</v>
      </c>
      <c r="D653" s="5" t="s">
        <v>3782</v>
      </c>
      <c r="E653" s="5" t="s">
        <v>4363</v>
      </c>
      <c r="F653" s="5" t="s">
        <v>4390</v>
      </c>
      <c r="G653" s="5" t="s">
        <v>3501</v>
      </c>
      <c r="H653" s="5"/>
      <c r="I653" s="5" t="s">
        <v>3448</v>
      </c>
      <c r="J653" s="5" t="s">
        <v>3783</v>
      </c>
      <c r="K653" s="5" t="s">
        <v>4363</v>
      </c>
      <c r="L653" s="5">
        <v>30</v>
      </c>
      <c r="M653" s="5">
        <v>1</v>
      </c>
      <c r="N653" s="5" t="s">
        <v>4391</v>
      </c>
      <c r="O653" s="5" t="s">
        <v>3502</v>
      </c>
      <c r="P653" s="5">
        <v>4</v>
      </c>
      <c r="Q653" s="5">
        <v>1</v>
      </c>
      <c r="R653" s="5"/>
      <c r="S653" s="5">
        <v>32</v>
      </c>
      <c r="T653" s="5">
        <v>32</v>
      </c>
      <c r="U653" s="5">
        <v>32</v>
      </c>
    </row>
    <row r="654" spans="1:21" x14ac:dyDescent="0.25">
      <c r="A654" s="5" t="s">
        <v>5075</v>
      </c>
      <c r="B654" s="5" t="s">
        <v>5076</v>
      </c>
      <c r="C654" s="5" t="s">
        <v>3548</v>
      </c>
      <c r="D654" s="5" t="s">
        <v>3782</v>
      </c>
      <c r="E654" s="5" t="s">
        <v>4363</v>
      </c>
      <c r="F654" s="5" t="s">
        <v>4390</v>
      </c>
      <c r="G654" s="5" t="s">
        <v>3493</v>
      </c>
      <c r="H654" s="5"/>
      <c r="I654" s="5" t="s">
        <v>3448</v>
      </c>
      <c r="J654" s="5" t="s">
        <v>3783</v>
      </c>
      <c r="K654" s="5" t="s">
        <v>4363</v>
      </c>
      <c r="L654" s="5">
        <v>30</v>
      </c>
      <c r="M654" s="5">
        <v>1</v>
      </c>
      <c r="N654" s="5" t="s">
        <v>4391</v>
      </c>
      <c r="O654" s="5" t="s">
        <v>3494</v>
      </c>
      <c r="P654" s="5">
        <v>4</v>
      </c>
      <c r="Q654" s="5">
        <v>1</v>
      </c>
      <c r="R654" s="5"/>
      <c r="S654" s="5">
        <v>28</v>
      </c>
      <c r="T654" s="5">
        <v>28</v>
      </c>
      <c r="U654" s="5">
        <v>28</v>
      </c>
    </row>
    <row r="655" spans="1:21" x14ac:dyDescent="0.25">
      <c r="A655" s="5" t="s">
        <v>5083</v>
      </c>
      <c r="B655" s="5" t="s">
        <v>5084</v>
      </c>
      <c r="C655" s="5" t="s">
        <v>3548</v>
      </c>
      <c r="D655" s="5" t="s">
        <v>3782</v>
      </c>
      <c r="E655" s="5" t="s">
        <v>4363</v>
      </c>
      <c r="F655" s="5" t="s">
        <v>3584</v>
      </c>
      <c r="G655" s="5" t="s">
        <v>3501</v>
      </c>
      <c r="H655" s="5"/>
      <c r="I655" s="5" t="s">
        <v>3448</v>
      </c>
      <c r="J655" s="5" t="s">
        <v>3783</v>
      </c>
      <c r="K655" s="5" t="s">
        <v>4363</v>
      </c>
      <c r="L655" s="5">
        <v>30</v>
      </c>
      <c r="M655" s="5">
        <v>4</v>
      </c>
      <c r="N655" s="5" t="s">
        <v>3585</v>
      </c>
      <c r="O655" s="5" t="s">
        <v>3502</v>
      </c>
      <c r="P655" s="5">
        <v>4</v>
      </c>
      <c r="Q655" s="5">
        <v>2</v>
      </c>
      <c r="R655" s="5"/>
      <c r="S655" s="5">
        <v>144</v>
      </c>
      <c r="T655" s="5">
        <v>144</v>
      </c>
      <c r="U655" s="5">
        <v>144</v>
      </c>
    </row>
    <row r="656" spans="1:21" x14ac:dyDescent="0.25">
      <c r="A656" s="5" t="s">
        <v>5085</v>
      </c>
      <c r="B656" s="5" t="s">
        <v>5086</v>
      </c>
      <c r="C656" s="5" t="s">
        <v>3548</v>
      </c>
      <c r="D656" s="5" t="s">
        <v>3782</v>
      </c>
      <c r="E656" s="5" t="s">
        <v>4363</v>
      </c>
      <c r="F656" s="5" t="s">
        <v>3584</v>
      </c>
      <c r="G656" s="5" t="s">
        <v>3493</v>
      </c>
      <c r="H656" s="5"/>
      <c r="I656" s="5" t="s">
        <v>3448</v>
      </c>
      <c r="J656" s="5" t="s">
        <v>3783</v>
      </c>
      <c r="K656" s="5" t="s">
        <v>4363</v>
      </c>
      <c r="L656" s="5">
        <v>30</v>
      </c>
      <c r="M656" s="5">
        <v>4</v>
      </c>
      <c r="N656" s="5" t="s">
        <v>3585</v>
      </c>
      <c r="O656" s="5" t="s">
        <v>3494</v>
      </c>
      <c r="P656" s="5">
        <v>4</v>
      </c>
      <c r="Q656" s="5">
        <v>2</v>
      </c>
      <c r="R656" s="5"/>
      <c r="S656" s="5">
        <v>108</v>
      </c>
      <c r="T656" s="5">
        <v>108</v>
      </c>
      <c r="U656" s="5">
        <v>108</v>
      </c>
    </row>
    <row r="657" spans="1:21" x14ac:dyDescent="0.25">
      <c r="A657" s="5" t="s">
        <v>5089</v>
      </c>
      <c r="B657" s="5" t="s">
        <v>5090</v>
      </c>
      <c r="C657" s="5" t="s">
        <v>3548</v>
      </c>
      <c r="D657" s="5" t="s">
        <v>3782</v>
      </c>
      <c r="E657" s="5" t="s">
        <v>4363</v>
      </c>
      <c r="F657" s="5" t="s">
        <v>3584</v>
      </c>
      <c r="G657" s="5" t="s">
        <v>3493</v>
      </c>
      <c r="H657" s="5"/>
      <c r="I657" s="5" t="s">
        <v>3448</v>
      </c>
      <c r="J657" s="5" t="s">
        <v>3783</v>
      </c>
      <c r="K657" s="5" t="s">
        <v>4363</v>
      </c>
      <c r="L657" s="5">
        <v>30</v>
      </c>
      <c r="M657" s="5">
        <v>4</v>
      </c>
      <c r="N657" s="5" t="s">
        <v>3585</v>
      </c>
      <c r="O657" s="5" t="s">
        <v>3494</v>
      </c>
      <c r="P657" s="5">
        <v>4</v>
      </c>
      <c r="Q657" s="5">
        <v>1</v>
      </c>
      <c r="R657" s="5"/>
      <c r="S657" s="5">
        <v>104</v>
      </c>
      <c r="T657" s="5">
        <v>104</v>
      </c>
      <c r="U657" s="5">
        <v>104</v>
      </c>
    </row>
    <row r="658" spans="1:21" x14ac:dyDescent="0.25">
      <c r="A658" s="5" t="s">
        <v>5093</v>
      </c>
      <c r="B658" s="5" t="s">
        <v>5094</v>
      </c>
      <c r="C658" s="5" t="s">
        <v>3548</v>
      </c>
      <c r="D658" s="5" t="s">
        <v>3782</v>
      </c>
      <c r="E658" s="5" t="s">
        <v>4363</v>
      </c>
      <c r="F658" s="5" t="s">
        <v>4390</v>
      </c>
      <c r="G658" s="5" t="s">
        <v>3493</v>
      </c>
      <c r="H658" s="5"/>
      <c r="I658" s="5" t="s">
        <v>3448</v>
      </c>
      <c r="J658" s="5" t="s">
        <v>3783</v>
      </c>
      <c r="K658" s="5" t="s">
        <v>4363</v>
      </c>
      <c r="L658" s="5">
        <v>30</v>
      </c>
      <c r="M658" s="5">
        <v>4</v>
      </c>
      <c r="N658" s="5" t="s">
        <v>4391</v>
      </c>
      <c r="O658" s="5" t="s">
        <v>3494</v>
      </c>
      <c r="P658" s="5">
        <v>4</v>
      </c>
      <c r="Q658" s="5">
        <v>1</v>
      </c>
      <c r="R658" s="5"/>
      <c r="S658" s="5">
        <v>101</v>
      </c>
      <c r="T658" s="5">
        <v>101</v>
      </c>
      <c r="U658" s="5">
        <v>101</v>
      </c>
    </row>
    <row r="659" spans="1:21" x14ac:dyDescent="0.25">
      <c r="A659" s="5" t="s">
        <v>5097</v>
      </c>
      <c r="B659" s="5" t="s">
        <v>5098</v>
      </c>
      <c r="C659" s="5" t="s">
        <v>3548</v>
      </c>
      <c r="D659" s="5" t="s">
        <v>3782</v>
      </c>
      <c r="E659" s="5" t="s">
        <v>4363</v>
      </c>
      <c r="F659" s="5" t="s">
        <v>4004</v>
      </c>
      <c r="G659" s="5" t="s">
        <v>3493</v>
      </c>
      <c r="H659" s="5"/>
      <c r="I659" s="5" t="s">
        <v>3448</v>
      </c>
      <c r="J659" s="5" t="s">
        <v>3783</v>
      </c>
      <c r="K659" s="5" t="s">
        <v>4363</v>
      </c>
      <c r="L659" s="5">
        <v>30</v>
      </c>
      <c r="M659" s="5">
        <v>4</v>
      </c>
      <c r="N659" s="5" t="s">
        <v>4005</v>
      </c>
      <c r="O659" s="5" t="s">
        <v>3494</v>
      </c>
      <c r="P659" s="5">
        <v>4</v>
      </c>
      <c r="Q659" s="5">
        <v>1</v>
      </c>
      <c r="R659" s="5"/>
      <c r="S659" s="5">
        <v>108</v>
      </c>
      <c r="T659" s="5">
        <v>108</v>
      </c>
      <c r="U659" s="5">
        <v>108</v>
      </c>
    </row>
    <row r="660" spans="1:21" x14ac:dyDescent="0.25">
      <c r="A660" s="5" t="s">
        <v>5103</v>
      </c>
      <c r="B660" s="5" t="s">
        <v>5104</v>
      </c>
      <c r="C660" s="5" t="s">
        <v>3548</v>
      </c>
      <c r="D660" s="5" t="s">
        <v>3782</v>
      </c>
      <c r="E660" s="5" t="s">
        <v>4363</v>
      </c>
      <c r="F660" s="5" t="s">
        <v>4004</v>
      </c>
      <c r="G660" s="5" t="s">
        <v>3493</v>
      </c>
      <c r="H660" s="5"/>
      <c r="I660" s="5" t="s">
        <v>3448</v>
      </c>
      <c r="J660" s="5" t="s">
        <v>3783</v>
      </c>
      <c r="K660" s="5" t="s">
        <v>4363</v>
      </c>
      <c r="L660" s="5">
        <v>30</v>
      </c>
      <c r="M660" s="5">
        <v>1</v>
      </c>
      <c r="N660" s="5" t="s">
        <v>4005</v>
      </c>
      <c r="O660" s="5" t="s">
        <v>3494</v>
      </c>
      <c r="P660" s="5">
        <v>4</v>
      </c>
      <c r="Q660" s="5">
        <v>1</v>
      </c>
      <c r="R660" s="5"/>
      <c r="S660" s="5">
        <v>28</v>
      </c>
      <c r="T660" s="5">
        <v>28</v>
      </c>
      <c r="U660" s="5">
        <v>28</v>
      </c>
    </row>
    <row r="661" spans="1:21" x14ac:dyDescent="0.25">
      <c r="A661" s="5" t="s">
        <v>5127</v>
      </c>
      <c r="B661" s="5" t="s">
        <v>5128</v>
      </c>
      <c r="C661" s="5" t="s">
        <v>3548</v>
      </c>
      <c r="D661" s="5" t="s">
        <v>3782</v>
      </c>
      <c r="E661" s="5" t="s">
        <v>4363</v>
      </c>
      <c r="F661" s="5" t="s">
        <v>3584</v>
      </c>
      <c r="G661" s="5" t="s">
        <v>3493</v>
      </c>
      <c r="H661" s="5"/>
      <c r="I661" s="5" t="s">
        <v>3448</v>
      </c>
      <c r="J661" s="5" t="s">
        <v>3783</v>
      </c>
      <c r="K661" s="5" t="s">
        <v>4363</v>
      </c>
      <c r="L661" s="5">
        <v>30</v>
      </c>
      <c r="M661" s="5">
        <v>6</v>
      </c>
      <c r="N661" s="5" t="s">
        <v>3585</v>
      </c>
      <c r="O661" s="5" t="s">
        <v>3494</v>
      </c>
      <c r="P661" s="5">
        <v>4</v>
      </c>
      <c r="Q661" s="5">
        <v>2</v>
      </c>
      <c r="R661" s="5"/>
      <c r="S661" s="5">
        <v>152</v>
      </c>
      <c r="T661" s="5">
        <v>152</v>
      </c>
      <c r="U661" s="5">
        <v>152</v>
      </c>
    </row>
    <row r="662" spans="1:21" x14ac:dyDescent="0.25">
      <c r="A662" s="5" t="s">
        <v>5131</v>
      </c>
      <c r="B662" s="5" t="s">
        <v>5132</v>
      </c>
      <c r="C662" s="5" t="s">
        <v>3548</v>
      </c>
      <c r="D662" s="5" t="s">
        <v>3782</v>
      </c>
      <c r="E662" s="5" t="s">
        <v>4363</v>
      </c>
      <c r="F662" s="5" t="s">
        <v>4004</v>
      </c>
      <c r="G662" s="5" t="s">
        <v>3493</v>
      </c>
      <c r="H662" s="5"/>
      <c r="I662" s="5" t="s">
        <v>3448</v>
      </c>
      <c r="J662" s="5" t="s">
        <v>3783</v>
      </c>
      <c r="K662" s="5" t="s">
        <v>4363</v>
      </c>
      <c r="L662" s="5">
        <v>30</v>
      </c>
      <c r="M662" s="5">
        <v>6</v>
      </c>
      <c r="N662" s="5" t="s">
        <v>4005</v>
      </c>
      <c r="O662" s="5" t="s">
        <v>3494</v>
      </c>
      <c r="P662" s="5">
        <v>4</v>
      </c>
      <c r="Q662" s="5">
        <v>2</v>
      </c>
      <c r="R662" s="5"/>
      <c r="S662" s="5">
        <v>162</v>
      </c>
      <c r="T662" s="5">
        <v>162</v>
      </c>
      <c r="U662" s="5">
        <v>162</v>
      </c>
    </row>
    <row r="663" spans="1:21" x14ac:dyDescent="0.25">
      <c r="A663" s="5" t="s">
        <v>5139</v>
      </c>
      <c r="B663" s="5" t="s">
        <v>5140</v>
      </c>
      <c r="C663" s="5" t="s">
        <v>3548</v>
      </c>
      <c r="D663" s="5" t="s">
        <v>3782</v>
      </c>
      <c r="E663" s="5" t="s">
        <v>4363</v>
      </c>
      <c r="F663" s="5" t="s">
        <v>4004</v>
      </c>
      <c r="G663" s="5" t="s">
        <v>3493</v>
      </c>
      <c r="H663" s="5"/>
      <c r="I663" s="5" t="s">
        <v>3448</v>
      </c>
      <c r="J663" s="5" t="s">
        <v>3783</v>
      </c>
      <c r="K663" s="5" t="s">
        <v>4363</v>
      </c>
      <c r="L663" s="5">
        <v>30</v>
      </c>
      <c r="M663" s="5">
        <v>6</v>
      </c>
      <c r="N663" s="5" t="s">
        <v>4005</v>
      </c>
      <c r="O663" s="5" t="s">
        <v>3494</v>
      </c>
      <c r="P663" s="5">
        <v>4</v>
      </c>
      <c r="Q663" s="5">
        <v>1</v>
      </c>
      <c r="R663" s="5"/>
      <c r="S663" s="5">
        <v>162</v>
      </c>
      <c r="T663" s="5">
        <v>162</v>
      </c>
      <c r="U663" s="5">
        <v>162</v>
      </c>
    </row>
    <row r="664" spans="1:21" x14ac:dyDescent="0.25">
      <c r="A664" s="5" t="s">
        <v>5145</v>
      </c>
      <c r="B664" s="5" t="s">
        <v>5146</v>
      </c>
      <c r="C664" s="5" t="s">
        <v>3548</v>
      </c>
      <c r="D664" s="5" t="s">
        <v>3782</v>
      </c>
      <c r="E664" s="5" t="s">
        <v>4363</v>
      </c>
      <c r="F664" s="5" t="s">
        <v>4004</v>
      </c>
      <c r="G664" s="5" t="s">
        <v>3493</v>
      </c>
      <c r="H664" s="5"/>
      <c r="I664" s="5" t="s">
        <v>3448</v>
      </c>
      <c r="J664" s="5" t="s">
        <v>3783</v>
      </c>
      <c r="K664" s="5" t="s">
        <v>4363</v>
      </c>
      <c r="L664" s="5">
        <v>30</v>
      </c>
      <c r="M664" s="5">
        <v>8</v>
      </c>
      <c r="N664" s="5" t="s">
        <v>4005</v>
      </c>
      <c r="O664" s="5" t="s">
        <v>3494</v>
      </c>
      <c r="P664" s="5">
        <v>4</v>
      </c>
      <c r="Q664" s="5">
        <v>2</v>
      </c>
      <c r="R664" s="5"/>
      <c r="S664" s="5">
        <v>217</v>
      </c>
      <c r="T664" s="5">
        <v>217</v>
      </c>
      <c r="U664" s="5">
        <v>217</v>
      </c>
    </row>
    <row r="665" spans="1:21" x14ac:dyDescent="0.25">
      <c r="A665" s="5" t="s">
        <v>5151</v>
      </c>
      <c r="B665" s="5" t="s">
        <v>5152</v>
      </c>
      <c r="C665" s="5" t="s">
        <v>3548</v>
      </c>
      <c r="D665" s="5" t="s">
        <v>3782</v>
      </c>
      <c r="E665" s="5" t="s">
        <v>4363</v>
      </c>
      <c r="F665" s="5" t="s">
        <v>4004</v>
      </c>
      <c r="G665" s="5" t="s">
        <v>3493</v>
      </c>
      <c r="H665" s="5"/>
      <c r="I665" s="5" t="s">
        <v>3448</v>
      </c>
      <c r="J665" s="5" t="s">
        <v>3783</v>
      </c>
      <c r="K665" s="5" t="s">
        <v>4363</v>
      </c>
      <c r="L665" s="5">
        <v>32</v>
      </c>
      <c r="M665" s="5">
        <v>10</v>
      </c>
      <c r="N665" s="5" t="s">
        <v>4005</v>
      </c>
      <c r="O665" s="5" t="s">
        <v>3494</v>
      </c>
      <c r="P665" s="5">
        <v>4</v>
      </c>
      <c r="Q665" s="5">
        <v>3</v>
      </c>
      <c r="R665" s="5"/>
      <c r="S665" s="5">
        <v>281</v>
      </c>
      <c r="T665" s="5">
        <v>281</v>
      </c>
      <c r="U665" s="5">
        <v>281</v>
      </c>
    </row>
    <row r="666" spans="1:21" x14ac:dyDescent="0.25">
      <c r="A666" s="5" t="s">
        <v>5157</v>
      </c>
      <c r="B666" s="5" t="s">
        <v>5158</v>
      </c>
      <c r="C666" s="5" t="s">
        <v>3548</v>
      </c>
      <c r="D666" s="5" t="s">
        <v>3782</v>
      </c>
      <c r="E666" s="5" t="s">
        <v>4363</v>
      </c>
      <c r="F666" s="5" t="s">
        <v>4004</v>
      </c>
      <c r="G666" s="5" t="s">
        <v>3493</v>
      </c>
      <c r="H666" s="5"/>
      <c r="I666" s="5" t="s">
        <v>3448</v>
      </c>
      <c r="J666" s="5" t="s">
        <v>3783</v>
      </c>
      <c r="K666" s="5" t="s">
        <v>4363</v>
      </c>
      <c r="L666" s="5">
        <v>32</v>
      </c>
      <c r="M666" s="5">
        <v>12</v>
      </c>
      <c r="N666" s="5" t="s">
        <v>4005</v>
      </c>
      <c r="O666" s="5" t="s">
        <v>3494</v>
      </c>
      <c r="P666" s="5">
        <v>4</v>
      </c>
      <c r="Q666" s="5">
        <v>3</v>
      </c>
      <c r="R666" s="5"/>
      <c r="S666" s="5">
        <v>338</v>
      </c>
      <c r="T666" s="5">
        <v>338</v>
      </c>
      <c r="U666" s="5">
        <v>338</v>
      </c>
    </row>
    <row r="667" spans="1:21" x14ac:dyDescent="0.25">
      <c r="A667" s="5" t="s">
        <v>5163</v>
      </c>
      <c r="B667" s="5" t="s">
        <v>5164</v>
      </c>
      <c r="C667" s="5" t="s">
        <v>3548</v>
      </c>
      <c r="D667" s="5" t="s">
        <v>3782</v>
      </c>
      <c r="E667" s="5" t="s">
        <v>4363</v>
      </c>
      <c r="F667" s="5" t="s">
        <v>3584</v>
      </c>
      <c r="G667" s="5" t="s">
        <v>3493</v>
      </c>
      <c r="H667" s="5"/>
      <c r="I667" s="5" t="s">
        <v>3448</v>
      </c>
      <c r="J667" s="5" t="s">
        <v>3783</v>
      </c>
      <c r="K667" s="5" t="s">
        <v>4363</v>
      </c>
      <c r="L667" s="5">
        <v>32</v>
      </c>
      <c r="M667" s="5">
        <v>2</v>
      </c>
      <c r="N667" s="5" t="s">
        <v>3585</v>
      </c>
      <c r="O667" s="5" t="s">
        <v>3494</v>
      </c>
      <c r="P667" s="5">
        <v>4</v>
      </c>
      <c r="Q667" s="5">
        <v>2</v>
      </c>
      <c r="R667" s="5"/>
      <c r="S667" s="5">
        <v>62</v>
      </c>
      <c r="T667" s="5">
        <v>62</v>
      </c>
      <c r="U667" s="5">
        <v>62</v>
      </c>
    </row>
    <row r="668" spans="1:21" x14ac:dyDescent="0.25">
      <c r="A668" s="5" t="s">
        <v>5167</v>
      </c>
      <c r="B668" s="5" t="s">
        <v>5168</v>
      </c>
      <c r="C668" s="5" t="s">
        <v>3548</v>
      </c>
      <c r="D668" s="5" t="s">
        <v>3782</v>
      </c>
      <c r="E668" s="5" t="s">
        <v>4363</v>
      </c>
      <c r="F668" s="5" t="s">
        <v>4004</v>
      </c>
      <c r="G668" s="5" t="s">
        <v>3493</v>
      </c>
      <c r="H668" s="5"/>
      <c r="I668" s="5" t="s">
        <v>3448</v>
      </c>
      <c r="J668" s="5" t="s">
        <v>3783</v>
      </c>
      <c r="K668" s="5" t="s">
        <v>4363</v>
      </c>
      <c r="L668" s="5">
        <v>32</v>
      </c>
      <c r="M668" s="5">
        <v>2</v>
      </c>
      <c r="N668" s="5" t="s">
        <v>4005</v>
      </c>
      <c r="O668" s="5" t="s">
        <v>3494</v>
      </c>
      <c r="P668" s="5">
        <v>4</v>
      </c>
      <c r="Q668" s="5">
        <v>2</v>
      </c>
      <c r="R668" s="5"/>
      <c r="S668" s="5">
        <v>64</v>
      </c>
      <c r="T668" s="5">
        <v>64</v>
      </c>
      <c r="U668" s="5">
        <v>64</v>
      </c>
    </row>
    <row r="669" spans="1:21" x14ac:dyDescent="0.25">
      <c r="A669" s="5" t="s">
        <v>5169</v>
      </c>
      <c r="B669" s="5" t="s">
        <v>5170</v>
      </c>
      <c r="C669" s="5" t="s">
        <v>3548</v>
      </c>
      <c r="D669" s="5" t="s">
        <v>3782</v>
      </c>
      <c r="E669" s="5" t="s">
        <v>4363</v>
      </c>
      <c r="F669" s="5" t="s">
        <v>4835</v>
      </c>
      <c r="G669" s="5" t="s">
        <v>3493</v>
      </c>
      <c r="H669" s="5"/>
      <c r="I669" s="5" t="s">
        <v>3448</v>
      </c>
      <c r="J669" s="5" t="s">
        <v>3783</v>
      </c>
      <c r="K669" s="5" t="s">
        <v>4363</v>
      </c>
      <c r="L669" s="5">
        <v>32</v>
      </c>
      <c r="M669" s="5">
        <v>2</v>
      </c>
      <c r="N669" s="5" t="s">
        <v>4836</v>
      </c>
      <c r="O669" s="5" t="s">
        <v>3494</v>
      </c>
      <c r="P669" s="5">
        <v>4</v>
      </c>
      <c r="Q669" s="5">
        <v>1</v>
      </c>
      <c r="R669" s="5"/>
      <c r="S669" s="5">
        <v>55</v>
      </c>
      <c r="T669" s="5">
        <v>55</v>
      </c>
      <c r="U669" s="5">
        <v>55</v>
      </c>
    </row>
    <row r="670" spans="1:21" x14ac:dyDescent="0.25">
      <c r="A670" s="5" t="s">
        <v>5171</v>
      </c>
      <c r="B670" s="5" t="s">
        <v>5172</v>
      </c>
      <c r="C670" s="5" t="s">
        <v>3548</v>
      </c>
      <c r="D670" s="5" t="s">
        <v>3782</v>
      </c>
      <c r="E670" s="5" t="s">
        <v>4363</v>
      </c>
      <c r="F670" s="5" t="s">
        <v>5173</v>
      </c>
      <c r="G670" s="5" t="s">
        <v>3501</v>
      </c>
      <c r="H670" s="5"/>
      <c r="I670" s="5" t="s">
        <v>3448</v>
      </c>
      <c r="J670" s="5" t="s">
        <v>3783</v>
      </c>
      <c r="K670" s="5" t="s">
        <v>4363</v>
      </c>
      <c r="L670" s="5">
        <v>32</v>
      </c>
      <c r="M670" s="5">
        <v>2</v>
      </c>
      <c r="N670" s="5" t="s">
        <v>5174</v>
      </c>
      <c r="O670" s="5" t="s">
        <v>3502</v>
      </c>
      <c r="P670" s="5">
        <v>4</v>
      </c>
      <c r="Q670" s="5">
        <v>1</v>
      </c>
      <c r="R670" s="5"/>
      <c r="S670" s="5">
        <v>67</v>
      </c>
      <c r="T670" s="5">
        <v>67</v>
      </c>
      <c r="U670" s="5">
        <v>67</v>
      </c>
    </row>
    <row r="671" spans="1:21" x14ac:dyDescent="0.25">
      <c r="A671" s="5" t="s">
        <v>5175</v>
      </c>
      <c r="B671" s="5" t="s">
        <v>5176</v>
      </c>
      <c r="C671" s="5" t="s">
        <v>3548</v>
      </c>
      <c r="D671" s="5" t="s">
        <v>3782</v>
      </c>
      <c r="E671" s="5" t="s">
        <v>4363</v>
      </c>
      <c r="F671" s="5" t="s">
        <v>5173</v>
      </c>
      <c r="G671" s="5" t="s">
        <v>3493</v>
      </c>
      <c r="H671" s="5"/>
      <c r="I671" s="5" t="s">
        <v>3448</v>
      </c>
      <c r="J671" s="5" t="s">
        <v>3783</v>
      </c>
      <c r="K671" s="5" t="s">
        <v>4363</v>
      </c>
      <c r="L671" s="5">
        <v>32</v>
      </c>
      <c r="M671" s="5">
        <v>2</v>
      </c>
      <c r="N671" s="5" t="s">
        <v>5174</v>
      </c>
      <c r="O671" s="5" t="s">
        <v>3494</v>
      </c>
      <c r="P671" s="5">
        <v>4</v>
      </c>
      <c r="Q671" s="5">
        <v>1</v>
      </c>
      <c r="R671" s="5"/>
      <c r="S671" s="5">
        <v>56</v>
      </c>
      <c r="T671" s="5">
        <v>56</v>
      </c>
      <c r="U671" s="5">
        <v>56</v>
      </c>
    </row>
    <row r="672" spans="1:21" x14ac:dyDescent="0.25">
      <c r="A672" s="5" t="s">
        <v>5181</v>
      </c>
      <c r="B672" s="5" t="s">
        <v>5182</v>
      </c>
      <c r="C672" s="5" t="s">
        <v>3548</v>
      </c>
      <c r="D672" s="5" t="s">
        <v>3782</v>
      </c>
      <c r="E672" s="5" t="s">
        <v>4363</v>
      </c>
      <c r="F672" s="5" t="s">
        <v>3584</v>
      </c>
      <c r="G672" s="5" t="s">
        <v>3501</v>
      </c>
      <c r="H672" s="5"/>
      <c r="I672" s="5" t="s">
        <v>3448</v>
      </c>
      <c r="J672" s="5" t="s">
        <v>3783</v>
      </c>
      <c r="K672" s="5" t="s">
        <v>4363</v>
      </c>
      <c r="L672" s="5">
        <v>32</v>
      </c>
      <c r="M672" s="5">
        <v>2</v>
      </c>
      <c r="N672" s="5" t="s">
        <v>3585</v>
      </c>
      <c r="O672" s="5" t="s">
        <v>3502</v>
      </c>
      <c r="P672" s="5">
        <v>4</v>
      </c>
      <c r="Q672" s="5">
        <v>1</v>
      </c>
      <c r="R672" s="5"/>
      <c r="S672" s="5">
        <v>77</v>
      </c>
      <c r="T672" s="5">
        <v>77</v>
      </c>
      <c r="U672" s="5">
        <v>77</v>
      </c>
    </row>
    <row r="673" spans="1:21" x14ac:dyDescent="0.25">
      <c r="A673" s="5" t="s">
        <v>5183</v>
      </c>
      <c r="B673" s="5" t="s">
        <v>5184</v>
      </c>
      <c r="C673" s="5" t="s">
        <v>3548</v>
      </c>
      <c r="D673" s="5" t="s">
        <v>3782</v>
      </c>
      <c r="E673" s="5" t="s">
        <v>4363</v>
      </c>
      <c r="F673" s="5" t="s">
        <v>3584</v>
      </c>
      <c r="G673" s="5" t="s">
        <v>3493</v>
      </c>
      <c r="H673" s="5"/>
      <c r="I673" s="5" t="s">
        <v>3448</v>
      </c>
      <c r="J673" s="5" t="s">
        <v>3783</v>
      </c>
      <c r="K673" s="5" t="s">
        <v>4363</v>
      </c>
      <c r="L673" s="5">
        <v>32</v>
      </c>
      <c r="M673" s="5">
        <v>2</v>
      </c>
      <c r="N673" s="5" t="s">
        <v>3585</v>
      </c>
      <c r="O673" s="5" t="s">
        <v>3494</v>
      </c>
      <c r="P673" s="5">
        <v>4</v>
      </c>
      <c r="Q673" s="5">
        <v>1</v>
      </c>
      <c r="R673" s="5"/>
      <c r="S673" s="5">
        <v>59</v>
      </c>
      <c r="T673" s="5">
        <v>59</v>
      </c>
      <c r="U673" s="5">
        <v>59</v>
      </c>
    </row>
    <row r="674" spans="1:21" x14ac:dyDescent="0.25">
      <c r="A674" s="5" t="s">
        <v>5203</v>
      </c>
      <c r="B674" s="5" t="s">
        <v>5204</v>
      </c>
      <c r="C674" s="5" t="s">
        <v>3548</v>
      </c>
      <c r="D674" s="5" t="s">
        <v>3782</v>
      </c>
      <c r="E674" s="5" t="s">
        <v>4363</v>
      </c>
      <c r="F674" s="5" t="s">
        <v>4390</v>
      </c>
      <c r="G674" s="5" t="s">
        <v>3501</v>
      </c>
      <c r="H674" s="5"/>
      <c r="I674" s="5" t="s">
        <v>3448</v>
      </c>
      <c r="J674" s="5" t="s">
        <v>3783</v>
      </c>
      <c r="K674" s="5" t="s">
        <v>4363</v>
      </c>
      <c r="L674" s="5">
        <v>32</v>
      </c>
      <c r="M674" s="5">
        <v>2</v>
      </c>
      <c r="N674" s="5" t="s">
        <v>4391</v>
      </c>
      <c r="O674" s="5" t="s">
        <v>3502</v>
      </c>
      <c r="P674" s="5">
        <v>4</v>
      </c>
      <c r="Q674" s="5">
        <v>1</v>
      </c>
      <c r="R674" s="5"/>
      <c r="S674" s="5">
        <v>66</v>
      </c>
      <c r="T674" s="5">
        <v>66</v>
      </c>
      <c r="U674" s="5">
        <v>66</v>
      </c>
    </row>
    <row r="675" spans="1:21" x14ac:dyDescent="0.25">
      <c r="A675" s="5" t="s">
        <v>5205</v>
      </c>
      <c r="B675" s="5" t="s">
        <v>5206</v>
      </c>
      <c r="C675" s="5" t="s">
        <v>3548</v>
      </c>
      <c r="D675" s="5" t="s">
        <v>3782</v>
      </c>
      <c r="E675" s="5" t="s">
        <v>4363</v>
      </c>
      <c r="F675" s="5" t="s">
        <v>4390</v>
      </c>
      <c r="G675" s="5" t="s">
        <v>3493</v>
      </c>
      <c r="H675" s="5"/>
      <c r="I675" s="5" t="s">
        <v>3448</v>
      </c>
      <c r="J675" s="5" t="s">
        <v>3783</v>
      </c>
      <c r="K675" s="5" t="s">
        <v>4363</v>
      </c>
      <c r="L675" s="5">
        <v>32</v>
      </c>
      <c r="M675" s="5">
        <v>2</v>
      </c>
      <c r="N675" s="5" t="s">
        <v>4391</v>
      </c>
      <c r="O675" s="5" t="s">
        <v>3494</v>
      </c>
      <c r="P675" s="5">
        <v>4</v>
      </c>
      <c r="Q675" s="5">
        <v>1</v>
      </c>
      <c r="R675" s="5"/>
      <c r="S675" s="5">
        <v>55</v>
      </c>
      <c r="T675" s="5">
        <v>55</v>
      </c>
      <c r="U675" s="5">
        <v>55</v>
      </c>
    </row>
    <row r="676" spans="1:21" x14ac:dyDescent="0.25">
      <c r="A676" s="5" t="s">
        <v>5215</v>
      </c>
      <c r="B676" s="5" t="s">
        <v>5216</v>
      </c>
      <c r="C676" s="5" t="s">
        <v>3548</v>
      </c>
      <c r="D676" s="5" t="s">
        <v>3782</v>
      </c>
      <c r="E676" s="5" t="s">
        <v>4363</v>
      </c>
      <c r="F676" s="5" t="s">
        <v>3564</v>
      </c>
      <c r="G676" s="5"/>
      <c r="H676" s="5"/>
      <c r="I676" s="5" t="s">
        <v>3448</v>
      </c>
      <c r="J676" s="5" t="s">
        <v>3783</v>
      </c>
      <c r="K676" s="5" t="s">
        <v>4363</v>
      </c>
      <c r="L676" s="5">
        <v>32</v>
      </c>
      <c r="M676" s="5">
        <v>2</v>
      </c>
      <c r="N676" s="5" t="s">
        <v>3566</v>
      </c>
      <c r="O676" s="5"/>
      <c r="P676" s="5">
        <v>4</v>
      </c>
      <c r="Q676" s="5">
        <v>1</v>
      </c>
      <c r="R676" s="5"/>
      <c r="S676" s="5">
        <v>71</v>
      </c>
      <c r="T676" s="5">
        <v>71</v>
      </c>
      <c r="U676" s="5">
        <v>71</v>
      </c>
    </row>
    <row r="677" spans="1:21" x14ac:dyDescent="0.25">
      <c r="A677" s="5" t="s">
        <v>5217</v>
      </c>
      <c r="B677" s="5" t="s">
        <v>5218</v>
      </c>
      <c r="C677" s="5" t="s">
        <v>3548</v>
      </c>
      <c r="D677" s="5" t="s">
        <v>3782</v>
      </c>
      <c r="E677" s="5" t="s">
        <v>4363</v>
      </c>
      <c r="F677" s="5" t="s">
        <v>4004</v>
      </c>
      <c r="G677" s="5" t="s">
        <v>3501</v>
      </c>
      <c r="H677" s="5"/>
      <c r="I677" s="5" t="s">
        <v>3448</v>
      </c>
      <c r="J677" s="5" t="s">
        <v>3783</v>
      </c>
      <c r="K677" s="5" t="s">
        <v>4363</v>
      </c>
      <c r="L677" s="5">
        <v>32</v>
      </c>
      <c r="M677" s="5">
        <v>2</v>
      </c>
      <c r="N677" s="5" t="s">
        <v>4005</v>
      </c>
      <c r="O677" s="5" t="s">
        <v>3502</v>
      </c>
      <c r="P677" s="5">
        <v>4</v>
      </c>
      <c r="Q677" s="5">
        <v>1</v>
      </c>
      <c r="R677" s="5"/>
      <c r="S677" s="5">
        <v>70</v>
      </c>
      <c r="T677" s="5">
        <v>70</v>
      </c>
      <c r="U677" s="5">
        <v>70</v>
      </c>
    </row>
    <row r="678" spans="1:21" x14ac:dyDescent="0.25">
      <c r="A678" s="5" t="s">
        <v>5219</v>
      </c>
      <c r="B678" s="5" t="s">
        <v>5220</v>
      </c>
      <c r="C678" s="5" t="s">
        <v>3548</v>
      </c>
      <c r="D678" s="5" t="s">
        <v>3782</v>
      </c>
      <c r="E678" s="5" t="s">
        <v>4363</v>
      </c>
      <c r="F678" s="5" t="s">
        <v>4004</v>
      </c>
      <c r="G678" s="5" t="s">
        <v>3493</v>
      </c>
      <c r="H678" s="5"/>
      <c r="I678" s="5" t="s">
        <v>3448</v>
      </c>
      <c r="J678" s="5" t="s">
        <v>3783</v>
      </c>
      <c r="K678" s="5" t="s">
        <v>4363</v>
      </c>
      <c r="L678" s="5">
        <v>32</v>
      </c>
      <c r="M678" s="5">
        <v>2</v>
      </c>
      <c r="N678" s="5" t="s">
        <v>4005</v>
      </c>
      <c r="O678" s="5" t="s">
        <v>3494</v>
      </c>
      <c r="P678" s="5">
        <v>4</v>
      </c>
      <c r="Q678" s="5">
        <v>1</v>
      </c>
      <c r="R678" s="5"/>
      <c r="S678" s="5">
        <v>60</v>
      </c>
      <c r="T678" s="5">
        <v>60</v>
      </c>
      <c r="U678" s="5">
        <v>60</v>
      </c>
    </row>
    <row r="679" spans="1:21" x14ac:dyDescent="0.25">
      <c r="A679" s="5" t="s">
        <v>5237</v>
      </c>
      <c r="B679" s="5" t="s">
        <v>5238</v>
      </c>
      <c r="C679" s="5" t="s">
        <v>3548</v>
      </c>
      <c r="D679" s="5" t="s">
        <v>3782</v>
      </c>
      <c r="E679" s="5" t="s">
        <v>4363</v>
      </c>
      <c r="F679" s="5" t="s">
        <v>4421</v>
      </c>
      <c r="G679" s="5" t="s">
        <v>3501</v>
      </c>
      <c r="H679" s="5"/>
      <c r="I679" s="5" t="s">
        <v>3448</v>
      </c>
      <c r="J679" s="5" t="s">
        <v>3783</v>
      </c>
      <c r="K679" s="5" t="s">
        <v>4363</v>
      </c>
      <c r="L679" s="5">
        <v>32</v>
      </c>
      <c r="M679" s="5">
        <v>2</v>
      </c>
      <c r="N679" s="5" t="s">
        <v>4422</v>
      </c>
      <c r="O679" s="5" t="s">
        <v>3502</v>
      </c>
      <c r="P679" s="5">
        <v>4</v>
      </c>
      <c r="Q679" s="5">
        <v>1</v>
      </c>
      <c r="R679" s="5"/>
      <c r="S679" s="5">
        <v>66</v>
      </c>
      <c r="T679" s="5">
        <v>66</v>
      </c>
      <c r="U679" s="5">
        <v>66</v>
      </c>
    </row>
    <row r="680" spans="1:21" x14ac:dyDescent="0.25">
      <c r="A680" s="5" t="s">
        <v>5239</v>
      </c>
      <c r="B680" s="5" t="s">
        <v>5240</v>
      </c>
      <c r="C680" s="5" t="s">
        <v>3548</v>
      </c>
      <c r="D680" s="5" t="s">
        <v>3782</v>
      </c>
      <c r="E680" s="5" t="s">
        <v>4363</v>
      </c>
      <c r="F680" s="5" t="s">
        <v>4421</v>
      </c>
      <c r="G680" s="5" t="s">
        <v>3493</v>
      </c>
      <c r="H680" s="5"/>
      <c r="I680" s="5" t="s">
        <v>3448</v>
      </c>
      <c r="J680" s="5" t="s">
        <v>3783</v>
      </c>
      <c r="K680" s="5" t="s">
        <v>4363</v>
      </c>
      <c r="L680" s="5">
        <v>32</v>
      </c>
      <c r="M680" s="5">
        <v>2</v>
      </c>
      <c r="N680" s="5" t="s">
        <v>4422</v>
      </c>
      <c r="O680" s="5" t="s">
        <v>3494</v>
      </c>
      <c r="P680" s="5">
        <v>4</v>
      </c>
      <c r="Q680" s="5">
        <v>1</v>
      </c>
      <c r="R680" s="5"/>
      <c r="S680" s="5">
        <v>57</v>
      </c>
      <c r="T680" s="5">
        <v>57</v>
      </c>
      <c r="U680" s="5">
        <v>57</v>
      </c>
    </row>
    <row r="681" spans="1:21" x14ac:dyDescent="0.25">
      <c r="A681" s="5" t="s">
        <v>5247</v>
      </c>
      <c r="B681" s="5" t="s">
        <v>5248</v>
      </c>
      <c r="C681" s="5" t="s">
        <v>3548</v>
      </c>
      <c r="D681" s="5" t="s">
        <v>3782</v>
      </c>
      <c r="E681" s="5" t="s">
        <v>4363</v>
      </c>
      <c r="F681" s="5" t="s">
        <v>3584</v>
      </c>
      <c r="G681" s="5" t="s">
        <v>3501</v>
      </c>
      <c r="H681" s="5"/>
      <c r="I681" s="5" t="s">
        <v>3448</v>
      </c>
      <c r="J681" s="5" t="s">
        <v>3783</v>
      </c>
      <c r="K681" s="5" t="s">
        <v>4363</v>
      </c>
      <c r="L681" s="5">
        <v>32</v>
      </c>
      <c r="M681" s="5">
        <v>3</v>
      </c>
      <c r="N681" s="5" t="s">
        <v>3585</v>
      </c>
      <c r="O681" s="5" t="s">
        <v>3502</v>
      </c>
      <c r="P681" s="5">
        <v>4</v>
      </c>
      <c r="Q681" s="5">
        <v>2</v>
      </c>
      <c r="R681" s="5"/>
      <c r="S681" s="5">
        <v>118</v>
      </c>
      <c r="T681" s="5">
        <v>118</v>
      </c>
      <c r="U681" s="5">
        <v>118</v>
      </c>
    </row>
    <row r="682" spans="1:21" x14ac:dyDescent="0.25">
      <c r="A682" s="5" t="s">
        <v>5249</v>
      </c>
      <c r="B682" s="5" t="s">
        <v>5250</v>
      </c>
      <c r="C682" s="5" t="s">
        <v>3548</v>
      </c>
      <c r="D682" s="5" t="s">
        <v>3782</v>
      </c>
      <c r="E682" s="5" t="s">
        <v>4363</v>
      </c>
      <c r="F682" s="5" t="s">
        <v>3584</v>
      </c>
      <c r="G682" s="5" t="s">
        <v>3493</v>
      </c>
      <c r="H682" s="5"/>
      <c r="I682" s="5" t="s">
        <v>3448</v>
      </c>
      <c r="J682" s="5" t="s">
        <v>3783</v>
      </c>
      <c r="K682" s="5" t="s">
        <v>4363</v>
      </c>
      <c r="L682" s="5">
        <v>32</v>
      </c>
      <c r="M682" s="5">
        <v>3</v>
      </c>
      <c r="N682" s="5" t="s">
        <v>3585</v>
      </c>
      <c r="O682" s="5" t="s">
        <v>3494</v>
      </c>
      <c r="P682" s="5">
        <v>4</v>
      </c>
      <c r="Q682" s="5">
        <v>2</v>
      </c>
      <c r="R682" s="5"/>
      <c r="S682" s="5">
        <v>90</v>
      </c>
      <c r="T682" s="5">
        <v>90</v>
      </c>
      <c r="U682" s="5">
        <v>90</v>
      </c>
    </row>
    <row r="683" spans="1:21" x14ac:dyDescent="0.25">
      <c r="A683" s="5" t="s">
        <v>5253</v>
      </c>
      <c r="B683" s="5" t="s">
        <v>5254</v>
      </c>
      <c r="C683" s="5" t="s">
        <v>3548</v>
      </c>
      <c r="D683" s="5" t="s">
        <v>3782</v>
      </c>
      <c r="E683" s="5" t="s">
        <v>4363</v>
      </c>
      <c r="F683" s="5" t="s">
        <v>4004</v>
      </c>
      <c r="G683" s="5" t="s">
        <v>3493</v>
      </c>
      <c r="H683" s="5"/>
      <c r="I683" s="5" t="s">
        <v>3448</v>
      </c>
      <c r="J683" s="5" t="s">
        <v>3783</v>
      </c>
      <c r="K683" s="5" t="s">
        <v>4363</v>
      </c>
      <c r="L683" s="5">
        <v>32</v>
      </c>
      <c r="M683" s="5">
        <v>3</v>
      </c>
      <c r="N683" s="5" t="s">
        <v>4005</v>
      </c>
      <c r="O683" s="5" t="s">
        <v>3494</v>
      </c>
      <c r="P683" s="5">
        <v>4</v>
      </c>
      <c r="Q683" s="5">
        <v>2</v>
      </c>
      <c r="R683" s="5"/>
      <c r="S683" s="5">
        <v>92</v>
      </c>
      <c r="T683" s="5">
        <v>92</v>
      </c>
      <c r="U683" s="5">
        <v>92</v>
      </c>
    </row>
    <row r="684" spans="1:21" x14ac:dyDescent="0.25">
      <c r="A684" s="5" t="s">
        <v>5255</v>
      </c>
      <c r="B684" s="5" t="s">
        <v>5256</v>
      </c>
      <c r="C684" s="5" t="s">
        <v>3548</v>
      </c>
      <c r="D684" s="5" t="s">
        <v>3782</v>
      </c>
      <c r="E684" s="5" t="s">
        <v>4363</v>
      </c>
      <c r="F684" s="5" t="s">
        <v>4835</v>
      </c>
      <c r="G684" s="5" t="s">
        <v>3493</v>
      </c>
      <c r="H684" s="5"/>
      <c r="I684" s="5" t="s">
        <v>3448</v>
      </c>
      <c r="J684" s="5" t="s">
        <v>3783</v>
      </c>
      <c r="K684" s="5" t="s">
        <v>4363</v>
      </c>
      <c r="L684" s="5">
        <v>32</v>
      </c>
      <c r="M684" s="5">
        <v>3</v>
      </c>
      <c r="N684" s="5" t="s">
        <v>4836</v>
      </c>
      <c r="O684" s="5" t="s">
        <v>3494</v>
      </c>
      <c r="P684" s="5">
        <v>4</v>
      </c>
      <c r="Q684" s="5">
        <v>1</v>
      </c>
      <c r="R684" s="5"/>
      <c r="S684" s="5">
        <v>82</v>
      </c>
      <c r="T684" s="5">
        <v>82</v>
      </c>
      <c r="U684" s="5">
        <v>82</v>
      </c>
    </row>
    <row r="685" spans="1:21" x14ac:dyDescent="0.25">
      <c r="A685" s="5" t="s">
        <v>5257</v>
      </c>
      <c r="B685" s="5" t="s">
        <v>5258</v>
      </c>
      <c r="C685" s="5" t="s">
        <v>3548</v>
      </c>
      <c r="D685" s="5" t="s">
        <v>3782</v>
      </c>
      <c r="E685" s="5" t="s">
        <v>4363</v>
      </c>
      <c r="F685" s="5" t="s">
        <v>5173</v>
      </c>
      <c r="G685" s="5" t="s">
        <v>3501</v>
      </c>
      <c r="H685" s="5"/>
      <c r="I685" s="5" t="s">
        <v>3448</v>
      </c>
      <c r="J685" s="5" t="s">
        <v>3783</v>
      </c>
      <c r="K685" s="5" t="s">
        <v>4363</v>
      </c>
      <c r="L685" s="5">
        <v>32</v>
      </c>
      <c r="M685" s="5">
        <v>3</v>
      </c>
      <c r="N685" s="5" t="s">
        <v>5174</v>
      </c>
      <c r="O685" s="5" t="s">
        <v>3502</v>
      </c>
      <c r="P685" s="5">
        <v>4</v>
      </c>
      <c r="Q685" s="5">
        <v>1</v>
      </c>
      <c r="R685" s="5"/>
      <c r="S685" s="5">
        <v>96</v>
      </c>
      <c r="T685" s="5">
        <v>96</v>
      </c>
      <c r="U685" s="5">
        <v>96</v>
      </c>
    </row>
    <row r="686" spans="1:21" x14ac:dyDescent="0.25">
      <c r="A686" s="5" t="s">
        <v>5259</v>
      </c>
      <c r="B686" s="5" t="s">
        <v>5260</v>
      </c>
      <c r="C686" s="5" t="s">
        <v>3548</v>
      </c>
      <c r="D686" s="5" t="s">
        <v>3782</v>
      </c>
      <c r="E686" s="5" t="s">
        <v>4363</v>
      </c>
      <c r="F686" s="5" t="s">
        <v>5173</v>
      </c>
      <c r="G686" s="5" t="s">
        <v>3493</v>
      </c>
      <c r="H686" s="5"/>
      <c r="I686" s="5" t="s">
        <v>3448</v>
      </c>
      <c r="J686" s="5" t="s">
        <v>3783</v>
      </c>
      <c r="K686" s="5" t="s">
        <v>4363</v>
      </c>
      <c r="L686" s="5">
        <v>32</v>
      </c>
      <c r="M686" s="5">
        <v>3</v>
      </c>
      <c r="N686" s="5" t="s">
        <v>5174</v>
      </c>
      <c r="O686" s="5" t="s">
        <v>3494</v>
      </c>
      <c r="P686" s="5">
        <v>4</v>
      </c>
      <c r="Q686" s="5">
        <v>1</v>
      </c>
      <c r="R686" s="5"/>
      <c r="S686" s="5">
        <v>84</v>
      </c>
      <c r="T686" s="5">
        <v>84</v>
      </c>
      <c r="U686" s="5">
        <v>84</v>
      </c>
    </row>
    <row r="687" spans="1:21" x14ac:dyDescent="0.25">
      <c r="A687" s="5" t="s">
        <v>5267</v>
      </c>
      <c r="B687" s="5" t="s">
        <v>5268</v>
      </c>
      <c r="C687" s="5" t="s">
        <v>3548</v>
      </c>
      <c r="D687" s="5" t="s">
        <v>3782</v>
      </c>
      <c r="E687" s="5" t="s">
        <v>4363</v>
      </c>
      <c r="F687" s="5" t="s">
        <v>3584</v>
      </c>
      <c r="G687" s="5" t="s">
        <v>3501</v>
      </c>
      <c r="H687" s="5"/>
      <c r="I687" s="5" t="s">
        <v>3448</v>
      </c>
      <c r="J687" s="5" t="s">
        <v>3783</v>
      </c>
      <c r="K687" s="5" t="s">
        <v>4363</v>
      </c>
      <c r="L687" s="5">
        <v>32</v>
      </c>
      <c r="M687" s="5">
        <v>3</v>
      </c>
      <c r="N687" s="5" t="s">
        <v>3585</v>
      </c>
      <c r="O687" s="5" t="s">
        <v>3502</v>
      </c>
      <c r="P687" s="5">
        <v>4</v>
      </c>
      <c r="Q687" s="5">
        <v>1</v>
      </c>
      <c r="R687" s="5"/>
      <c r="S687" s="5">
        <v>111</v>
      </c>
      <c r="T687" s="5">
        <v>111</v>
      </c>
      <c r="U687" s="5">
        <v>111</v>
      </c>
    </row>
    <row r="688" spans="1:21" x14ac:dyDescent="0.25">
      <c r="A688" s="5" t="s">
        <v>5269</v>
      </c>
      <c r="B688" s="5" t="s">
        <v>5270</v>
      </c>
      <c r="C688" s="5" t="s">
        <v>3548</v>
      </c>
      <c r="D688" s="5" t="s">
        <v>3782</v>
      </c>
      <c r="E688" s="5" t="s">
        <v>4363</v>
      </c>
      <c r="F688" s="5" t="s">
        <v>3584</v>
      </c>
      <c r="G688" s="5" t="s">
        <v>3493</v>
      </c>
      <c r="H688" s="5"/>
      <c r="I688" s="5" t="s">
        <v>3448</v>
      </c>
      <c r="J688" s="5" t="s">
        <v>3783</v>
      </c>
      <c r="K688" s="5" t="s">
        <v>4363</v>
      </c>
      <c r="L688" s="5">
        <v>32</v>
      </c>
      <c r="M688" s="5">
        <v>3</v>
      </c>
      <c r="N688" s="5" t="s">
        <v>3585</v>
      </c>
      <c r="O688" s="5" t="s">
        <v>3494</v>
      </c>
      <c r="P688" s="5">
        <v>4</v>
      </c>
      <c r="Q688" s="5">
        <v>1</v>
      </c>
      <c r="R688" s="5"/>
      <c r="S688" s="5">
        <v>87</v>
      </c>
      <c r="T688" s="5">
        <v>87</v>
      </c>
      <c r="U688" s="5">
        <v>87</v>
      </c>
    </row>
    <row r="689" spans="1:21" x14ac:dyDescent="0.25">
      <c r="A689" s="5" t="s">
        <v>5279</v>
      </c>
      <c r="B689" s="5" t="s">
        <v>5280</v>
      </c>
      <c r="C689" s="5" t="s">
        <v>3548</v>
      </c>
      <c r="D689" s="5" t="s">
        <v>3782</v>
      </c>
      <c r="E689" s="5" t="s">
        <v>4363</v>
      </c>
      <c r="F689" s="5" t="s">
        <v>4390</v>
      </c>
      <c r="G689" s="5" t="s">
        <v>3501</v>
      </c>
      <c r="H689" s="5"/>
      <c r="I689" s="5" t="s">
        <v>3448</v>
      </c>
      <c r="J689" s="5" t="s">
        <v>3783</v>
      </c>
      <c r="K689" s="5" t="s">
        <v>4363</v>
      </c>
      <c r="L689" s="5">
        <v>32</v>
      </c>
      <c r="M689" s="5">
        <v>3</v>
      </c>
      <c r="N689" s="5" t="s">
        <v>4391</v>
      </c>
      <c r="O689" s="5" t="s">
        <v>3502</v>
      </c>
      <c r="P689" s="5">
        <v>4</v>
      </c>
      <c r="Q689" s="5">
        <v>1</v>
      </c>
      <c r="R689" s="5"/>
      <c r="S689" s="5">
        <v>90</v>
      </c>
      <c r="T689" s="5">
        <v>90</v>
      </c>
      <c r="U689" s="5">
        <v>90</v>
      </c>
    </row>
    <row r="690" spans="1:21" x14ac:dyDescent="0.25">
      <c r="A690" s="5" t="s">
        <v>5281</v>
      </c>
      <c r="B690" s="5" t="s">
        <v>5282</v>
      </c>
      <c r="C690" s="5" t="s">
        <v>3548</v>
      </c>
      <c r="D690" s="5" t="s">
        <v>3782</v>
      </c>
      <c r="E690" s="5" t="s">
        <v>4363</v>
      </c>
      <c r="F690" s="5" t="s">
        <v>4390</v>
      </c>
      <c r="G690" s="5" t="s">
        <v>3493</v>
      </c>
      <c r="H690" s="5"/>
      <c r="I690" s="5" t="s">
        <v>3448</v>
      </c>
      <c r="J690" s="5" t="s">
        <v>3783</v>
      </c>
      <c r="K690" s="5" t="s">
        <v>4363</v>
      </c>
      <c r="L690" s="5">
        <v>32</v>
      </c>
      <c r="M690" s="5">
        <v>3</v>
      </c>
      <c r="N690" s="5" t="s">
        <v>4391</v>
      </c>
      <c r="O690" s="5" t="s">
        <v>3494</v>
      </c>
      <c r="P690" s="5">
        <v>4</v>
      </c>
      <c r="Q690" s="5">
        <v>1</v>
      </c>
      <c r="R690" s="5"/>
      <c r="S690" s="5">
        <v>83</v>
      </c>
      <c r="T690" s="5">
        <v>83</v>
      </c>
      <c r="U690" s="5">
        <v>83</v>
      </c>
    </row>
    <row r="691" spans="1:21" x14ac:dyDescent="0.25">
      <c r="A691" s="5" t="s">
        <v>5287</v>
      </c>
      <c r="B691" s="5" t="s">
        <v>5288</v>
      </c>
      <c r="C691" s="5" t="s">
        <v>3548</v>
      </c>
      <c r="D691" s="5" t="s">
        <v>3782</v>
      </c>
      <c r="E691" s="5" t="s">
        <v>4363</v>
      </c>
      <c r="F691" s="5" t="s">
        <v>3564</v>
      </c>
      <c r="G691" s="5"/>
      <c r="H691" s="5"/>
      <c r="I691" s="5" t="s">
        <v>3448</v>
      </c>
      <c r="J691" s="5" t="s">
        <v>3783</v>
      </c>
      <c r="K691" s="5" t="s">
        <v>4363</v>
      </c>
      <c r="L691" s="5">
        <v>32</v>
      </c>
      <c r="M691" s="5">
        <v>3</v>
      </c>
      <c r="N691" s="5" t="s">
        <v>3566</v>
      </c>
      <c r="O691" s="5"/>
      <c r="P691" s="5">
        <v>4</v>
      </c>
      <c r="Q691" s="5">
        <v>1</v>
      </c>
      <c r="R691" s="5"/>
      <c r="S691" s="5">
        <v>110</v>
      </c>
      <c r="T691" s="5">
        <v>110</v>
      </c>
      <c r="U691" s="5">
        <v>110</v>
      </c>
    </row>
    <row r="692" spans="1:21" x14ac:dyDescent="0.25">
      <c r="A692" s="5" t="s">
        <v>5289</v>
      </c>
      <c r="B692" s="5" t="s">
        <v>5290</v>
      </c>
      <c r="C692" s="5" t="s">
        <v>3548</v>
      </c>
      <c r="D692" s="5" t="s">
        <v>3782</v>
      </c>
      <c r="E692" s="5" t="s">
        <v>4363</v>
      </c>
      <c r="F692" s="5" t="s">
        <v>4004</v>
      </c>
      <c r="G692" s="5" t="s">
        <v>3501</v>
      </c>
      <c r="H692" s="5"/>
      <c r="I692" s="5" t="s">
        <v>3448</v>
      </c>
      <c r="J692" s="5" t="s">
        <v>3783</v>
      </c>
      <c r="K692" s="5" t="s">
        <v>4363</v>
      </c>
      <c r="L692" s="5">
        <v>32</v>
      </c>
      <c r="M692" s="5">
        <v>3</v>
      </c>
      <c r="N692" s="5" t="s">
        <v>4005</v>
      </c>
      <c r="O692" s="5" t="s">
        <v>3502</v>
      </c>
      <c r="P692" s="5">
        <v>4</v>
      </c>
      <c r="Q692" s="5">
        <v>1</v>
      </c>
      <c r="R692" s="5"/>
      <c r="S692" s="5">
        <v>98</v>
      </c>
      <c r="T692" s="5">
        <v>98</v>
      </c>
      <c r="U692" s="5">
        <v>98</v>
      </c>
    </row>
    <row r="693" spans="1:21" x14ac:dyDescent="0.25">
      <c r="A693" s="5" t="s">
        <v>5291</v>
      </c>
      <c r="B693" s="5" t="s">
        <v>5292</v>
      </c>
      <c r="C693" s="5" t="s">
        <v>3548</v>
      </c>
      <c r="D693" s="5" t="s">
        <v>3782</v>
      </c>
      <c r="E693" s="5" t="s">
        <v>4363</v>
      </c>
      <c r="F693" s="5" t="s">
        <v>4004</v>
      </c>
      <c r="G693" s="5" t="s">
        <v>3493</v>
      </c>
      <c r="H693" s="5"/>
      <c r="I693" s="5" t="s">
        <v>3448</v>
      </c>
      <c r="J693" s="5" t="s">
        <v>3783</v>
      </c>
      <c r="K693" s="5" t="s">
        <v>4363</v>
      </c>
      <c r="L693" s="5">
        <v>32</v>
      </c>
      <c r="M693" s="5">
        <v>3</v>
      </c>
      <c r="N693" s="5" t="s">
        <v>4005</v>
      </c>
      <c r="O693" s="5" t="s">
        <v>3494</v>
      </c>
      <c r="P693" s="5">
        <v>4</v>
      </c>
      <c r="Q693" s="5">
        <v>1</v>
      </c>
      <c r="R693" s="5"/>
      <c r="S693" s="5">
        <v>93</v>
      </c>
      <c r="T693" s="5">
        <v>93</v>
      </c>
      <c r="U693" s="5">
        <v>93</v>
      </c>
    </row>
    <row r="694" spans="1:21" x14ac:dyDescent="0.25">
      <c r="A694" s="5" t="s">
        <v>5299</v>
      </c>
      <c r="B694" s="5" t="s">
        <v>5300</v>
      </c>
      <c r="C694" s="5" t="s">
        <v>3548</v>
      </c>
      <c r="D694" s="5" t="s">
        <v>3782</v>
      </c>
      <c r="E694" s="5" t="s">
        <v>4363</v>
      </c>
      <c r="F694" s="5" t="s">
        <v>4421</v>
      </c>
      <c r="G694" s="5" t="s">
        <v>3501</v>
      </c>
      <c r="H694" s="5"/>
      <c r="I694" s="5" t="s">
        <v>3448</v>
      </c>
      <c r="J694" s="5" t="s">
        <v>3783</v>
      </c>
      <c r="K694" s="5" t="s">
        <v>4363</v>
      </c>
      <c r="L694" s="5">
        <v>32</v>
      </c>
      <c r="M694" s="5">
        <v>3</v>
      </c>
      <c r="N694" s="5" t="s">
        <v>4422</v>
      </c>
      <c r="O694" s="5" t="s">
        <v>3502</v>
      </c>
      <c r="P694" s="5">
        <v>4</v>
      </c>
      <c r="Q694" s="5">
        <v>1</v>
      </c>
      <c r="R694" s="5"/>
      <c r="S694" s="5">
        <v>91</v>
      </c>
      <c r="T694" s="5">
        <v>91</v>
      </c>
      <c r="U694" s="5">
        <v>91</v>
      </c>
    </row>
    <row r="695" spans="1:21" x14ac:dyDescent="0.25">
      <c r="A695" s="5" t="s">
        <v>5301</v>
      </c>
      <c r="B695" s="5" t="s">
        <v>5302</v>
      </c>
      <c r="C695" s="5" t="s">
        <v>3548</v>
      </c>
      <c r="D695" s="5" t="s">
        <v>3782</v>
      </c>
      <c r="E695" s="5" t="s">
        <v>4363</v>
      </c>
      <c r="F695" s="5" t="s">
        <v>4421</v>
      </c>
      <c r="G695" s="5" t="s">
        <v>3493</v>
      </c>
      <c r="H695" s="5"/>
      <c r="I695" s="5" t="s">
        <v>3448</v>
      </c>
      <c r="J695" s="5" t="s">
        <v>3783</v>
      </c>
      <c r="K695" s="5" t="s">
        <v>4363</v>
      </c>
      <c r="L695" s="5">
        <v>32</v>
      </c>
      <c r="M695" s="5">
        <v>3</v>
      </c>
      <c r="N695" s="5" t="s">
        <v>4422</v>
      </c>
      <c r="O695" s="5" t="s">
        <v>3494</v>
      </c>
      <c r="P695" s="5">
        <v>4</v>
      </c>
      <c r="Q695" s="5">
        <v>1</v>
      </c>
      <c r="R695" s="5"/>
      <c r="S695" s="5">
        <v>85</v>
      </c>
      <c r="T695" s="5">
        <v>85</v>
      </c>
      <c r="U695" s="5">
        <v>85</v>
      </c>
    </row>
    <row r="696" spans="1:21" x14ac:dyDescent="0.25">
      <c r="A696" s="5" t="s">
        <v>5307</v>
      </c>
      <c r="B696" s="5" t="s">
        <v>5308</v>
      </c>
      <c r="C696" s="5" t="s">
        <v>3548</v>
      </c>
      <c r="D696" s="5" t="s">
        <v>3782</v>
      </c>
      <c r="E696" s="5" t="s">
        <v>4363</v>
      </c>
      <c r="F696" s="5" t="s">
        <v>5173</v>
      </c>
      <c r="G696" s="5" t="s">
        <v>3501</v>
      </c>
      <c r="H696" s="5"/>
      <c r="I696" s="5" t="s">
        <v>3448</v>
      </c>
      <c r="J696" s="5" t="s">
        <v>3783</v>
      </c>
      <c r="K696" s="5" t="s">
        <v>4363</v>
      </c>
      <c r="L696" s="5">
        <v>32</v>
      </c>
      <c r="M696" s="5">
        <v>1</v>
      </c>
      <c r="N696" s="5" t="s">
        <v>5174</v>
      </c>
      <c r="O696" s="5" t="s">
        <v>3502</v>
      </c>
      <c r="P696" s="5">
        <v>4</v>
      </c>
      <c r="Q696" s="5">
        <v>1</v>
      </c>
      <c r="R696" s="5"/>
      <c r="S696" s="5">
        <v>35</v>
      </c>
      <c r="T696" s="5">
        <v>35</v>
      </c>
      <c r="U696" s="5">
        <v>35</v>
      </c>
    </row>
    <row r="697" spans="1:21" x14ac:dyDescent="0.25">
      <c r="A697" s="5" t="s">
        <v>5309</v>
      </c>
      <c r="B697" s="5" t="s">
        <v>5310</v>
      </c>
      <c r="C697" s="5" t="s">
        <v>3548</v>
      </c>
      <c r="D697" s="5" t="s">
        <v>3782</v>
      </c>
      <c r="E697" s="5" t="s">
        <v>4363</v>
      </c>
      <c r="F697" s="5" t="s">
        <v>5173</v>
      </c>
      <c r="G697" s="5" t="s">
        <v>3493</v>
      </c>
      <c r="H697" s="5"/>
      <c r="I697" s="5" t="s">
        <v>3448</v>
      </c>
      <c r="J697" s="5" t="s">
        <v>3783</v>
      </c>
      <c r="K697" s="5" t="s">
        <v>4363</v>
      </c>
      <c r="L697" s="5">
        <v>32</v>
      </c>
      <c r="M697" s="5">
        <v>1</v>
      </c>
      <c r="N697" s="5" t="s">
        <v>5174</v>
      </c>
      <c r="O697" s="5" t="s">
        <v>3494</v>
      </c>
      <c r="P697" s="5">
        <v>4</v>
      </c>
      <c r="Q697" s="5">
        <v>1</v>
      </c>
      <c r="R697" s="5"/>
      <c r="S697" s="5">
        <v>29</v>
      </c>
      <c r="T697" s="5">
        <v>29</v>
      </c>
      <c r="U697" s="5">
        <v>29</v>
      </c>
    </row>
    <row r="698" spans="1:21" x14ac:dyDescent="0.25">
      <c r="A698" s="5" t="s">
        <v>5315</v>
      </c>
      <c r="B698" s="5" t="s">
        <v>5316</v>
      </c>
      <c r="C698" s="5" t="s">
        <v>3548</v>
      </c>
      <c r="D698" s="5" t="s">
        <v>3782</v>
      </c>
      <c r="E698" s="5" t="s">
        <v>4363</v>
      </c>
      <c r="F698" s="5" t="s">
        <v>3584</v>
      </c>
      <c r="G698" s="5" t="s">
        <v>3501</v>
      </c>
      <c r="H698" s="5"/>
      <c r="I698" s="5" t="s">
        <v>3448</v>
      </c>
      <c r="J698" s="5" t="s">
        <v>3783</v>
      </c>
      <c r="K698" s="5" t="s">
        <v>4363</v>
      </c>
      <c r="L698" s="5">
        <v>32</v>
      </c>
      <c r="M698" s="5">
        <v>1</v>
      </c>
      <c r="N698" s="5" t="s">
        <v>3585</v>
      </c>
      <c r="O698" s="5" t="s">
        <v>3502</v>
      </c>
      <c r="P698" s="5">
        <v>4</v>
      </c>
      <c r="Q698" s="5">
        <v>1</v>
      </c>
      <c r="R698" s="5"/>
      <c r="S698" s="5">
        <v>41</v>
      </c>
      <c r="T698" s="5">
        <v>41</v>
      </c>
      <c r="U698" s="5">
        <v>41</v>
      </c>
    </row>
    <row r="699" spans="1:21" x14ac:dyDescent="0.25">
      <c r="A699" s="5" t="s">
        <v>5321</v>
      </c>
      <c r="B699" s="5" t="s">
        <v>5322</v>
      </c>
      <c r="C699" s="5" t="s">
        <v>3548</v>
      </c>
      <c r="D699" s="5" t="s">
        <v>3782</v>
      </c>
      <c r="E699" s="5" t="s">
        <v>4363</v>
      </c>
      <c r="F699" s="5" t="s">
        <v>3584</v>
      </c>
      <c r="G699" s="5" t="s">
        <v>3493</v>
      </c>
      <c r="H699" s="5"/>
      <c r="I699" s="5" t="s">
        <v>3448</v>
      </c>
      <c r="J699" s="5" t="s">
        <v>3783</v>
      </c>
      <c r="K699" s="5" t="s">
        <v>4363</v>
      </c>
      <c r="L699" s="5">
        <v>32</v>
      </c>
      <c r="M699" s="5">
        <v>1</v>
      </c>
      <c r="N699" s="5" t="s">
        <v>3585</v>
      </c>
      <c r="O699" s="5" t="s">
        <v>3494</v>
      </c>
      <c r="P699" s="5">
        <v>4</v>
      </c>
      <c r="Q699" s="5">
        <v>1</v>
      </c>
      <c r="R699" s="5"/>
      <c r="S699" s="5">
        <v>31</v>
      </c>
      <c r="T699" s="5">
        <v>31</v>
      </c>
      <c r="U699" s="5">
        <v>31</v>
      </c>
    </row>
    <row r="700" spans="1:21" x14ac:dyDescent="0.25">
      <c r="A700" s="5" t="s">
        <v>5349</v>
      </c>
      <c r="B700" s="5" t="s">
        <v>5350</v>
      </c>
      <c r="C700" s="5" t="s">
        <v>3548</v>
      </c>
      <c r="D700" s="5" t="s">
        <v>3782</v>
      </c>
      <c r="E700" s="5" t="s">
        <v>4363</v>
      </c>
      <c r="F700" s="5" t="s">
        <v>4390</v>
      </c>
      <c r="G700" s="5" t="s">
        <v>3501</v>
      </c>
      <c r="H700" s="5"/>
      <c r="I700" s="5" t="s">
        <v>3448</v>
      </c>
      <c r="J700" s="5" t="s">
        <v>3783</v>
      </c>
      <c r="K700" s="5" t="s">
        <v>4363</v>
      </c>
      <c r="L700" s="5">
        <v>32</v>
      </c>
      <c r="M700" s="5">
        <v>1</v>
      </c>
      <c r="N700" s="5" t="s">
        <v>4391</v>
      </c>
      <c r="O700" s="5" t="s">
        <v>3502</v>
      </c>
      <c r="P700" s="5">
        <v>4</v>
      </c>
      <c r="Q700" s="5">
        <v>1</v>
      </c>
      <c r="R700" s="5"/>
      <c r="S700" s="5">
        <v>32</v>
      </c>
      <c r="T700" s="5">
        <v>32</v>
      </c>
      <c r="U700" s="5">
        <v>32</v>
      </c>
    </row>
    <row r="701" spans="1:21" x14ac:dyDescent="0.25">
      <c r="A701" s="5" t="s">
        <v>5351</v>
      </c>
      <c r="B701" s="5" t="s">
        <v>5352</v>
      </c>
      <c r="C701" s="5" t="s">
        <v>3548</v>
      </c>
      <c r="D701" s="5" t="s">
        <v>3782</v>
      </c>
      <c r="E701" s="5" t="s">
        <v>4363</v>
      </c>
      <c r="F701" s="5" t="s">
        <v>4390</v>
      </c>
      <c r="G701" s="5" t="s">
        <v>3493</v>
      </c>
      <c r="H701" s="5"/>
      <c r="I701" s="5" t="s">
        <v>3448</v>
      </c>
      <c r="J701" s="5" t="s">
        <v>3783</v>
      </c>
      <c r="K701" s="5" t="s">
        <v>4363</v>
      </c>
      <c r="L701" s="5">
        <v>32</v>
      </c>
      <c r="M701" s="5">
        <v>1</v>
      </c>
      <c r="N701" s="5" t="s">
        <v>4391</v>
      </c>
      <c r="O701" s="5" t="s">
        <v>3494</v>
      </c>
      <c r="P701" s="5">
        <v>4</v>
      </c>
      <c r="Q701" s="5">
        <v>1</v>
      </c>
      <c r="R701" s="5"/>
      <c r="S701" s="5">
        <v>28</v>
      </c>
      <c r="T701" s="5">
        <v>28</v>
      </c>
      <c r="U701" s="5">
        <v>28</v>
      </c>
    </row>
    <row r="702" spans="1:21" x14ac:dyDescent="0.25">
      <c r="A702" s="5" t="s">
        <v>5369</v>
      </c>
      <c r="B702" s="5" t="s">
        <v>5370</v>
      </c>
      <c r="C702" s="5" t="s">
        <v>3548</v>
      </c>
      <c r="D702" s="5" t="s">
        <v>3782</v>
      </c>
      <c r="E702" s="5" t="s">
        <v>4363</v>
      </c>
      <c r="F702" s="5" t="s">
        <v>3584</v>
      </c>
      <c r="G702" s="5" t="s">
        <v>3501</v>
      </c>
      <c r="H702" s="5"/>
      <c r="I702" s="5" t="s">
        <v>3448</v>
      </c>
      <c r="J702" s="5" t="s">
        <v>3783</v>
      </c>
      <c r="K702" s="5" t="s">
        <v>4363</v>
      </c>
      <c r="L702" s="5">
        <v>32</v>
      </c>
      <c r="M702" s="5">
        <v>4</v>
      </c>
      <c r="N702" s="5" t="s">
        <v>3585</v>
      </c>
      <c r="O702" s="5" t="s">
        <v>3502</v>
      </c>
      <c r="P702" s="5">
        <v>4</v>
      </c>
      <c r="Q702" s="5">
        <v>2</v>
      </c>
      <c r="R702" s="5"/>
      <c r="S702" s="5">
        <v>154</v>
      </c>
      <c r="T702" s="5">
        <v>154</v>
      </c>
      <c r="U702" s="5">
        <v>154</v>
      </c>
    </row>
    <row r="703" spans="1:21" x14ac:dyDescent="0.25">
      <c r="A703" s="5" t="s">
        <v>5371</v>
      </c>
      <c r="B703" s="5" t="s">
        <v>5372</v>
      </c>
      <c r="C703" s="5" t="s">
        <v>3548</v>
      </c>
      <c r="D703" s="5" t="s">
        <v>3782</v>
      </c>
      <c r="E703" s="5" t="s">
        <v>4363</v>
      </c>
      <c r="F703" s="5" t="s">
        <v>3584</v>
      </c>
      <c r="G703" s="5" t="s">
        <v>3493</v>
      </c>
      <c r="H703" s="5"/>
      <c r="I703" s="5" t="s">
        <v>3448</v>
      </c>
      <c r="J703" s="5" t="s">
        <v>3783</v>
      </c>
      <c r="K703" s="5" t="s">
        <v>4363</v>
      </c>
      <c r="L703" s="5">
        <v>32</v>
      </c>
      <c r="M703" s="5">
        <v>4</v>
      </c>
      <c r="N703" s="5" t="s">
        <v>3585</v>
      </c>
      <c r="O703" s="5" t="s">
        <v>3494</v>
      </c>
      <c r="P703" s="5">
        <v>4</v>
      </c>
      <c r="Q703" s="5">
        <v>2</v>
      </c>
      <c r="R703" s="5"/>
      <c r="S703" s="5">
        <v>118</v>
      </c>
      <c r="T703" s="5">
        <v>118</v>
      </c>
      <c r="U703" s="5">
        <v>118</v>
      </c>
    </row>
    <row r="704" spans="1:21" x14ac:dyDescent="0.25">
      <c r="A704" s="5" t="s">
        <v>5377</v>
      </c>
      <c r="B704" s="5" t="s">
        <v>5378</v>
      </c>
      <c r="C704" s="5" t="s">
        <v>3548</v>
      </c>
      <c r="D704" s="5" t="s">
        <v>3782</v>
      </c>
      <c r="E704" s="5" t="s">
        <v>4363</v>
      </c>
      <c r="F704" s="5" t="s">
        <v>4004</v>
      </c>
      <c r="G704" s="5" t="s">
        <v>3493</v>
      </c>
      <c r="H704" s="5"/>
      <c r="I704" s="5" t="s">
        <v>3448</v>
      </c>
      <c r="J704" s="5" t="s">
        <v>3783</v>
      </c>
      <c r="K704" s="5" t="s">
        <v>4363</v>
      </c>
      <c r="L704" s="5">
        <v>32</v>
      </c>
      <c r="M704" s="5">
        <v>4</v>
      </c>
      <c r="N704" s="5" t="s">
        <v>4005</v>
      </c>
      <c r="O704" s="5" t="s">
        <v>3494</v>
      </c>
      <c r="P704" s="5">
        <v>4</v>
      </c>
      <c r="Q704" s="5">
        <v>2</v>
      </c>
      <c r="R704" s="5"/>
      <c r="S704" s="5">
        <v>120</v>
      </c>
      <c r="T704" s="5">
        <v>120</v>
      </c>
      <c r="U704" s="5">
        <v>120</v>
      </c>
    </row>
    <row r="705" spans="1:21" x14ac:dyDescent="0.25">
      <c r="A705" s="5" t="s">
        <v>5381</v>
      </c>
      <c r="B705" s="5" t="s">
        <v>5382</v>
      </c>
      <c r="C705" s="5" t="s">
        <v>3548</v>
      </c>
      <c r="D705" s="5" t="s">
        <v>3782</v>
      </c>
      <c r="E705" s="5" t="s">
        <v>4363</v>
      </c>
      <c r="F705" s="5" t="s">
        <v>5173</v>
      </c>
      <c r="G705" s="5" t="s">
        <v>3493</v>
      </c>
      <c r="H705" s="5"/>
      <c r="I705" s="5" t="s">
        <v>3448</v>
      </c>
      <c r="J705" s="5" t="s">
        <v>3783</v>
      </c>
      <c r="K705" s="5" t="s">
        <v>4363</v>
      </c>
      <c r="L705" s="5">
        <v>32</v>
      </c>
      <c r="M705" s="5">
        <v>4</v>
      </c>
      <c r="N705" s="5" t="s">
        <v>5174</v>
      </c>
      <c r="O705" s="5" t="s">
        <v>3494</v>
      </c>
      <c r="P705" s="5">
        <v>4</v>
      </c>
      <c r="Q705" s="5">
        <v>1</v>
      </c>
      <c r="R705" s="5"/>
      <c r="S705" s="5">
        <v>113</v>
      </c>
      <c r="T705" s="5">
        <v>113</v>
      </c>
      <c r="U705" s="5">
        <v>113</v>
      </c>
    </row>
    <row r="706" spans="1:21" x14ac:dyDescent="0.25">
      <c r="A706" s="5" t="s">
        <v>5387</v>
      </c>
      <c r="B706" s="5" t="s">
        <v>5388</v>
      </c>
      <c r="C706" s="5" t="s">
        <v>3548</v>
      </c>
      <c r="D706" s="5" t="s">
        <v>3782</v>
      </c>
      <c r="E706" s="5" t="s">
        <v>4363</v>
      </c>
      <c r="F706" s="5" t="s">
        <v>3584</v>
      </c>
      <c r="G706" s="5" t="s">
        <v>3501</v>
      </c>
      <c r="H706" s="5"/>
      <c r="I706" s="5" t="s">
        <v>3448</v>
      </c>
      <c r="J706" s="5" t="s">
        <v>3783</v>
      </c>
      <c r="K706" s="5" t="s">
        <v>4363</v>
      </c>
      <c r="L706" s="5">
        <v>32</v>
      </c>
      <c r="M706" s="5">
        <v>4</v>
      </c>
      <c r="N706" s="5" t="s">
        <v>3585</v>
      </c>
      <c r="O706" s="5" t="s">
        <v>3502</v>
      </c>
      <c r="P706" s="5">
        <v>4</v>
      </c>
      <c r="Q706" s="5">
        <v>1</v>
      </c>
      <c r="R706" s="5"/>
      <c r="S706" s="5">
        <v>121</v>
      </c>
      <c r="T706" s="5">
        <v>121</v>
      </c>
      <c r="U706" s="5">
        <v>121</v>
      </c>
    </row>
    <row r="707" spans="1:21" x14ac:dyDescent="0.25">
      <c r="A707" s="5" t="s">
        <v>5389</v>
      </c>
      <c r="B707" s="5" t="s">
        <v>5390</v>
      </c>
      <c r="C707" s="5" t="s">
        <v>3548</v>
      </c>
      <c r="D707" s="5" t="s">
        <v>3782</v>
      </c>
      <c r="E707" s="5" t="s">
        <v>4363</v>
      </c>
      <c r="F707" s="5" t="s">
        <v>3584</v>
      </c>
      <c r="G707" s="5" t="s">
        <v>3493</v>
      </c>
      <c r="H707" s="5"/>
      <c r="I707" s="5" t="s">
        <v>3448</v>
      </c>
      <c r="J707" s="5" t="s">
        <v>3783</v>
      </c>
      <c r="K707" s="5" t="s">
        <v>4363</v>
      </c>
      <c r="L707" s="5">
        <v>32</v>
      </c>
      <c r="M707" s="5">
        <v>4</v>
      </c>
      <c r="N707" s="5" t="s">
        <v>3585</v>
      </c>
      <c r="O707" s="5" t="s">
        <v>3494</v>
      </c>
      <c r="P707" s="5">
        <v>4</v>
      </c>
      <c r="Q707" s="5">
        <v>1</v>
      </c>
      <c r="R707" s="5"/>
      <c r="S707" s="5">
        <v>112</v>
      </c>
      <c r="T707" s="5">
        <v>112</v>
      </c>
      <c r="U707" s="5">
        <v>112</v>
      </c>
    </row>
    <row r="708" spans="1:21" x14ac:dyDescent="0.25">
      <c r="A708" s="5" t="s">
        <v>5397</v>
      </c>
      <c r="B708" s="5" t="s">
        <v>5398</v>
      </c>
      <c r="C708" s="5" t="s">
        <v>3548</v>
      </c>
      <c r="D708" s="5" t="s">
        <v>3782</v>
      </c>
      <c r="E708" s="5" t="s">
        <v>4363</v>
      </c>
      <c r="F708" s="5" t="s">
        <v>4390</v>
      </c>
      <c r="G708" s="5" t="s">
        <v>3493</v>
      </c>
      <c r="H708" s="5"/>
      <c r="I708" s="5" t="s">
        <v>3448</v>
      </c>
      <c r="J708" s="5" t="s">
        <v>3783</v>
      </c>
      <c r="K708" s="5" t="s">
        <v>4363</v>
      </c>
      <c r="L708" s="5">
        <v>32</v>
      </c>
      <c r="M708" s="5">
        <v>4</v>
      </c>
      <c r="N708" s="5" t="s">
        <v>4391</v>
      </c>
      <c r="O708" s="5" t="s">
        <v>3494</v>
      </c>
      <c r="P708" s="5">
        <v>4</v>
      </c>
      <c r="Q708" s="5">
        <v>1</v>
      </c>
      <c r="R708" s="5"/>
      <c r="S708" s="5">
        <v>108</v>
      </c>
      <c r="T708" s="5">
        <v>108</v>
      </c>
      <c r="U708" s="5">
        <v>108</v>
      </c>
    </row>
    <row r="709" spans="1:21" x14ac:dyDescent="0.25">
      <c r="A709" s="5" t="s">
        <v>5403</v>
      </c>
      <c r="B709" s="5" t="s">
        <v>5404</v>
      </c>
      <c r="C709" s="5" t="s">
        <v>3548</v>
      </c>
      <c r="D709" s="5" t="s">
        <v>3782</v>
      </c>
      <c r="E709" s="5" t="s">
        <v>4363</v>
      </c>
      <c r="F709" s="5" t="s">
        <v>3564</v>
      </c>
      <c r="G709" s="5"/>
      <c r="H709" s="5"/>
      <c r="I709" s="5" t="s">
        <v>3448</v>
      </c>
      <c r="J709" s="5" t="s">
        <v>3783</v>
      </c>
      <c r="K709" s="5" t="s">
        <v>4363</v>
      </c>
      <c r="L709" s="5">
        <v>32</v>
      </c>
      <c r="M709" s="5">
        <v>4</v>
      </c>
      <c r="N709" s="5" t="s">
        <v>3566</v>
      </c>
      <c r="O709" s="5"/>
      <c r="P709" s="5">
        <v>4</v>
      </c>
      <c r="Q709" s="5">
        <v>1</v>
      </c>
      <c r="R709" s="5"/>
      <c r="S709" s="5">
        <v>142</v>
      </c>
      <c r="T709" s="5">
        <v>142</v>
      </c>
      <c r="U709" s="5">
        <v>142</v>
      </c>
    </row>
    <row r="710" spans="1:21" x14ac:dyDescent="0.25">
      <c r="A710" s="5" t="s">
        <v>5405</v>
      </c>
      <c r="B710" s="5" t="s">
        <v>5406</v>
      </c>
      <c r="C710" s="5" t="s">
        <v>3548</v>
      </c>
      <c r="D710" s="5" t="s">
        <v>3782</v>
      </c>
      <c r="E710" s="5" t="s">
        <v>4363</v>
      </c>
      <c r="F710" s="5" t="s">
        <v>4004</v>
      </c>
      <c r="G710" s="5" t="s">
        <v>3493</v>
      </c>
      <c r="H710" s="5"/>
      <c r="I710" s="5" t="s">
        <v>3448</v>
      </c>
      <c r="J710" s="5" t="s">
        <v>3783</v>
      </c>
      <c r="K710" s="5" t="s">
        <v>4363</v>
      </c>
      <c r="L710" s="5">
        <v>32</v>
      </c>
      <c r="M710" s="5">
        <v>4</v>
      </c>
      <c r="N710" s="5" t="s">
        <v>4005</v>
      </c>
      <c r="O710" s="5" t="s">
        <v>3494</v>
      </c>
      <c r="P710" s="5">
        <v>4</v>
      </c>
      <c r="Q710" s="5">
        <v>1</v>
      </c>
      <c r="R710" s="5"/>
      <c r="S710" s="5">
        <v>118</v>
      </c>
      <c r="T710" s="5">
        <v>118</v>
      </c>
      <c r="U710" s="5">
        <v>118</v>
      </c>
    </row>
    <row r="711" spans="1:21" x14ac:dyDescent="0.25">
      <c r="A711" s="5" t="s">
        <v>5413</v>
      </c>
      <c r="B711" s="5" t="s">
        <v>5414</v>
      </c>
      <c r="C711" s="5" t="s">
        <v>3548</v>
      </c>
      <c r="D711" s="5" t="s">
        <v>3782</v>
      </c>
      <c r="E711" s="5" t="s">
        <v>4363</v>
      </c>
      <c r="F711" s="5" t="s">
        <v>4421</v>
      </c>
      <c r="G711" s="5" t="s">
        <v>3493</v>
      </c>
      <c r="H711" s="5"/>
      <c r="I711" s="5" t="s">
        <v>3448</v>
      </c>
      <c r="J711" s="5" t="s">
        <v>3783</v>
      </c>
      <c r="K711" s="5" t="s">
        <v>4363</v>
      </c>
      <c r="L711" s="5">
        <v>32</v>
      </c>
      <c r="M711" s="5">
        <v>4</v>
      </c>
      <c r="N711" s="5" t="s">
        <v>4422</v>
      </c>
      <c r="O711" s="5" t="s">
        <v>3494</v>
      </c>
      <c r="P711" s="5">
        <v>4</v>
      </c>
      <c r="Q711" s="5">
        <v>1</v>
      </c>
      <c r="R711" s="5"/>
      <c r="S711" s="5">
        <v>111</v>
      </c>
      <c r="T711" s="5">
        <v>111</v>
      </c>
      <c r="U711" s="5">
        <v>111</v>
      </c>
    </row>
    <row r="712" spans="1:21" x14ac:dyDescent="0.25">
      <c r="A712" s="5" t="s">
        <v>5417</v>
      </c>
      <c r="B712" s="5" t="s">
        <v>5418</v>
      </c>
      <c r="C712" s="5" t="s">
        <v>3548</v>
      </c>
      <c r="D712" s="5" t="s">
        <v>3782</v>
      </c>
      <c r="E712" s="5" t="s">
        <v>4363</v>
      </c>
      <c r="F712" s="5" t="s">
        <v>3564</v>
      </c>
      <c r="G712" s="5"/>
      <c r="H712" s="5"/>
      <c r="I712" s="5" t="s">
        <v>3448</v>
      </c>
      <c r="J712" s="5" t="s">
        <v>3783</v>
      </c>
      <c r="K712" s="5" t="s">
        <v>4363</v>
      </c>
      <c r="L712" s="5">
        <v>32</v>
      </c>
      <c r="M712" s="5">
        <v>1</v>
      </c>
      <c r="N712" s="5" t="s">
        <v>3566</v>
      </c>
      <c r="O712" s="5"/>
      <c r="P712" s="5">
        <v>4</v>
      </c>
      <c r="Q712" s="5">
        <v>1</v>
      </c>
      <c r="R712" s="5"/>
      <c r="S712" s="5">
        <v>35</v>
      </c>
      <c r="T712" s="5">
        <v>35</v>
      </c>
      <c r="U712" s="5">
        <v>35</v>
      </c>
    </row>
    <row r="713" spans="1:21" x14ac:dyDescent="0.25">
      <c r="A713" s="5" t="s">
        <v>5419</v>
      </c>
      <c r="B713" s="5" t="s">
        <v>5420</v>
      </c>
      <c r="C713" s="5" t="s">
        <v>3548</v>
      </c>
      <c r="D713" s="5" t="s">
        <v>3782</v>
      </c>
      <c r="E713" s="5" t="s">
        <v>4363</v>
      </c>
      <c r="F713" s="5" t="s">
        <v>4004</v>
      </c>
      <c r="G713" s="5" t="s">
        <v>3501</v>
      </c>
      <c r="H713" s="5"/>
      <c r="I713" s="5" t="s">
        <v>3448</v>
      </c>
      <c r="J713" s="5" t="s">
        <v>3783</v>
      </c>
      <c r="K713" s="5" t="s">
        <v>4363</v>
      </c>
      <c r="L713" s="5">
        <v>32</v>
      </c>
      <c r="M713" s="5">
        <v>1</v>
      </c>
      <c r="N713" s="5" t="s">
        <v>4005</v>
      </c>
      <c r="O713" s="5" t="s">
        <v>3502</v>
      </c>
      <c r="P713" s="5">
        <v>4</v>
      </c>
      <c r="Q713" s="5">
        <v>1</v>
      </c>
      <c r="R713" s="5"/>
      <c r="S713" s="5">
        <v>39</v>
      </c>
      <c r="T713" s="5">
        <v>39</v>
      </c>
      <c r="U713" s="5">
        <v>39</v>
      </c>
    </row>
    <row r="714" spans="1:21" x14ac:dyDescent="0.25">
      <c r="A714" s="5" t="s">
        <v>5425</v>
      </c>
      <c r="B714" s="5" t="s">
        <v>5426</v>
      </c>
      <c r="C714" s="5" t="s">
        <v>3548</v>
      </c>
      <c r="D714" s="5" t="s">
        <v>3782</v>
      </c>
      <c r="E714" s="5" t="s">
        <v>4363</v>
      </c>
      <c r="F714" s="5" t="s">
        <v>4004</v>
      </c>
      <c r="G714" s="5" t="s">
        <v>3493</v>
      </c>
      <c r="H714" s="5"/>
      <c r="I714" s="5" t="s">
        <v>3448</v>
      </c>
      <c r="J714" s="5" t="s">
        <v>3783</v>
      </c>
      <c r="K714" s="5" t="s">
        <v>4363</v>
      </c>
      <c r="L714" s="5">
        <v>32</v>
      </c>
      <c r="M714" s="5">
        <v>1</v>
      </c>
      <c r="N714" s="5" t="s">
        <v>4005</v>
      </c>
      <c r="O714" s="5" t="s">
        <v>3494</v>
      </c>
      <c r="P714" s="5">
        <v>4</v>
      </c>
      <c r="Q714" s="5">
        <v>1</v>
      </c>
      <c r="R714" s="5"/>
      <c r="S714" s="5">
        <v>32</v>
      </c>
      <c r="T714" s="5">
        <v>32</v>
      </c>
      <c r="U714" s="5">
        <v>32</v>
      </c>
    </row>
    <row r="715" spans="1:21" x14ac:dyDescent="0.25">
      <c r="A715" s="5" t="s">
        <v>5457</v>
      </c>
      <c r="B715" s="5" t="s">
        <v>5458</v>
      </c>
      <c r="C715" s="5" t="s">
        <v>3548</v>
      </c>
      <c r="D715" s="5" t="s">
        <v>3782</v>
      </c>
      <c r="E715" s="5" t="s">
        <v>4363</v>
      </c>
      <c r="F715" s="5" t="s">
        <v>4421</v>
      </c>
      <c r="G715" s="5" t="s">
        <v>3501</v>
      </c>
      <c r="H715" s="5"/>
      <c r="I715" s="5" t="s">
        <v>3448</v>
      </c>
      <c r="J715" s="5" t="s">
        <v>3783</v>
      </c>
      <c r="K715" s="5" t="s">
        <v>4363</v>
      </c>
      <c r="L715" s="5">
        <v>32</v>
      </c>
      <c r="M715" s="5">
        <v>1</v>
      </c>
      <c r="N715" s="5" t="s">
        <v>4422</v>
      </c>
      <c r="O715" s="5" t="s">
        <v>3502</v>
      </c>
      <c r="P715" s="5">
        <v>4</v>
      </c>
      <c r="Q715" s="5">
        <v>1</v>
      </c>
      <c r="R715" s="5"/>
      <c r="S715" s="5">
        <v>33</v>
      </c>
      <c r="T715" s="5">
        <v>33</v>
      </c>
      <c r="U715" s="5">
        <v>33</v>
      </c>
    </row>
    <row r="716" spans="1:21" x14ac:dyDescent="0.25">
      <c r="A716" s="5" t="s">
        <v>5459</v>
      </c>
      <c r="B716" s="5" t="s">
        <v>5460</v>
      </c>
      <c r="C716" s="5" t="s">
        <v>3548</v>
      </c>
      <c r="D716" s="5" t="s">
        <v>3782</v>
      </c>
      <c r="E716" s="5" t="s">
        <v>4363</v>
      </c>
      <c r="F716" s="5" t="s">
        <v>4421</v>
      </c>
      <c r="G716" s="5" t="s">
        <v>3493</v>
      </c>
      <c r="H716" s="5"/>
      <c r="I716" s="5" t="s">
        <v>3448</v>
      </c>
      <c r="J716" s="5" t="s">
        <v>3783</v>
      </c>
      <c r="K716" s="5" t="s">
        <v>4363</v>
      </c>
      <c r="L716" s="5">
        <v>32</v>
      </c>
      <c r="M716" s="5">
        <v>1</v>
      </c>
      <c r="N716" s="5" t="s">
        <v>4422</v>
      </c>
      <c r="O716" s="5" t="s">
        <v>3494</v>
      </c>
      <c r="P716" s="5">
        <v>4</v>
      </c>
      <c r="Q716" s="5">
        <v>1</v>
      </c>
      <c r="R716" s="5"/>
      <c r="S716" s="5">
        <v>30</v>
      </c>
      <c r="T716" s="5">
        <v>30</v>
      </c>
      <c r="U716" s="5">
        <v>30</v>
      </c>
    </row>
    <row r="717" spans="1:21" x14ac:dyDescent="0.25">
      <c r="A717" s="5" t="s">
        <v>5473</v>
      </c>
      <c r="B717" s="5" t="s">
        <v>5474</v>
      </c>
      <c r="C717" s="5" t="s">
        <v>3548</v>
      </c>
      <c r="D717" s="5" t="s">
        <v>3782</v>
      </c>
      <c r="E717" s="5" t="s">
        <v>4363</v>
      </c>
      <c r="F717" s="5" t="s">
        <v>3584</v>
      </c>
      <c r="G717" s="5" t="s">
        <v>3493</v>
      </c>
      <c r="H717" s="5"/>
      <c r="I717" s="5" t="s">
        <v>3448</v>
      </c>
      <c r="J717" s="5" t="s">
        <v>3783</v>
      </c>
      <c r="K717" s="5" t="s">
        <v>4363</v>
      </c>
      <c r="L717" s="5">
        <v>32</v>
      </c>
      <c r="M717" s="5">
        <v>5</v>
      </c>
      <c r="N717" s="5" t="s">
        <v>3585</v>
      </c>
      <c r="O717" s="5" t="s">
        <v>3494</v>
      </c>
      <c r="P717" s="5">
        <v>4</v>
      </c>
      <c r="Q717" s="5">
        <v>2</v>
      </c>
      <c r="R717" s="5"/>
      <c r="S717" s="5">
        <v>148</v>
      </c>
      <c r="T717" s="5">
        <v>148</v>
      </c>
      <c r="U717" s="5">
        <v>148</v>
      </c>
    </row>
    <row r="718" spans="1:21" x14ac:dyDescent="0.25">
      <c r="A718" s="5" t="s">
        <v>5475</v>
      </c>
      <c r="B718" s="5" t="s">
        <v>5476</v>
      </c>
      <c r="C718" s="5" t="s">
        <v>3548</v>
      </c>
      <c r="D718" s="5" t="s">
        <v>3782</v>
      </c>
      <c r="E718" s="5" t="s">
        <v>4363</v>
      </c>
      <c r="F718" s="5" t="s">
        <v>3584</v>
      </c>
      <c r="G718" s="5" t="s">
        <v>3501</v>
      </c>
      <c r="H718" s="5"/>
      <c r="I718" s="5" t="s">
        <v>3448</v>
      </c>
      <c r="J718" s="5" t="s">
        <v>3783</v>
      </c>
      <c r="K718" s="5" t="s">
        <v>4363</v>
      </c>
      <c r="L718" s="5">
        <v>32</v>
      </c>
      <c r="M718" s="5">
        <v>6</v>
      </c>
      <c r="N718" s="5" t="s">
        <v>3585</v>
      </c>
      <c r="O718" s="5" t="s">
        <v>3502</v>
      </c>
      <c r="P718" s="5">
        <v>4</v>
      </c>
      <c r="Q718" s="5">
        <v>2</v>
      </c>
      <c r="R718" s="5"/>
      <c r="S718" s="5">
        <v>222</v>
      </c>
      <c r="T718" s="5">
        <v>222</v>
      </c>
      <c r="U718" s="5">
        <v>222</v>
      </c>
    </row>
    <row r="719" spans="1:21" x14ac:dyDescent="0.25">
      <c r="A719" s="5" t="s">
        <v>5477</v>
      </c>
      <c r="B719" s="5" t="s">
        <v>5478</v>
      </c>
      <c r="C719" s="5" t="s">
        <v>3548</v>
      </c>
      <c r="D719" s="5" t="s">
        <v>3782</v>
      </c>
      <c r="E719" s="5" t="s">
        <v>4363</v>
      </c>
      <c r="F719" s="5" t="s">
        <v>3584</v>
      </c>
      <c r="G719" s="5" t="s">
        <v>3493</v>
      </c>
      <c r="H719" s="5"/>
      <c r="I719" s="5" t="s">
        <v>3448</v>
      </c>
      <c r="J719" s="5" t="s">
        <v>3783</v>
      </c>
      <c r="K719" s="5" t="s">
        <v>4363</v>
      </c>
      <c r="L719" s="5">
        <v>32</v>
      </c>
      <c r="M719" s="5">
        <v>6</v>
      </c>
      <c r="N719" s="5" t="s">
        <v>3585</v>
      </c>
      <c r="O719" s="5" t="s">
        <v>3494</v>
      </c>
      <c r="P719" s="5">
        <v>4</v>
      </c>
      <c r="Q719" s="5">
        <v>2</v>
      </c>
      <c r="R719" s="5"/>
      <c r="S719" s="5">
        <v>174</v>
      </c>
      <c r="T719" s="5">
        <v>174</v>
      </c>
      <c r="U719" s="5">
        <v>174</v>
      </c>
    </row>
    <row r="720" spans="1:21" x14ac:dyDescent="0.25">
      <c r="A720" s="5" t="s">
        <v>5483</v>
      </c>
      <c r="B720" s="5" t="s">
        <v>5484</v>
      </c>
      <c r="C720" s="5" t="s">
        <v>3548</v>
      </c>
      <c r="D720" s="5" t="s">
        <v>3782</v>
      </c>
      <c r="E720" s="5" t="s">
        <v>4363</v>
      </c>
      <c r="F720" s="5" t="s">
        <v>4390</v>
      </c>
      <c r="G720" s="5" t="s">
        <v>3501</v>
      </c>
      <c r="H720" s="5"/>
      <c r="I720" s="5" t="s">
        <v>3448</v>
      </c>
      <c r="J720" s="5" t="s">
        <v>3783</v>
      </c>
      <c r="K720" s="5" t="s">
        <v>4363</v>
      </c>
      <c r="L720" s="5">
        <v>32</v>
      </c>
      <c r="M720" s="5">
        <v>6</v>
      </c>
      <c r="N720" s="5" t="s">
        <v>4391</v>
      </c>
      <c r="O720" s="5" t="s">
        <v>3502</v>
      </c>
      <c r="P720" s="5">
        <v>4</v>
      </c>
      <c r="Q720" s="5">
        <v>2</v>
      </c>
      <c r="R720" s="5"/>
      <c r="S720" s="5">
        <v>192</v>
      </c>
      <c r="T720" s="5">
        <v>192</v>
      </c>
      <c r="U720" s="5">
        <v>192</v>
      </c>
    </row>
    <row r="721" spans="1:21" x14ac:dyDescent="0.25">
      <c r="A721" s="5" t="s">
        <v>5485</v>
      </c>
      <c r="B721" s="5" t="s">
        <v>5486</v>
      </c>
      <c r="C721" s="5" t="s">
        <v>3548</v>
      </c>
      <c r="D721" s="5" t="s">
        <v>3782</v>
      </c>
      <c r="E721" s="5" t="s">
        <v>4363</v>
      </c>
      <c r="F721" s="5" t="s">
        <v>4390</v>
      </c>
      <c r="G721" s="5" t="s">
        <v>3493</v>
      </c>
      <c r="H721" s="5"/>
      <c r="I721" s="5" t="s">
        <v>3448</v>
      </c>
      <c r="J721" s="5" t="s">
        <v>3783</v>
      </c>
      <c r="K721" s="5" t="s">
        <v>4363</v>
      </c>
      <c r="L721" s="5">
        <v>32</v>
      </c>
      <c r="M721" s="5">
        <v>6</v>
      </c>
      <c r="N721" s="5" t="s">
        <v>4391</v>
      </c>
      <c r="O721" s="5" t="s">
        <v>3494</v>
      </c>
      <c r="P721" s="5">
        <v>4</v>
      </c>
      <c r="Q721" s="5">
        <v>2</v>
      </c>
      <c r="R721" s="5"/>
      <c r="S721" s="5">
        <v>164</v>
      </c>
      <c r="T721" s="5">
        <v>164</v>
      </c>
      <c r="U721" s="5">
        <v>164</v>
      </c>
    </row>
    <row r="722" spans="1:21" x14ac:dyDescent="0.25">
      <c r="A722" s="5" t="s">
        <v>5505</v>
      </c>
      <c r="B722" s="5" t="s">
        <v>5506</v>
      </c>
      <c r="C722" s="5" t="s">
        <v>3548</v>
      </c>
      <c r="D722" s="5" t="s">
        <v>3782</v>
      </c>
      <c r="E722" s="5" t="s">
        <v>4363</v>
      </c>
      <c r="F722" s="5" t="s">
        <v>3584</v>
      </c>
      <c r="G722" s="5" t="s">
        <v>3501</v>
      </c>
      <c r="H722" s="5"/>
      <c r="I722" s="5" t="s">
        <v>3448</v>
      </c>
      <c r="J722" s="5" t="s">
        <v>3783</v>
      </c>
      <c r="K722" s="5" t="s">
        <v>4363</v>
      </c>
      <c r="L722" s="5">
        <v>32</v>
      </c>
      <c r="M722" s="5">
        <v>8</v>
      </c>
      <c r="N722" s="5" t="s">
        <v>3585</v>
      </c>
      <c r="O722" s="5" t="s">
        <v>3502</v>
      </c>
      <c r="P722" s="5">
        <v>4</v>
      </c>
      <c r="Q722" s="5">
        <v>2</v>
      </c>
      <c r="R722" s="5"/>
      <c r="S722" s="5">
        <v>308</v>
      </c>
      <c r="T722" s="5">
        <v>308</v>
      </c>
      <c r="U722" s="5">
        <v>308</v>
      </c>
    </row>
    <row r="723" spans="1:21" x14ac:dyDescent="0.25">
      <c r="A723" s="5" t="s">
        <v>5507</v>
      </c>
      <c r="B723" s="5" t="s">
        <v>5508</v>
      </c>
      <c r="C723" s="5" t="s">
        <v>3548</v>
      </c>
      <c r="D723" s="5" t="s">
        <v>3782</v>
      </c>
      <c r="E723" s="5" t="s">
        <v>4363</v>
      </c>
      <c r="F723" s="5" t="s">
        <v>3584</v>
      </c>
      <c r="G723" s="5" t="s">
        <v>3493</v>
      </c>
      <c r="H723" s="5"/>
      <c r="I723" s="5" t="s">
        <v>3448</v>
      </c>
      <c r="J723" s="5" t="s">
        <v>3783</v>
      </c>
      <c r="K723" s="5" t="s">
        <v>4363</v>
      </c>
      <c r="L723" s="5">
        <v>32</v>
      </c>
      <c r="M723" s="5">
        <v>8</v>
      </c>
      <c r="N723" s="5" t="s">
        <v>3585</v>
      </c>
      <c r="O723" s="5" t="s">
        <v>3494</v>
      </c>
      <c r="P723" s="5">
        <v>4</v>
      </c>
      <c r="Q723" s="5">
        <v>2</v>
      </c>
      <c r="R723" s="5"/>
      <c r="S723" s="5">
        <v>224</v>
      </c>
      <c r="T723" s="5">
        <v>224</v>
      </c>
      <c r="U723" s="5">
        <v>224</v>
      </c>
    </row>
    <row r="724" spans="1:21" x14ac:dyDescent="0.25">
      <c r="A724" s="5" t="s">
        <v>5513</v>
      </c>
      <c r="B724" s="5" t="s">
        <v>5514</v>
      </c>
      <c r="C724" s="5" t="s">
        <v>3548</v>
      </c>
      <c r="D724" s="5" t="s">
        <v>3782</v>
      </c>
      <c r="E724" s="5" t="s">
        <v>4363</v>
      </c>
      <c r="F724" s="5" t="s">
        <v>4004</v>
      </c>
      <c r="G724" s="5" t="s">
        <v>3493</v>
      </c>
      <c r="H724" s="5"/>
      <c r="I724" s="5" t="s">
        <v>3448</v>
      </c>
      <c r="J724" s="5" t="s">
        <v>3783</v>
      </c>
      <c r="K724" s="5" t="s">
        <v>4363</v>
      </c>
      <c r="L724" s="5">
        <v>32</v>
      </c>
      <c r="M724" s="5">
        <v>8</v>
      </c>
      <c r="N724" s="5" t="s">
        <v>4005</v>
      </c>
      <c r="O724" s="5" t="s">
        <v>3494</v>
      </c>
      <c r="P724" s="5">
        <v>4</v>
      </c>
      <c r="Q724" s="5">
        <v>2</v>
      </c>
      <c r="R724" s="5"/>
      <c r="S724" s="5">
        <v>225</v>
      </c>
      <c r="T724" s="5">
        <v>225</v>
      </c>
      <c r="U724" s="5">
        <v>225</v>
      </c>
    </row>
    <row r="725" spans="1:21" x14ac:dyDescent="0.25">
      <c r="A725" s="5" t="s">
        <v>5519</v>
      </c>
      <c r="B725" s="5" t="s">
        <v>5520</v>
      </c>
      <c r="C725" s="5" t="s">
        <v>3548</v>
      </c>
      <c r="D725" s="5" t="s">
        <v>3782</v>
      </c>
      <c r="E725" s="5" t="s">
        <v>4363</v>
      </c>
      <c r="F725" s="5" t="s">
        <v>3584</v>
      </c>
      <c r="G725" s="5" t="s">
        <v>3501</v>
      </c>
      <c r="H725" s="5"/>
      <c r="I725" s="5" t="s">
        <v>3448</v>
      </c>
      <c r="J725" s="5" t="s">
        <v>3783</v>
      </c>
      <c r="K725" s="5" t="s">
        <v>4363</v>
      </c>
      <c r="L725" s="5">
        <v>40</v>
      </c>
      <c r="M725" s="5">
        <v>2</v>
      </c>
      <c r="N725" s="5" t="s">
        <v>3585</v>
      </c>
      <c r="O725" s="5" t="s">
        <v>3502</v>
      </c>
      <c r="P725" s="5">
        <v>5</v>
      </c>
      <c r="Q725" s="5">
        <v>1</v>
      </c>
      <c r="R725" s="5"/>
      <c r="S725" s="5">
        <v>80</v>
      </c>
      <c r="T725" s="5">
        <v>80</v>
      </c>
      <c r="U725" s="5">
        <v>80</v>
      </c>
    </row>
    <row r="726" spans="1:21" x14ac:dyDescent="0.25">
      <c r="A726" s="5" t="s">
        <v>5521</v>
      </c>
      <c r="B726" s="5" t="s">
        <v>5522</v>
      </c>
      <c r="C726" s="5" t="s">
        <v>3548</v>
      </c>
      <c r="D726" s="5" t="s">
        <v>3782</v>
      </c>
      <c r="E726" s="5" t="s">
        <v>4363</v>
      </c>
      <c r="F726" s="5" t="s">
        <v>3584</v>
      </c>
      <c r="G726" s="5" t="s">
        <v>3493</v>
      </c>
      <c r="H726" s="5"/>
      <c r="I726" s="5" t="s">
        <v>3448</v>
      </c>
      <c r="J726" s="5" t="s">
        <v>3783</v>
      </c>
      <c r="K726" s="5" t="s">
        <v>4363</v>
      </c>
      <c r="L726" s="5">
        <v>40</v>
      </c>
      <c r="M726" s="5">
        <v>2</v>
      </c>
      <c r="N726" s="5" t="s">
        <v>3585</v>
      </c>
      <c r="O726" s="5" t="s">
        <v>3494</v>
      </c>
      <c r="P726" s="5">
        <v>5</v>
      </c>
      <c r="Q726" s="5">
        <v>1</v>
      </c>
      <c r="R726" s="5"/>
      <c r="S726" s="5">
        <v>73</v>
      </c>
      <c r="T726" s="5">
        <v>73</v>
      </c>
      <c r="U726" s="5">
        <v>73</v>
      </c>
    </row>
    <row r="727" spans="1:21" x14ac:dyDescent="0.25">
      <c r="A727" s="5" t="s">
        <v>5529</v>
      </c>
      <c r="B727" s="5" t="s">
        <v>5530</v>
      </c>
      <c r="C727" s="5" t="s">
        <v>3548</v>
      </c>
      <c r="D727" s="5" t="s">
        <v>3782</v>
      </c>
      <c r="E727" s="5" t="s">
        <v>4363</v>
      </c>
      <c r="F727" s="5" t="s">
        <v>4390</v>
      </c>
      <c r="G727" s="5" t="s">
        <v>3493</v>
      </c>
      <c r="H727" s="5"/>
      <c r="I727" s="5" t="s">
        <v>3448</v>
      </c>
      <c r="J727" s="5" t="s">
        <v>3783</v>
      </c>
      <c r="K727" s="5" t="s">
        <v>4363</v>
      </c>
      <c r="L727" s="5">
        <v>40</v>
      </c>
      <c r="M727" s="5">
        <v>2</v>
      </c>
      <c r="N727" s="5" t="s">
        <v>4391</v>
      </c>
      <c r="O727" s="5" t="s">
        <v>3494</v>
      </c>
      <c r="P727" s="5">
        <v>5</v>
      </c>
      <c r="Q727" s="5">
        <v>1</v>
      </c>
      <c r="R727" s="5"/>
      <c r="S727" s="5">
        <v>72</v>
      </c>
      <c r="T727" s="5">
        <v>72</v>
      </c>
      <c r="U727" s="5">
        <v>72</v>
      </c>
    </row>
    <row r="728" spans="1:21" x14ac:dyDescent="0.25">
      <c r="A728" s="5" t="s">
        <v>5533</v>
      </c>
      <c r="B728" s="5" t="s">
        <v>5534</v>
      </c>
      <c r="C728" s="5" t="s">
        <v>3548</v>
      </c>
      <c r="D728" s="5" t="s">
        <v>3782</v>
      </c>
      <c r="E728" s="5" t="s">
        <v>4363</v>
      </c>
      <c r="F728" s="5" t="s">
        <v>3584</v>
      </c>
      <c r="G728" s="5" t="s">
        <v>3501</v>
      </c>
      <c r="H728" s="5"/>
      <c r="I728" s="5" t="s">
        <v>3448</v>
      </c>
      <c r="J728" s="5" t="s">
        <v>3783</v>
      </c>
      <c r="K728" s="5" t="s">
        <v>4363</v>
      </c>
      <c r="L728" s="5">
        <v>40</v>
      </c>
      <c r="M728" s="5">
        <v>3</v>
      </c>
      <c r="N728" s="5" t="s">
        <v>3585</v>
      </c>
      <c r="O728" s="5" t="s">
        <v>3502</v>
      </c>
      <c r="P728" s="5">
        <v>5</v>
      </c>
      <c r="Q728" s="5">
        <v>1</v>
      </c>
      <c r="R728" s="5"/>
      <c r="S728" s="5">
        <v>108</v>
      </c>
      <c r="T728" s="5">
        <v>108</v>
      </c>
      <c r="U728" s="5">
        <v>108</v>
      </c>
    </row>
    <row r="729" spans="1:21" x14ac:dyDescent="0.25">
      <c r="A729" s="5" t="s">
        <v>5535</v>
      </c>
      <c r="B729" s="5" t="s">
        <v>5536</v>
      </c>
      <c r="C729" s="5" t="s">
        <v>3548</v>
      </c>
      <c r="D729" s="5" t="s">
        <v>3782</v>
      </c>
      <c r="E729" s="5" t="s">
        <v>4363</v>
      </c>
      <c r="F729" s="5" t="s">
        <v>3584</v>
      </c>
      <c r="G729" s="5" t="s">
        <v>3493</v>
      </c>
      <c r="H729" s="5"/>
      <c r="I729" s="5" t="s">
        <v>3448</v>
      </c>
      <c r="J729" s="5" t="s">
        <v>3783</v>
      </c>
      <c r="K729" s="5" t="s">
        <v>4363</v>
      </c>
      <c r="L729" s="5">
        <v>40</v>
      </c>
      <c r="M729" s="5">
        <v>3</v>
      </c>
      <c r="N729" s="5" t="s">
        <v>3585</v>
      </c>
      <c r="O729" s="5" t="s">
        <v>3494</v>
      </c>
      <c r="P729" s="5">
        <v>5</v>
      </c>
      <c r="Q729" s="5">
        <v>1</v>
      </c>
      <c r="R729" s="5"/>
      <c r="S729" s="5">
        <v>110</v>
      </c>
      <c r="T729" s="5">
        <v>110</v>
      </c>
      <c r="U729" s="5">
        <v>110</v>
      </c>
    </row>
    <row r="730" spans="1:21" x14ac:dyDescent="0.25">
      <c r="A730" s="5" t="s">
        <v>5541</v>
      </c>
      <c r="B730" s="5" t="s">
        <v>5542</v>
      </c>
      <c r="C730" s="5" t="s">
        <v>3548</v>
      </c>
      <c r="D730" s="5" t="s">
        <v>3782</v>
      </c>
      <c r="E730" s="5" t="s">
        <v>4363</v>
      </c>
      <c r="F730" s="5" t="s">
        <v>4390</v>
      </c>
      <c r="G730" s="5" t="s">
        <v>3493</v>
      </c>
      <c r="H730" s="5"/>
      <c r="I730" s="5" t="s">
        <v>3448</v>
      </c>
      <c r="J730" s="5" t="s">
        <v>3783</v>
      </c>
      <c r="K730" s="5" t="s">
        <v>4363</v>
      </c>
      <c r="L730" s="5">
        <v>40</v>
      </c>
      <c r="M730" s="5">
        <v>3</v>
      </c>
      <c r="N730" s="5" t="s">
        <v>4391</v>
      </c>
      <c r="O730" s="5" t="s">
        <v>3494</v>
      </c>
      <c r="P730" s="5">
        <v>5</v>
      </c>
      <c r="Q730" s="5">
        <v>1</v>
      </c>
      <c r="R730" s="5"/>
      <c r="S730" s="5">
        <v>106</v>
      </c>
      <c r="T730" s="5">
        <v>106</v>
      </c>
      <c r="U730" s="5">
        <v>106</v>
      </c>
    </row>
    <row r="731" spans="1:21" x14ac:dyDescent="0.25">
      <c r="A731" s="5" t="s">
        <v>5543</v>
      </c>
      <c r="B731" s="5" t="s">
        <v>5544</v>
      </c>
      <c r="C731" s="5" t="s">
        <v>3548</v>
      </c>
      <c r="D731" s="5" t="s">
        <v>3782</v>
      </c>
      <c r="E731" s="5" t="s">
        <v>4363</v>
      </c>
      <c r="F731" s="5" t="s">
        <v>3584</v>
      </c>
      <c r="G731" s="5" t="s">
        <v>3501</v>
      </c>
      <c r="H731" s="5"/>
      <c r="I731" s="5" t="s">
        <v>3448</v>
      </c>
      <c r="J731" s="5" t="s">
        <v>3783</v>
      </c>
      <c r="K731" s="5" t="s">
        <v>4363</v>
      </c>
      <c r="L731" s="5">
        <v>40</v>
      </c>
      <c r="M731" s="5">
        <v>4</v>
      </c>
      <c r="N731" s="5" t="s">
        <v>3585</v>
      </c>
      <c r="O731" s="5" t="s">
        <v>3502</v>
      </c>
      <c r="P731" s="5">
        <v>5</v>
      </c>
      <c r="Q731" s="5">
        <v>1</v>
      </c>
      <c r="R731" s="5"/>
      <c r="S731" s="5">
        <v>126</v>
      </c>
      <c r="T731" s="5">
        <v>126</v>
      </c>
      <c r="U731" s="5">
        <v>126</v>
      </c>
    </row>
    <row r="732" spans="1:21" x14ac:dyDescent="0.25">
      <c r="A732" s="5" t="s">
        <v>5545</v>
      </c>
      <c r="B732" s="5" t="s">
        <v>5546</v>
      </c>
      <c r="C732" s="5" t="s">
        <v>3548</v>
      </c>
      <c r="D732" s="5" t="s">
        <v>3782</v>
      </c>
      <c r="E732" s="5" t="s">
        <v>4363</v>
      </c>
      <c r="F732" s="5" t="s">
        <v>3584</v>
      </c>
      <c r="G732" s="5" t="s">
        <v>3493</v>
      </c>
      <c r="H732" s="5"/>
      <c r="I732" s="5" t="s">
        <v>3448</v>
      </c>
      <c r="J732" s="5" t="s">
        <v>3783</v>
      </c>
      <c r="K732" s="5" t="s">
        <v>4363</v>
      </c>
      <c r="L732" s="5">
        <v>40</v>
      </c>
      <c r="M732" s="5">
        <v>4</v>
      </c>
      <c r="N732" s="5" t="s">
        <v>3585</v>
      </c>
      <c r="O732" s="5" t="s">
        <v>3494</v>
      </c>
      <c r="P732" s="5">
        <v>5</v>
      </c>
      <c r="Q732" s="5">
        <v>1</v>
      </c>
      <c r="R732" s="5"/>
      <c r="S732" s="5">
        <v>134</v>
      </c>
      <c r="T732" s="5">
        <v>134</v>
      </c>
      <c r="U732" s="5">
        <v>134</v>
      </c>
    </row>
    <row r="733" spans="1:21" x14ac:dyDescent="0.25">
      <c r="A733" s="5" t="s">
        <v>5547</v>
      </c>
      <c r="B733" s="5" t="s">
        <v>5548</v>
      </c>
      <c r="C733" s="5" t="s">
        <v>3548</v>
      </c>
      <c r="D733" s="5" t="s">
        <v>3782</v>
      </c>
      <c r="E733" s="5" t="s">
        <v>4363</v>
      </c>
      <c r="F733" s="5" t="s">
        <v>3584</v>
      </c>
      <c r="G733" s="5" t="s">
        <v>3501</v>
      </c>
      <c r="H733" s="5"/>
      <c r="I733" s="5" t="s">
        <v>3448</v>
      </c>
      <c r="J733" s="5" t="s">
        <v>3783</v>
      </c>
      <c r="K733" s="5" t="s">
        <v>4363</v>
      </c>
      <c r="L733" s="5">
        <v>40</v>
      </c>
      <c r="M733" s="5">
        <v>1</v>
      </c>
      <c r="N733" s="5" t="s">
        <v>3585</v>
      </c>
      <c r="O733" s="5" t="s">
        <v>3502</v>
      </c>
      <c r="P733" s="5">
        <v>5</v>
      </c>
      <c r="Q733" s="5">
        <v>1</v>
      </c>
      <c r="R733" s="5"/>
      <c r="S733" s="5">
        <v>43</v>
      </c>
      <c r="T733" s="5">
        <v>43</v>
      </c>
      <c r="U733" s="5">
        <v>43</v>
      </c>
    </row>
    <row r="734" spans="1:21" x14ac:dyDescent="0.25">
      <c r="A734" s="5" t="s">
        <v>5549</v>
      </c>
      <c r="B734" s="5" t="s">
        <v>5550</v>
      </c>
      <c r="C734" s="5" t="s">
        <v>3548</v>
      </c>
      <c r="D734" s="5" t="s">
        <v>3782</v>
      </c>
      <c r="E734" s="5" t="s">
        <v>4363</v>
      </c>
      <c r="F734" s="5" t="s">
        <v>3584</v>
      </c>
      <c r="G734" s="5" t="s">
        <v>3493</v>
      </c>
      <c r="H734" s="5"/>
      <c r="I734" s="5" t="s">
        <v>3448</v>
      </c>
      <c r="J734" s="5" t="s">
        <v>3783</v>
      </c>
      <c r="K734" s="5" t="s">
        <v>4363</v>
      </c>
      <c r="L734" s="5">
        <v>40</v>
      </c>
      <c r="M734" s="5">
        <v>1</v>
      </c>
      <c r="N734" s="5" t="s">
        <v>3585</v>
      </c>
      <c r="O734" s="5" t="s">
        <v>3494</v>
      </c>
      <c r="P734" s="5">
        <v>5</v>
      </c>
      <c r="Q734" s="5">
        <v>1</v>
      </c>
      <c r="R734" s="5"/>
      <c r="S734" s="5">
        <v>36</v>
      </c>
      <c r="T734" s="5">
        <v>36</v>
      </c>
      <c r="U734" s="5">
        <v>36</v>
      </c>
    </row>
    <row r="735" spans="1:21" x14ac:dyDescent="0.25">
      <c r="A735" s="5" t="s">
        <v>5563</v>
      </c>
      <c r="B735" s="5" t="s">
        <v>5564</v>
      </c>
      <c r="C735" s="5" t="s">
        <v>3548</v>
      </c>
      <c r="D735" s="5" t="s">
        <v>3782</v>
      </c>
      <c r="E735" s="5" t="s">
        <v>4363</v>
      </c>
      <c r="F735" s="5" t="s">
        <v>4390</v>
      </c>
      <c r="G735" s="5" t="s">
        <v>3493</v>
      </c>
      <c r="H735" s="5"/>
      <c r="I735" s="5" t="s">
        <v>3448</v>
      </c>
      <c r="J735" s="5" t="s">
        <v>3783</v>
      </c>
      <c r="K735" s="5" t="s">
        <v>4363</v>
      </c>
      <c r="L735" s="5">
        <v>40</v>
      </c>
      <c r="M735" s="5">
        <v>1</v>
      </c>
      <c r="N735" s="5" t="s">
        <v>4391</v>
      </c>
      <c r="O735" s="5" t="s">
        <v>3494</v>
      </c>
      <c r="P735" s="5">
        <v>5</v>
      </c>
      <c r="Q735" s="5">
        <v>1</v>
      </c>
      <c r="R735" s="5"/>
      <c r="S735" s="5">
        <v>35</v>
      </c>
      <c r="T735" s="5">
        <v>35</v>
      </c>
      <c r="U735" s="5">
        <v>35</v>
      </c>
    </row>
    <row r="736" spans="1:21" x14ac:dyDescent="0.25">
      <c r="A736" s="5" t="s">
        <v>5565</v>
      </c>
      <c r="B736" s="5" t="s">
        <v>5566</v>
      </c>
      <c r="C736" s="5" t="s">
        <v>3548</v>
      </c>
      <c r="D736" s="5" t="s">
        <v>3782</v>
      </c>
      <c r="E736" s="5" t="s">
        <v>4363</v>
      </c>
      <c r="F736" s="5" t="s">
        <v>3584</v>
      </c>
      <c r="G736" s="5" t="s">
        <v>3493</v>
      </c>
      <c r="H736" s="5"/>
      <c r="I736" s="5" t="s">
        <v>3448</v>
      </c>
      <c r="J736" s="5" t="s">
        <v>3783</v>
      </c>
      <c r="K736" s="5" t="s">
        <v>4363</v>
      </c>
      <c r="L736" s="5">
        <v>57</v>
      </c>
      <c r="M736" s="5">
        <v>2</v>
      </c>
      <c r="N736" s="5" t="s">
        <v>3585</v>
      </c>
      <c r="O736" s="5" t="s">
        <v>3494</v>
      </c>
      <c r="P736" s="5">
        <v>8</v>
      </c>
      <c r="Q736" s="5">
        <v>1</v>
      </c>
      <c r="R736" s="5"/>
      <c r="S736" s="5">
        <v>100</v>
      </c>
      <c r="T736" s="5">
        <v>100</v>
      </c>
      <c r="U736" s="5">
        <v>100</v>
      </c>
    </row>
    <row r="737" spans="1:21" x14ac:dyDescent="0.25">
      <c r="A737" s="5" t="s">
        <v>5567</v>
      </c>
      <c r="B737" s="5" t="s">
        <v>5568</v>
      </c>
      <c r="C737" s="5" t="s">
        <v>3548</v>
      </c>
      <c r="D737" s="5" t="s">
        <v>3782</v>
      </c>
      <c r="E737" s="5" t="s">
        <v>4363</v>
      </c>
      <c r="F737" s="5" t="s">
        <v>3584</v>
      </c>
      <c r="G737" s="5" t="s">
        <v>3493</v>
      </c>
      <c r="H737" s="5"/>
      <c r="I737" s="5" t="s">
        <v>3448</v>
      </c>
      <c r="J737" s="5" t="s">
        <v>3783</v>
      </c>
      <c r="K737" s="5" t="s">
        <v>4363</v>
      </c>
      <c r="L737" s="5">
        <v>57</v>
      </c>
      <c r="M737" s="5">
        <v>1</v>
      </c>
      <c r="N737" s="5" t="s">
        <v>3585</v>
      </c>
      <c r="O737" s="5" t="s">
        <v>3494</v>
      </c>
      <c r="P737" s="5">
        <v>8</v>
      </c>
      <c r="Q737" s="5">
        <v>1</v>
      </c>
      <c r="R737" s="5"/>
      <c r="S737" s="5">
        <v>51</v>
      </c>
      <c r="T737" s="5">
        <v>51</v>
      </c>
      <c r="U737" s="5">
        <v>51</v>
      </c>
    </row>
    <row r="738" spans="1:21" x14ac:dyDescent="0.25">
      <c r="A738" s="5" t="s">
        <v>5569</v>
      </c>
      <c r="B738" s="5" t="s">
        <v>5570</v>
      </c>
      <c r="C738" s="5" t="s">
        <v>3548</v>
      </c>
      <c r="D738" s="5" t="s">
        <v>3782</v>
      </c>
      <c r="E738" s="5" t="s">
        <v>4363</v>
      </c>
      <c r="F738" s="5" t="s">
        <v>3584</v>
      </c>
      <c r="G738" s="5" t="s">
        <v>3493</v>
      </c>
      <c r="H738" s="5"/>
      <c r="I738" s="5" t="s">
        <v>3448</v>
      </c>
      <c r="J738" s="5" t="s">
        <v>3783</v>
      </c>
      <c r="K738" s="5" t="s">
        <v>4363</v>
      </c>
      <c r="L738" s="5">
        <v>59</v>
      </c>
      <c r="M738" s="5">
        <v>2</v>
      </c>
      <c r="N738" s="5" t="s">
        <v>3585</v>
      </c>
      <c r="O738" s="5" t="s">
        <v>3494</v>
      </c>
      <c r="P738" s="5">
        <v>8</v>
      </c>
      <c r="Q738" s="5">
        <v>1</v>
      </c>
      <c r="R738" s="5"/>
      <c r="S738" s="5">
        <v>109</v>
      </c>
      <c r="T738" s="5">
        <v>109</v>
      </c>
      <c r="U738" s="5">
        <v>109</v>
      </c>
    </row>
    <row r="739" spans="1:21" x14ac:dyDescent="0.25">
      <c r="A739" s="5" t="s">
        <v>5575</v>
      </c>
      <c r="B739" s="5" t="s">
        <v>5576</v>
      </c>
      <c r="C739" s="5" t="s">
        <v>3548</v>
      </c>
      <c r="D739" s="5" t="s">
        <v>3782</v>
      </c>
      <c r="E739" s="5" t="s">
        <v>4363</v>
      </c>
      <c r="F739" s="5" t="s">
        <v>4390</v>
      </c>
      <c r="G739" s="5" t="s">
        <v>3493</v>
      </c>
      <c r="H739" s="5"/>
      <c r="I739" s="5" t="s">
        <v>3448</v>
      </c>
      <c r="J739" s="5" t="s">
        <v>3783</v>
      </c>
      <c r="K739" s="5" t="s">
        <v>4363</v>
      </c>
      <c r="L739" s="5">
        <v>59</v>
      </c>
      <c r="M739" s="5">
        <v>2</v>
      </c>
      <c r="N739" s="5" t="s">
        <v>4391</v>
      </c>
      <c r="O739" s="5" t="s">
        <v>3494</v>
      </c>
      <c r="P739" s="5">
        <v>8</v>
      </c>
      <c r="Q739" s="5">
        <v>1</v>
      </c>
      <c r="R739" s="5"/>
      <c r="S739" s="5">
        <v>105</v>
      </c>
      <c r="T739" s="5">
        <v>105</v>
      </c>
      <c r="U739" s="5">
        <v>105</v>
      </c>
    </row>
    <row r="740" spans="1:21" x14ac:dyDescent="0.25">
      <c r="A740" s="5" t="s">
        <v>5577</v>
      </c>
      <c r="B740" s="5" t="s">
        <v>5578</v>
      </c>
      <c r="C740" s="5" t="s">
        <v>3548</v>
      </c>
      <c r="D740" s="5" t="s">
        <v>3782</v>
      </c>
      <c r="E740" s="5" t="s">
        <v>4363</v>
      </c>
      <c r="F740" s="5" t="s">
        <v>3584</v>
      </c>
      <c r="G740" s="5" t="s">
        <v>3501</v>
      </c>
      <c r="H740" s="5"/>
      <c r="I740" s="5" t="s">
        <v>3448</v>
      </c>
      <c r="J740" s="5" t="s">
        <v>3783</v>
      </c>
      <c r="K740" s="5" t="s">
        <v>4363</v>
      </c>
      <c r="L740" s="5">
        <v>59</v>
      </c>
      <c r="M740" s="5">
        <v>3</v>
      </c>
      <c r="N740" s="5" t="s">
        <v>3585</v>
      </c>
      <c r="O740" s="5" t="s">
        <v>3502</v>
      </c>
      <c r="P740" s="5">
        <v>8</v>
      </c>
      <c r="Q740" s="5">
        <v>2</v>
      </c>
      <c r="R740" s="5"/>
      <c r="S740" s="5">
        <v>240</v>
      </c>
      <c r="T740" s="5">
        <v>240</v>
      </c>
      <c r="U740" s="5">
        <v>240</v>
      </c>
    </row>
    <row r="741" spans="1:21" x14ac:dyDescent="0.25">
      <c r="A741" s="5" t="s">
        <v>5581</v>
      </c>
      <c r="B741" s="5" t="s">
        <v>5582</v>
      </c>
      <c r="C741" s="5" t="s">
        <v>3548</v>
      </c>
      <c r="D741" s="5" t="s">
        <v>3782</v>
      </c>
      <c r="E741" s="5" t="s">
        <v>4363</v>
      </c>
      <c r="F741" s="5" t="s">
        <v>3584</v>
      </c>
      <c r="G741" s="5" t="s">
        <v>3493</v>
      </c>
      <c r="H741" s="5"/>
      <c r="I741" s="5" t="s">
        <v>3448</v>
      </c>
      <c r="J741" s="5" t="s">
        <v>3783</v>
      </c>
      <c r="K741" s="5" t="s">
        <v>4363</v>
      </c>
      <c r="L741" s="5">
        <v>59</v>
      </c>
      <c r="M741" s="5">
        <v>3</v>
      </c>
      <c r="N741" s="5" t="s">
        <v>3585</v>
      </c>
      <c r="O741" s="5" t="s">
        <v>3494</v>
      </c>
      <c r="P741" s="5">
        <v>8</v>
      </c>
      <c r="Q741" s="5">
        <v>1</v>
      </c>
      <c r="R741" s="5"/>
      <c r="S741" s="5">
        <v>167</v>
      </c>
      <c r="T741" s="5">
        <v>167</v>
      </c>
      <c r="U741" s="5">
        <v>167</v>
      </c>
    </row>
    <row r="742" spans="1:21" x14ac:dyDescent="0.25">
      <c r="A742" s="5" t="s">
        <v>5583</v>
      </c>
      <c r="B742" s="5" t="s">
        <v>5584</v>
      </c>
      <c r="C742" s="5" t="s">
        <v>3548</v>
      </c>
      <c r="D742" s="5" t="s">
        <v>3782</v>
      </c>
      <c r="E742" s="5" t="s">
        <v>4363</v>
      </c>
      <c r="F742" s="5" t="s">
        <v>3584</v>
      </c>
      <c r="G742" s="5" t="s">
        <v>3501</v>
      </c>
      <c r="H742" s="5"/>
      <c r="I742" s="5" t="s">
        <v>3448</v>
      </c>
      <c r="J742" s="5" t="s">
        <v>3783</v>
      </c>
      <c r="K742" s="5" t="s">
        <v>4363</v>
      </c>
      <c r="L742" s="5">
        <v>59</v>
      </c>
      <c r="M742" s="5">
        <v>4</v>
      </c>
      <c r="N742" s="5" t="s">
        <v>3585</v>
      </c>
      <c r="O742" s="5" t="s">
        <v>3502</v>
      </c>
      <c r="P742" s="5">
        <v>8</v>
      </c>
      <c r="Q742" s="5">
        <v>2</v>
      </c>
      <c r="R742" s="5"/>
      <c r="S742" s="5">
        <v>320</v>
      </c>
      <c r="T742" s="5">
        <v>320</v>
      </c>
      <c r="U742" s="5">
        <v>320</v>
      </c>
    </row>
    <row r="743" spans="1:21" x14ac:dyDescent="0.25">
      <c r="A743" s="5" t="s">
        <v>5589</v>
      </c>
      <c r="B743" s="5" t="s">
        <v>5590</v>
      </c>
      <c r="C743" s="5" t="s">
        <v>3548</v>
      </c>
      <c r="D743" s="5" t="s">
        <v>3782</v>
      </c>
      <c r="E743" s="5" t="s">
        <v>4363</v>
      </c>
      <c r="F743" s="5" t="s">
        <v>3584</v>
      </c>
      <c r="G743" s="5" t="s">
        <v>3493</v>
      </c>
      <c r="H743" s="5"/>
      <c r="I743" s="5" t="s">
        <v>3448</v>
      </c>
      <c r="J743" s="5" t="s">
        <v>3783</v>
      </c>
      <c r="K743" s="5" t="s">
        <v>4363</v>
      </c>
      <c r="L743" s="5">
        <v>59</v>
      </c>
      <c r="M743" s="5">
        <v>4</v>
      </c>
      <c r="N743" s="5" t="s">
        <v>3585</v>
      </c>
      <c r="O743" s="5" t="s">
        <v>3494</v>
      </c>
      <c r="P743" s="5">
        <v>8</v>
      </c>
      <c r="Q743" s="5">
        <v>1</v>
      </c>
      <c r="R743" s="5"/>
      <c r="S743" s="5">
        <v>219</v>
      </c>
      <c r="T743" s="5">
        <v>219</v>
      </c>
      <c r="U743" s="5">
        <v>219</v>
      </c>
    </row>
    <row r="744" spans="1:21" x14ac:dyDescent="0.25">
      <c r="A744" s="5" t="s">
        <v>5591</v>
      </c>
      <c r="B744" s="5" t="s">
        <v>5592</v>
      </c>
      <c r="C744" s="5" t="s">
        <v>3548</v>
      </c>
      <c r="D744" s="5" t="s">
        <v>3782</v>
      </c>
      <c r="E744" s="5" t="s">
        <v>4363</v>
      </c>
      <c r="F744" s="5" t="s">
        <v>3584</v>
      </c>
      <c r="G744" s="5" t="s">
        <v>3493</v>
      </c>
      <c r="H744" s="5"/>
      <c r="I744" s="5" t="s">
        <v>3448</v>
      </c>
      <c r="J744" s="5" t="s">
        <v>3783</v>
      </c>
      <c r="K744" s="5" t="s">
        <v>4363</v>
      </c>
      <c r="L744" s="5">
        <v>59</v>
      </c>
      <c r="M744" s="5">
        <v>6</v>
      </c>
      <c r="N744" s="5" t="s">
        <v>3585</v>
      </c>
      <c r="O744" s="5" t="s">
        <v>3494</v>
      </c>
      <c r="P744" s="5">
        <v>8</v>
      </c>
      <c r="Q744" s="5">
        <v>2</v>
      </c>
      <c r="R744" s="5"/>
      <c r="S744" s="5">
        <v>328</v>
      </c>
      <c r="T744" s="5">
        <v>328</v>
      </c>
      <c r="U744" s="5">
        <v>328</v>
      </c>
    </row>
    <row r="745" spans="1:21" x14ac:dyDescent="0.25">
      <c r="A745" s="5" t="s">
        <v>5593</v>
      </c>
      <c r="B745" s="5" t="s">
        <v>5594</v>
      </c>
      <c r="C745" s="5" t="s">
        <v>3548</v>
      </c>
      <c r="D745" s="5" t="s">
        <v>3782</v>
      </c>
      <c r="E745" s="5" t="s">
        <v>4363</v>
      </c>
      <c r="F745" s="5" t="s">
        <v>3584</v>
      </c>
      <c r="G745" s="5" t="s">
        <v>3501</v>
      </c>
      <c r="H745" s="5"/>
      <c r="I745" s="5" t="s">
        <v>3448</v>
      </c>
      <c r="J745" s="5" t="s">
        <v>3783</v>
      </c>
      <c r="K745" s="5" t="s">
        <v>4363</v>
      </c>
      <c r="L745" s="5">
        <v>59</v>
      </c>
      <c r="M745" s="5">
        <v>1</v>
      </c>
      <c r="N745" s="5" t="s">
        <v>3585</v>
      </c>
      <c r="O745" s="5" t="s">
        <v>3502</v>
      </c>
      <c r="P745" s="5">
        <v>8</v>
      </c>
      <c r="Q745" s="5">
        <v>1</v>
      </c>
      <c r="R745" s="5"/>
      <c r="S745" s="5">
        <v>68</v>
      </c>
      <c r="T745" s="5">
        <v>68</v>
      </c>
      <c r="U745" s="5">
        <v>68</v>
      </c>
    </row>
    <row r="746" spans="1:21" x14ac:dyDescent="0.25">
      <c r="A746" s="5" t="s">
        <v>5595</v>
      </c>
      <c r="B746" s="5" t="s">
        <v>5596</v>
      </c>
      <c r="C746" s="5" t="s">
        <v>3548</v>
      </c>
      <c r="D746" s="5" t="s">
        <v>3782</v>
      </c>
      <c r="E746" s="5" t="s">
        <v>4363</v>
      </c>
      <c r="F746" s="5" t="s">
        <v>3584</v>
      </c>
      <c r="G746" s="5" t="s">
        <v>3493</v>
      </c>
      <c r="H746" s="5"/>
      <c r="I746" s="5" t="s">
        <v>3448</v>
      </c>
      <c r="J746" s="5" t="s">
        <v>3783</v>
      </c>
      <c r="K746" s="5" t="s">
        <v>4363</v>
      </c>
      <c r="L746" s="5">
        <v>59</v>
      </c>
      <c r="M746" s="5">
        <v>1</v>
      </c>
      <c r="N746" s="5" t="s">
        <v>3585</v>
      </c>
      <c r="O746" s="5" t="s">
        <v>3494</v>
      </c>
      <c r="P746" s="5">
        <v>8</v>
      </c>
      <c r="Q746" s="5">
        <v>1</v>
      </c>
      <c r="R746" s="5"/>
      <c r="S746" s="5">
        <v>58</v>
      </c>
      <c r="T746" s="5">
        <v>58</v>
      </c>
      <c r="U746" s="5">
        <v>58</v>
      </c>
    </row>
    <row r="747" spans="1:21" x14ac:dyDescent="0.25">
      <c r="A747" s="5" t="s">
        <v>5605</v>
      </c>
      <c r="B747" s="5" t="s">
        <v>5606</v>
      </c>
      <c r="C747" s="5" t="s">
        <v>3548</v>
      </c>
      <c r="D747" s="5" t="s">
        <v>3782</v>
      </c>
      <c r="E747" s="5" t="s">
        <v>4363</v>
      </c>
      <c r="F747" s="5" t="s">
        <v>4390</v>
      </c>
      <c r="G747" s="5" t="s">
        <v>3493</v>
      </c>
      <c r="H747" s="5"/>
      <c r="I747" s="5" t="s">
        <v>3448</v>
      </c>
      <c r="J747" s="5" t="s">
        <v>3783</v>
      </c>
      <c r="K747" s="5" t="s">
        <v>4363</v>
      </c>
      <c r="L747" s="5">
        <v>59</v>
      </c>
      <c r="M747" s="5">
        <v>1</v>
      </c>
      <c r="N747" s="5" t="s">
        <v>4391</v>
      </c>
      <c r="O747" s="5" t="s">
        <v>3494</v>
      </c>
      <c r="P747" s="5">
        <v>8</v>
      </c>
      <c r="Q747" s="5">
        <v>1</v>
      </c>
      <c r="R747" s="5"/>
      <c r="S747" s="5">
        <v>53</v>
      </c>
      <c r="T747" s="5">
        <v>53</v>
      </c>
      <c r="U747" s="5">
        <v>53</v>
      </c>
    </row>
    <row r="748" spans="1:21" x14ac:dyDescent="0.25">
      <c r="A748" s="5" t="s">
        <v>5607</v>
      </c>
      <c r="B748" s="5" t="s">
        <v>5608</v>
      </c>
      <c r="C748" s="5" t="s">
        <v>3548</v>
      </c>
      <c r="D748" s="5" t="s">
        <v>3782</v>
      </c>
      <c r="E748" s="5" t="s">
        <v>4363</v>
      </c>
      <c r="F748" s="5" t="s">
        <v>3584</v>
      </c>
      <c r="G748" s="5" t="s">
        <v>3493</v>
      </c>
      <c r="H748" s="5"/>
      <c r="I748" s="5" t="s">
        <v>3448</v>
      </c>
      <c r="J748" s="5" t="s">
        <v>3783</v>
      </c>
      <c r="K748" s="5" t="s">
        <v>4363</v>
      </c>
      <c r="L748" s="5">
        <v>86</v>
      </c>
      <c r="M748" s="5">
        <v>2</v>
      </c>
      <c r="N748" s="5" t="s">
        <v>3585</v>
      </c>
      <c r="O748" s="5" t="s">
        <v>3494</v>
      </c>
      <c r="P748" s="5">
        <v>8</v>
      </c>
      <c r="Q748" s="5">
        <v>1</v>
      </c>
      <c r="R748" s="5"/>
      <c r="S748" s="5">
        <v>160</v>
      </c>
      <c r="T748" s="5">
        <v>160</v>
      </c>
      <c r="U748" s="5">
        <v>160</v>
      </c>
    </row>
    <row r="749" spans="1:21" x14ac:dyDescent="0.25">
      <c r="A749" s="5" t="s">
        <v>5609</v>
      </c>
      <c r="B749" s="5" t="s">
        <v>5610</v>
      </c>
      <c r="C749" s="5" t="s">
        <v>3548</v>
      </c>
      <c r="D749" s="5" t="s">
        <v>3782</v>
      </c>
      <c r="E749" s="5" t="s">
        <v>4363</v>
      </c>
      <c r="F749" s="5" t="s">
        <v>3584</v>
      </c>
      <c r="G749" s="5" t="s">
        <v>3493</v>
      </c>
      <c r="H749" s="5"/>
      <c r="I749" s="5" t="s">
        <v>3448</v>
      </c>
      <c r="J749" s="5" t="s">
        <v>3783</v>
      </c>
      <c r="K749" s="5" t="s">
        <v>4363</v>
      </c>
      <c r="L749" s="5">
        <v>86</v>
      </c>
      <c r="M749" s="5">
        <v>3</v>
      </c>
      <c r="N749" s="5" t="s">
        <v>3585</v>
      </c>
      <c r="O749" s="5" t="s">
        <v>3494</v>
      </c>
      <c r="P749" s="5">
        <v>8</v>
      </c>
      <c r="Q749" s="5">
        <v>2</v>
      </c>
      <c r="R749" s="5"/>
      <c r="S749" s="5">
        <v>240</v>
      </c>
      <c r="T749" s="5">
        <v>240</v>
      </c>
      <c r="U749" s="5">
        <v>240</v>
      </c>
    </row>
    <row r="750" spans="1:21" x14ac:dyDescent="0.25">
      <c r="A750" s="5" t="s">
        <v>5611</v>
      </c>
      <c r="B750" s="5" t="s">
        <v>5612</v>
      </c>
      <c r="C750" s="5" t="s">
        <v>3548</v>
      </c>
      <c r="D750" s="5" t="s">
        <v>3782</v>
      </c>
      <c r="E750" s="5" t="s">
        <v>4363</v>
      </c>
      <c r="F750" s="5" t="s">
        <v>3584</v>
      </c>
      <c r="G750" s="5" t="s">
        <v>3493</v>
      </c>
      <c r="H750" s="5"/>
      <c r="I750" s="5" t="s">
        <v>3448</v>
      </c>
      <c r="J750" s="5" t="s">
        <v>3783</v>
      </c>
      <c r="K750" s="5" t="s">
        <v>4363</v>
      </c>
      <c r="L750" s="5">
        <v>86</v>
      </c>
      <c r="M750" s="5">
        <v>4</v>
      </c>
      <c r="N750" s="5" t="s">
        <v>3585</v>
      </c>
      <c r="O750" s="5" t="s">
        <v>3494</v>
      </c>
      <c r="P750" s="5">
        <v>8</v>
      </c>
      <c r="Q750" s="5">
        <v>2</v>
      </c>
      <c r="R750" s="5"/>
      <c r="S750" s="5">
        <v>320</v>
      </c>
      <c r="T750" s="5">
        <v>320</v>
      </c>
      <c r="U750" s="5">
        <v>320</v>
      </c>
    </row>
    <row r="751" spans="1:21" x14ac:dyDescent="0.25">
      <c r="A751" s="5" t="s">
        <v>5615</v>
      </c>
      <c r="B751" s="5" t="s">
        <v>5616</v>
      </c>
      <c r="C751" s="5" t="s">
        <v>3548</v>
      </c>
      <c r="D751" s="5" t="s">
        <v>3782</v>
      </c>
      <c r="E751" s="5" t="s">
        <v>5617</v>
      </c>
      <c r="F751" s="5" t="s">
        <v>5618</v>
      </c>
      <c r="G751" s="5" t="s">
        <v>3501</v>
      </c>
      <c r="H751" s="5"/>
      <c r="I751" s="5" t="s">
        <v>3448</v>
      </c>
      <c r="J751" s="5" t="s">
        <v>3783</v>
      </c>
      <c r="K751" s="5" t="s">
        <v>5619</v>
      </c>
      <c r="L751" s="5">
        <v>25</v>
      </c>
      <c r="M751" s="5">
        <v>2</v>
      </c>
      <c r="N751" s="5" t="s">
        <v>5620</v>
      </c>
      <c r="O751" s="5" t="s">
        <v>5621</v>
      </c>
      <c r="P751" s="5">
        <v>4</v>
      </c>
      <c r="Q751" s="5">
        <v>1</v>
      </c>
      <c r="R751" s="5"/>
      <c r="S751" s="5">
        <v>56</v>
      </c>
      <c r="T751" s="5">
        <v>56</v>
      </c>
      <c r="U751" s="5">
        <v>56</v>
      </c>
    </row>
    <row r="752" spans="1:21" x14ac:dyDescent="0.25">
      <c r="A752" s="5" t="s">
        <v>5624</v>
      </c>
      <c r="B752" s="5" t="s">
        <v>5625</v>
      </c>
      <c r="C752" s="5" t="s">
        <v>3548</v>
      </c>
      <c r="D752" s="5" t="s">
        <v>3782</v>
      </c>
      <c r="E752" s="5" t="s">
        <v>5617</v>
      </c>
      <c r="F752" s="5" t="s">
        <v>5618</v>
      </c>
      <c r="G752" s="5" t="s">
        <v>3782</v>
      </c>
      <c r="H752" s="5"/>
      <c r="I752" s="5" t="s">
        <v>3448</v>
      </c>
      <c r="J752" s="5" t="s">
        <v>3783</v>
      </c>
      <c r="K752" s="5" t="s">
        <v>5619</v>
      </c>
      <c r="L752" s="5">
        <v>25</v>
      </c>
      <c r="M752" s="5">
        <v>2</v>
      </c>
      <c r="N752" s="5" t="s">
        <v>5620</v>
      </c>
      <c r="O752" s="5" t="s">
        <v>5626</v>
      </c>
      <c r="P752" s="5">
        <v>4</v>
      </c>
      <c r="Q752" s="5">
        <v>1</v>
      </c>
      <c r="R752" s="5"/>
      <c r="S752" s="5">
        <v>39</v>
      </c>
      <c r="T752" s="5">
        <v>39</v>
      </c>
      <c r="U752" s="5">
        <v>39</v>
      </c>
    </row>
    <row r="753" spans="1:21" x14ac:dyDescent="0.25">
      <c r="A753" s="5" t="s">
        <v>5629</v>
      </c>
      <c r="B753" s="5" t="s">
        <v>5630</v>
      </c>
      <c r="C753" s="5" t="s">
        <v>3548</v>
      </c>
      <c r="D753" s="5" t="s">
        <v>3782</v>
      </c>
      <c r="E753" s="5" t="s">
        <v>5617</v>
      </c>
      <c r="F753" s="5" t="s">
        <v>5618</v>
      </c>
      <c r="G753" s="5" t="s">
        <v>3493</v>
      </c>
      <c r="H753" s="5"/>
      <c r="I753" s="5" t="s">
        <v>3448</v>
      </c>
      <c r="J753" s="5" t="s">
        <v>3783</v>
      </c>
      <c r="K753" s="5" t="s">
        <v>5619</v>
      </c>
      <c r="L753" s="5">
        <v>25</v>
      </c>
      <c r="M753" s="5">
        <v>2</v>
      </c>
      <c r="N753" s="5" t="s">
        <v>5620</v>
      </c>
      <c r="O753" s="5" t="s">
        <v>5631</v>
      </c>
      <c r="P753" s="5">
        <v>4</v>
      </c>
      <c r="Q753" s="5">
        <v>1</v>
      </c>
      <c r="R753" s="5"/>
      <c r="S753" s="5">
        <v>44</v>
      </c>
      <c r="T753" s="5">
        <v>44</v>
      </c>
      <c r="U753" s="5">
        <v>44</v>
      </c>
    </row>
    <row r="754" spans="1:21" x14ac:dyDescent="0.25">
      <c r="A754" s="5" t="s">
        <v>5634</v>
      </c>
      <c r="B754" s="5" t="s">
        <v>5635</v>
      </c>
      <c r="C754" s="5" t="s">
        <v>3548</v>
      </c>
      <c r="D754" s="5" t="s">
        <v>3782</v>
      </c>
      <c r="E754" s="5" t="s">
        <v>5617</v>
      </c>
      <c r="F754" s="5" t="s">
        <v>5618</v>
      </c>
      <c r="G754" s="5" t="s">
        <v>3501</v>
      </c>
      <c r="H754" s="5"/>
      <c r="I754" s="5" t="s">
        <v>3448</v>
      </c>
      <c r="J754" s="5" t="s">
        <v>3783</v>
      </c>
      <c r="K754" s="5" t="s">
        <v>5619</v>
      </c>
      <c r="L754" s="5">
        <v>25</v>
      </c>
      <c r="M754" s="5">
        <v>3</v>
      </c>
      <c r="N754" s="5" t="s">
        <v>5620</v>
      </c>
      <c r="O754" s="5" t="s">
        <v>5621</v>
      </c>
      <c r="P754" s="5">
        <v>4</v>
      </c>
      <c r="Q754" s="5">
        <v>1</v>
      </c>
      <c r="R754" s="5"/>
      <c r="S754" s="5">
        <v>86</v>
      </c>
      <c r="T754" s="5">
        <v>86</v>
      </c>
      <c r="U754" s="5">
        <v>86</v>
      </c>
    </row>
    <row r="755" spans="1:21" x14ac:dyDescent="0.25">
      <c r="A755" s="5" t="s">
        <v>5636</v>
      </c>
      <c r="B755" s="5" t="s">
        <v>5637</v>
      </c>
      <c r="C755" s="5" t="s">
        <v>3548</v>
      </c>
      <c r="D755" s="5" t="s">
        <v>3782</v>
      </c>
      <c r="E755" s="5" t="s">
        <v>5617</v>
      </c>
      <c r="F755" s="5" t="s">
        <v>5618</v>
      </c>
      <c r="G755" s="5" t="s">
        <v>3782</v>
      </c>
      <c r="H755" s="5"/>
      <c r="I755" s="5" t="s">
        <v>3448</v>
      </c>
      <c r="J755" s="5" t="s">
        <v>3783</v>
      </c>
      <c r="K755" s="5" t="s">
        <v>5619</v>
      </c>
      <c r="L755" s="5">
        <v>25</v>
      </c>
      <c r="M755" s="5">
        <v>3</v>
      </c>
      <c r="N755" s="5" t="s">
        <v>5620</v>
      </c>
      <c r="O755" s="5" t="s">
        <v>5626</v>
      </c>
      <c r="P755" s="5">
        <v>4</v>
      </c>
      <c r="Q755" s="5">
        <v>1</v>
      </c>
      <c r="R755" s="5"/>
      <c r="S755" s="5">
        <v>59</v>
      </c>
      <c r="T755" s="5">
        <v>59</v>
      </c>
      <c r="U755" s="5">
        <v>59</v>
      </c>
    </row>
    <row r="756" spans="1:21" x14ac:dyDescent="0.25">
      <c r="A756" s="5" t="s">
        <v>5638</v>
      </c>
      <c r="B756" s="5" t="s">
        <v>5639</v>
      </c>
      <c r="C756" s="5" t="s">
        <v>3548</v>
      </c>
      <c r="D756" s="5" t="s">
        <v>3782</v>
      </c>
      <c r="E756" s="5" t="s">
        <v>5617</v>
      </c>
      <c r="F756" s="5" t="s">
        <v>5618</v>
      </c>
      <c r="G756" s="5" t="s">
        <v>3493</v>
      </c>
      <c r="H756" s="5"/>
      <c r="I756" s="5" t="s">
        <v>3448</v>
      </c>
      <c r="J756" s="5" t="s">
        <v>3783</v>
      </c>
      <c r="K756" s="5" t="s">
        <v>5619</v>
      </c>
      <c r="L756" s="5">
        <v>25</v>
      </c>
      <c r="M756" s="5">
        <v>3</v>
      </c>
      <c r="N756" s="5" t="s">
        <v>5620</v>
      </c>
      <c r="O756" s="5" t="s">
        <v>5631</v>
      </c>
      <c r="P756" s="5">
        <v>4</v>
      </c>
      <c r="Q756" s="5">
        <v>1</v>
      </c>
      <c r="R756" s="5"/>
      <c r="S756" s="5">
        <v>67</v>
      </c>
      <c r="T756" s="5">
        <v>67</v>
      </c>
      <c r="U756" s="5">
        <v>67</v>
      </c>
    </row>
    <row r="757" spans="1:21" x14ac:dyDescent="0.25">
      <c r="A757" s="5" t="s">
        <v>5640</v>
      </c>
      <c r="B757" s="5" t="s">
        <v>5641</v>
      </c>
      <c r="C757" s="5" t="s">
        <v>3548</v>
      </c>
      <c r="D757" s="5" t="s">
        <v>3782</v>
      </c>
      <c r="E757" s="5" t="s">
        <v>5617</v>
      </c>
      <c r="F757" s="5" t="s">
        <v>5618</v>
      </c>
      <c r="G757" s="5" t="s">
        <v>3501</v>
      </c>
      <c r="H757" s="5"/>
      <c r="I757" s="5" t="s">
        <v>3448</v>
      </c>
      <c r="J757" s="5" t="s">
        <v>3783</v>
      </c>
      <c r="K757" s="5" t="s">
        <v>5619</v>
      </c>
      <c r="L757" s="5">
        <v>25</v>
      </c>
      <c r="M757" s="5">
        <v>1</v>
      </c>
      <c r="N757" s="5" t="s">
        <v>5620</v>
      </c>
      <c r="O757" s="5" t="s">
        <v>5621</v>
      </c>
      <c r="P757" s="5">
        <v>4</v>
      </c>
      <c r="Q757" s="5">
        <v>1</v>
      </c>
      <c r="R757" s="5"/>
      <c r="S757" s="5">
        <v>30</v>
      </c>
      <c r="T757" s="5">
        <v>30</v>
      </c>
      <c r="U757" s="5">
        <v>30</v>
      </c>
    </row>
    <row r="758" spans="1:21" x14ac:dyDescent="0.25">
      <c r="A758" s="5" t="s">
        <v>5642</v>
      </c>
      <c r="B758" s="5" t="s">
        <v>5643</v>
      </c>
      <c r="C758" s="5" t="s">
        <v>3548</v>
      </c>
      <c r="D758" s="5" t="s">
        <v>3782</v>
      </c>
      <c r="E758" s="5" t="s">
        <v>5617</v>
      </c>
      <c r="F758" s="5" t="s">
        <v>5618</v>
      </c>
      <c r="G758" s="5" t="s">
        <v>3782</v>
      </c>
      <c r="H758" s="5"/>
      <c r="I758" s="5" t="s">
        <v>3448</v>
      </c>
      <c r="J758" s="5" t="s">
        <v>3783</v>
      </c>
      <c r="K758" s="5" t="s">
        <v>5619</v>
      </c>
      <c r="L758" s="5">
        <v>25</v>
      </c>
      <c r="M758" s="5">
        <v>1</v>
      </c>
      <c r="N758" s="5" t="s">
        <v>5620</v>
      </c>
      <c r="O758" s="5" t="s">
        <v>5626</v>
      </c>
      <c r="P758" s="5">
        <v>4</v>
      </c>
      <c r="Q758" s="5">
        <v>1</v>
      </c>
      <c r="R758" s="5"/>
      <c r="S758" s="5">
        <v>19</v>
      </c>
      <c r="T758" s="5">
        <v>19</v>
      </c>
      <c r="U758" s="5">
        <v>19</v>
      </c>
    </row>
    <row r="759" spans="1:21" x14ac:dyDescent="0.25">
      <c r="A759" s="5" t="s">
        <v>5644</v>
      </c>
      <c r="B759" s="5" t="s">
        <v>5645</v>
      </c>
      <c r="C759" s="5" t="s">
        <v>3548</v>
      </c>
      <c r="D759" s="5" t="s">
        <v>3782</v>
      </c>
      <c r="E759" s="5" t="s">
        <v>5617</v>
      </c>
      <c r="F759" s="5" t="s">
        <v>5618</v>
      </c>
      <c r="G759" s="5" t="s">
        <v>3493</v>
      </c>
      <c r="H759" s="5"/>
      <c r="I759" s="5" t="s">
        <v>3448</v>
      </c>
      <c r="J759" s="5" t="s">
        <v>3783</v>
      </c>
      <c r="K759" s="5" t="s">
        <v>5619</v>
      </c>
      <c r="L759" s="5">
        <v>25</v>
      </c>
      <c r="M759" s="5">
        <v>1</v>
      </c>
      <c r="N759" s="5" t="s">
        <v>5620</v>
      </c>
      <c r="O759" s="5" t="s">
        <v>5631</v>
      </c>
      <c r="P759" s="5">
        <v>4</v>
      </c>
      <c r="Q759" s="5">
        <v>1</v>
      </c>
      <c r="R759" s="5"/>
      <c r="S759" s="5">
        <v>23</v>
      </c>
      <c r="T759" s="5">
        <v>23</v>
      </c>
      <c r="U759" s="5">
        <v>23</v>
      </c>
    </row>
    <row r="760" spans="1:21" x14ac:dyDescent="0.25">
      <c r="A760" s="5" t="s">
        <v>5646</v>
      </c>
      <c r="B760" s="5" t="s">
        <v>5647</v>
      </c>
      <c r="C760" s="5" t="s">
        <v>3548</v>
      </c>
      <c r="D760" s="5" t="s">
        <v>3782</v>
      </c>
      <c r="E760" s="5" t="s">
        <v>5617</v>
      </c>
      <c r="F760" s="5" t="s">
        <v>5618</v>
      </c>
      <c r="G760" s="5" t="s">
        <v>3501</v>
      </c>
      <c r="H760" s="5"/>
      <c r="I760" s="5" t="s">
        <v>3448</v>
      </c>
      <c r="J760" s="5" t="s">
        <v>3783</v>
      </c>
      <c r="K760" s="5" t="s">
        <v>5619</v>
      </c>
      <c r="L760" s="5">
        <v>25</v>
      </c>
      <c r="M760" s="5">
        <v>4</v>
      </c>
      <c r="N760" s="5" t="s">
        <v>5620</v>
      </c>
      <c r="O760" s="5" t="s">
        <v>5621</v>
      </c>
      <c r="P760" s="5">
        <v>4</v>
      </c>
      <c r="Q760" s="5">
        <v>1</v>
      </c>
      <c r="R760" s="5"/>
      <c r="S760" s="5">
        <v>111</v>
      </c>
      <c r="T760" s="5">
        <v>111</v>
      </c>
      <c r="U760" s="5">
        <v>111</v>
      </c>
    </row>
    <row r="761" spans="1:21" x14ac:dyDescent="0.25">
      <c r="A761" s="5" t="s">
        <v>5648</v>
      </c>
      <c r="B761" s="5" t="s">
        <v>5649</v>
      </c>
      <c r="C761" s="5" t="s">
        <v>3548</v>
      </c>
      <c r="D761" s="5" t="s">
        <v>3782</v>
      </c>
      <c r="E761" s="5" t="s">
        <v>5617</v>
      </c>
      <c r="F761" s="5" t="s">
        <v>5618</v>
      </c>
      <c r="G761" s="5" t="s">
        <v>3782</v>
      </c>
      <c r="H761" s="5"/>
      <c r="I761" s="5" t="s">
        <v>3448</v>
      </c>
      <c r="J761" s="5" t="s">
        <v>3783</v>
      </c>
      <c r="K761" s="5" t="s">
        <v>5619</v>
      </c>
      <c r="L761" s="5">
        <v>25</v>
      </c>
      <c r="M761" s="5">
        <v>4</v>
      </c>
      <c r="N761" s="5" t="s">
        <v>5620</v>
      </c>
      <c r="O761" s="5" t="s">
        <v>5626</v>
      </c>
      <c r="P761" s="5">
        <v>4</v>
      </c>
      <c r="Q761" s="5">
        <v>1</v>
      </c>
      <c r="R761" s="5"/>
      <c r="S761" s="5">
        <v>76</v>
      </c>
      <c r="T761" s="5">
        <v>76</v>
      </c>
      <c r="U761" s="5">
        <v>76</v>
      </c>
    </row>
    <row r="762" spans="1:21" x14ac:dyDescent="0.25">
      <c r="A762" s="5" t="s">
        <v>5650</v>
      </c>
      <c r="B762" s="5" t="s">
        <v>5651</v>
      </c>
      <c r="C762" s="5" t="s">
        <v>3548</v>
      </c>
      <c r="D762" s="5" t="s">
        <v>3782</v>
      </c>
      <c r="E762" s="5" t="s">
        <v>5617</v>
      </c>
      <c r="F762" s="5" t="s">
        <v>5618</v>
      </c>
      <c r="G762" s="5" t="s">
        <v>3493</v>
      </c>
      <c r="H762" s="5"/>
      <c r="I762" s="5" t="s">
        <v>3448</v>
      </c>
      <c r="J762" s="5" t="s">
        <v>3783</v>
      </c>
      <c r="K762" s="5" t="s">
        <v>5619</v>
      </c>
      <c r="L762" s="5">
        <v>25</v>
      </c>
      <c r="M762" s="5">
        <v>4</v>
      </c>
      <c r="N762" s="5" t="s">
        <v>5620</v>
      </c>
      <c r="O762" s="5" t="s">
        <v>5631</v>
      </c>
      <c r="P762" s="5">
        <v>4</v>
      </c>
      <c r="Q762" s="5">
        <v>1</v>
      </c>
      <c r="R762" s="5"/>
      <c r="S762" s="5">
        <v>87</v>
      </c>
      <c r="T762" s="5">
        <v>87</v>
      </c>
      <c r="U762" s="5">
        <v>87</v>
      </c>
    </row>
    <row r="763" spans="1:21" x14ac:dyDescent="0.25">
      <c r="A763" s="5" t="s">
        <v>5652</v>
      </c>
      <c r="B763" s="5" t="s">
        <v>5653</v>
      </c>
      <c r="C763" s="5" t="s">
        <v>3548</v>
      </c>
      <c r="D763" s="5" t="s">
        <v>3782</v>
      </c>
      <c r="E763" s="5" t="s">
        <v>5617</v>
      </c>
      <c r="F763" s="5" t="s">
        <v>5618</v>
      </c>
      <c r="G763" s="5" t="s">
        <v>3501</v>
      </c>
      <c r="H763" s="5"/>
      <c r="I763" s="5" t="s">
        <v>3448</v>
      </c>
      <c r="J763" s="5" t="s">
        <v>3783</v>
      </c>
      <c r="K763" s="5" t="s">
        <v>5619</v>
      </c>
      <c r="L763" s="5">
        <v>28</v>
      </c>
      <c r="M763" s="5">
        <v>2</v>
      </c>
      <c r="N763" s="5" t="s">
        <v>5620</v>
      </c>
      <c r="O763" s="5" t="s">
        <v>5621</v>
      </c>
      <c r="P763" s="5">
        <v>4</v>
      </c>
      <c r="Q763" s="5">
        <v>1</v>
      </c>
      <c r="R763" s="5"/>
      <c r="S763" s="5">
        <v>65</v>
      </c>
      <c r="T763" s="5">
        <v>65</v>
      </c>
      <c r="U763" s="5">
        <v>65</v>
      </c>
    </row>
    <row r="764" spans="1:21" x14ac:dyDescent="0.25">
      <c r="A764" s="5" t="s">
        <v>5656</v>
      </c>
      <c r="B764" s="5" t="s">
        <v>5657</v>
      </c>
      <c r="C764" s="5" t="s">
        <v>3548</v>
      </c>
      <c r="D764" s="5" t="s">
        <v>3782</v>
      </c>
      <c r="E764" s="5" t="s">
        <v>5617</v>
      </c>
      <c r="F764" s="5" t="s">
        <v>5618</v>
      </c>
      <c r="G764" s="5" t="s">
        <v>3782</v>
      </c>
      <c r="H764" s="5"/>
      <c r="I764" s="5" t="s">
        <v>3448</v>
      </c>
      <c r="J764" s="5" t="s">
        <v>3783</v>
      </c>
      <c r="K764" s="5" t="s">
        <v>5619</v>
      </c>
      <c r="L764" s="5">
        <v>28</v>
      </c>
      <c r="M764" s="5">
        <v>2</v>
      </c>
      <c r="N764" s="5" t="s">
        <v>5620</v>
      </c>
      <c r="O764" s="5" t="s">
        <v>5626</v>
      </c>
      <c r="P764" s="5">
        <v>4</v>
      </c>
      <c r="Q764" s="5">
        <v>1</v>
      </c>
      <c r="R764" s="5"/>
      <c r="S764" s="5">
        <v>43</v>
      </c>
      <c r="T764" s="5">
        <v>43</v>
      </c>
      <c r="U764" s="5">
        <v>43</v>
      </c>
    </row>
    <row r="765" spans="1:21" x14ac:dyDescent="0.25">
      <c r="A765" s="5" t="s">
        <v>5660</v>
      </c>
      <c r="B765" s="5" t="s">
        <v>5661</v>
      </c>
      <c r="C765" s="5" t="s">
        <v>3548</v>
      </c>
      <c r="D765" s="5" t="s">
        <v>3782</v>
      </c>
      <c r="E765" s="5" t="s">
        <v>5617</v>
      </c>
      <c r="F765" s="5" t="s">
        <v>5618</v>
      </c>
      <c r="G765" s="5" t="s">
        <v>3493</v>
      </c>
      <c r="H765" s="5"/>
      <c r="I765" s="5" t="s">
        <v>3448</v>
      </c>
      <c r="J765" s="5" t="s">
        <v>3783</v>
      </c>
      <c r="K765" s="5" t="s">
        <v>5619</v>
      </c>
      <c r="L765" s="5">
        <v>28</v>
      </c>
      <c r="M765" s="5">
        <v>2</v>
      </c>
      <c r="N765" s="5" t="s">
        <v>5620</v>
      </c>
      <c r="O765" s="5" t="s">
        <v>5631</v>
      </c>
      <c r="P765" s="5">
        <v>4</v>
      </c>
      <c r="Q765" s="5">
        <v>1</v>
      </c>
      <c r="R765" s="5"/>
      <c r="S765" s="5">
        <v>50</v>
      </c>
      <c r="T765" s="5">
        <v>50</v>
      </c>
      <c r="U765" s="5">
        <v>50</v>
      </c>
    </row>
    <row r="766" spans="1:21" x14ac:dyDescent="0.25">
      <c r="A766" s="5" t="s">
        <v>5664</v>
      </c>
      <c r="B766" s="5" t="s">
        <v>5665</v>
      </c>
      <c r="C766" s="5" t="s">
        <v>3548</v>
      </c>
      <c r="D766" s="5" t="s">
        <v>3782</v>
      </c>
      <c r="E766" s="5" t="s">
        <v>5617</v>
      </c>
      <c r="F766" s="5" t="s">
        <v>5618</v>
      </c>
      <c r="G766" s="5" t="s">
        <v>5666</v>
      </c>
      <c r="H766" s="5"/>
      <c r="I766" s="5" t="s">
        <v>3448</v>
      </c>
      <c r="J766" s="5" t="s">
        <v>3783</v>
      </c>
      <c r="K766" s="5" t="s">
        <v>5619</v>
      </c>
      <c r="L766" s="5">
        <v>28</v>
      </c>
      <c r="M766" s="5">
        <v>3</v>
      </c>
      <c r="N766" s="5" t="s">
        <v>5620</v>
      </c>
      <c r="O766" s="5" t="s">
        <v>5621</v>
      </c>
      <c r="P766" s="5">
        <v>4</v>
      </c>
      <c r="Q766" s="5">
        <v>1</v>
      </c>
      <c r="R766" s="5"/>
      <c r="S766" s="5">
        <v>96</v>
      </c>
      <c r="T766" s="5">
        <v>96</v>
      </c>
      <c r="U766" s="5">
        <v>96</v>
      </c>
    </row>
    <row r="767" spans="1:21" x14ac:dyDescent="0.25">
      <c r="A767" s="5" t="s">
        <v>5667</v>
      </c>
      <c r="B767" s="5" t="s">
        <v>5668</v>
      </c>
      <c r="C767" s="5" t="s">
        <v>3548</v>
      </c>
      <c r="D767" s="5" t="s">
        <v>3782</v>
      </c>
      <c r="E767" s="5" t="s">
        <v>5617</v>
      </c>
      <c r="F767" s="5" t="s">
        <v>5618</v>
      </c>
      <c r="G767" s="5" t="s">
        <v>5669</v>
      </c>
      <c r="H767" s="5"/>
      <c r="I767" s="5" t="s">
        <v>3448</v>
      </c>
      <c r="J767" s="5" t="s">
        <v>3783</v>
      </c>
      <c r="K767" s="5" t="s">
        <v>5619</v>
      </c>
      <c r="L767" s="5">
        <v>28</v>
      </c>
      <c r="M767" s="5">
        <v>3</v>
      </c>
      <c r="N767" s="5" t="s">
        <v>5620</v>
      </c>
      <c r="O767" s="5" t="s">
        <v>5626</v>
      </c>
      <c r="P767" s="5">
        <v>4</v>
      </c>
      <c r="Q767" s="5">
        <v>1</v>
      </c>
      <c r="R767" s="5"/>
      <c r="S767" s="5">
        <v>66</v>
      </c>
      <c r="T767" s="5">
        <v>66</v>
      </c>
      <c r="U767" s="5">
        <v>66</v>
      </c>
    </row>
    <row r="768" spans="1:21" x14ac:dyDescent="0.25">
      <c r="A768" s="5" t="s">
        <v>5670</v>
      </c>
      <c r="B768" s="5" t="s">
        <v>5671</v>
      </c>
      <c r="C768" s="5" t="s">
        <v>3548</v>
      </c>
      <c r="D768" s="5" t="s">
        <v>3782</v>
      </c>
      <c r="E768" s="5" t="s">
        <v>5617</v>
      </c>
      <c r="F768" s="5" t="s">
        <v>5618</v>
      </c>
      <c r="G768" s="5" t="s">
        <v>5672</v>
      </c>
      <c r="H768" s="5"/>
      <c r="I768" s="5" t="s">
        <v>3448</v>
      </c>
      <c r="J768" s="5" t="s">
        <v>3783</v>
      </c>
      <c r="K768" s="5" t="s">
        <v>5619</v>
      </c>
      <c r="L768" s="5">
        <v>28</v>
      </c>
      <c r="M768" s="5">
        <v>3</v>
      </c>
      <c r="N768" s="5" t="s">
        <v>5620</v>
      </c>
      <c r="O768" s="5" t="s">
        <v>5631</v>
      </c>
      <c r="P768" s="5">
        <v>4</v>
      </c>
      <c r="Q768" s="5">
        <v>1</v>
      </c>
      <c r="R768" s="5"/>
      <c r="S768" s="5">
        <v>74</v>
      </c>
      <c r="T768" s="5">
        <v>74</v>
      </c>
      <c r="U768" s="5">
        <v>74</v>
      </c>
    </row>
    <row r="769" spans="1:21" x14ac:dyDescent="0.25">
      <c r="A769" s="5" t="s">
        <v>5673</v>
      </c>
      <c r="B769" s="5" t="s">
        <v>5674</v>
      </c>
      <c r="C769" s="5" t="s">
        <v>3548</v>
      </c>
      <c r="D769" s="5" t="s">
        <v>3782</v>
      </c>
      <c r="E769" s="5" t="s">
        <v>5617</v>
      </c>
      <c r="F769" s="5" t="s">
        <v>5618</v>
      </c>
      <c r="G769" s="5" t="s">
        <v>5666</v>
      </c>
      <c r="H769" s="5"/>
      <c r="I769" s="5" t="s">
        <v>3448</v>
      </c>
      <c r="J769" s="5" t="s">
        <v>3783</v>
      </c>
      <c r="K769" s="5" t="s">
        <v>5619</v>
      </c>
      <c r="L769" s="5">
        <v>28</v>
      </c>
      <c r="M769" s="5">
        <v>1</v>
      </c>
      <c r="N769" s="5" t="s">
        <v>5620</v>
      </c>
      <c r="O769" s="5" t="s">
        <v>5621</v>
      </c>
      <c r="P769" s="5">
        <v>4</v>
      </c>
      <c r="Q769" s="5">
        <v>1</v>
      </c>
      <c r="R769" s="5"/>
      <c r="S769" s="5">
        <v>33</v>
      </c>
      <c r="T769" s="5">
        <v>33</v>
      </c>
      <c r="U769" s="5">
        <v>33</v>
      </c>
    </row>
    <row r="770" spans="1:21" x14ac:dyDescent="0.25">
      <c r="A770" s="5" t="s">
        <v>5675</v>
      </c>
      <c r="B770" s="5" t="s">
        <v>5676</v>
      </c>
      <c r="C770" s="5" t="s">
        <v>3548</v>
      </c>
      <c r="D770" s="5" t="s">
        <v>3782</v>
      </c>
      <c r="E770" s="5" t="s">
        <v>5617</v>
      </c>
      <c r="F770" s="5" t="s">
        <v>5618</v>
      </c>
      <c r="G770" s="5" t="s">
        <v>5669</v>
      </c>
      <c r="H770" s="5"/>
      <c r="I770" s="5" t="s">
        <v>3448</v>
      </c>
      <c r="J770" s="5" t="s">
        <v>3783</v>
      </c>
      <c r="K770" s="5" t="s">
        <v>5619</v>
      </c>
      <c r="L770" s="5">
        <v>28</v>
      </c>
      <c r="M770" s="5">
        <v>1</v>
      </c>
      <c r="N770" s="5" t="s">
        <v>5620</v>
      </c>
      <c r="O770" s="5" t="s">
        <v>5626</v>
      </c>
      <c r="P770" s="5">
        <v>4</v>
      </c>
      <c r="Q770" s="5">
        <v>1</v>
      </c>
      <c r="R770" s="5"/>
      <c r="S770" s="5">
        <v>22</v>
      </c>
      <c r="T770" s="5">
        <v>22</v>
      </c>
      <c r="U770" s="5">
        <v>22</v>
      </c>
    </row>
    <row r="771" spans="1:21" x14ac:dyDescent="0.25">
      <c r="A771" s="5" t="s">
        <v>5677</v>
      </c>
      <c r="B771" s="5" t="s">
        <v>5678</v>
      </c>
      <c r="C771" s="5" t="s">
        <v>3548</v>
      </c>
      <c r="D771" s="5" t="s">
        <v>3782</v>
      </c>
      <c r="E771" s="5" t="s">
        <v>5617</v>
      </c>
      <c r="F771" s="5" t="s">
        <v>5618</v>
      </c>
      <c r="G771" s="5" t="s">
        <v>5672</v>
      </c>
      <c r="H771" s="5"/>
      <c r="I771" s="5" t="s">
        <v>3448</v>
      </c>
      <c r="J771" s="5" t="s">
        <v>3783</v>
      </c>
      <c r="K771" s="5" t="s">
        <v>5619</v>
      </c>
      <c r="L771" s="5">
        <v>28</v>
      </c>
      <c r="M771" s="5">
        <v>1</v>
      </c>
      <c r="N771" s="5" t="s">
        <v>5620</v>
      </c>
      <c r="O771" s="5" t="s">
        <v>5631</v>
      </c>
      <c r="P771" s="5">
        <v>4</v>
      </c>
      <c r="Q771" s="5">
        <v>1</v>
      </c>
      <c r="R771" s="5"/>
      <c r="S771" s="5">
        <v>25</v>
      </c>
      <c r="T771" s="5">
        <v>25</v>
      </c>
      <c r="U771" s="5">
        <v>25</v>
      </c>
    </row>
    <row r="772" spans="1:21" x14ac:dyDescent="0.25">
      <c r="A772" s="5" t="s">
        <v>5679</v>
      </c>
      <c r="B772" s="5" t="s">
        <v>5680</v>
      </c>
      <c r="C772" s="5" t="s">
        <v>3548</v>
      </c>
      <c r="D772" s="5" t="s">
        <v>3782</v>
      </c>
      <c r="E772" s="5" t="s">
        <v>5617</v>
      </c>
      <c r="F772" s="5" t="s">
        <v>5618</v>
      </c>
      <c r="G772" s="5" t="s">
        <v>5666</v>
      </c>
      <c r="H772" s="5"/>
      <c r="I772" s="5" t="s">
        <v>3448</v>
      </c>
      <c r="J772" s="5" t="s">
        <v>3783</v>
      </c>
      <c r="K772" s="5" t="s">
        <v>5619</v>
      </c>
      <c r="L772" s="5">
        <v>28</v>
      </c>
      <c r="M772" s="5">
        <v>4</v>
      </c>
      <c r="N772" s="5" t="s">
        <v>5620</v>
      </c>
      <c r="O772" s="5" t="s">
        <v>5621</v>
      </c>
      <c r="P772" s="5">
        <v>4</v>
      </c>
      <c r="Q772" s="5">
        <v>1</v>
      </c>
      <c r="R772" s="5"/>
      <c r="S772" s="5">
        <v>123</v>
      </c>
      <c r="T772" s="5">
        <v>123</v>
      </c>
      <c r="U772" s="5">
        <v>123</v>
      </c>
    </row>
    <row r="773" spans="1:21" x14ac:dyDescent="0.25">
      <c r="A773" s="5" t="s">
        <v>5681</v>
      </c>
      <c r="B773" s="5" t="s">
        <v>5682</v>
      </c>
      <c r="C773" s="5" t="s">
        <v>3548</v>
      </c>
      <c r="D773" s="5" t="s">
        <v>3782</v>
      </c>
      <c r="E773" s="5" t="s">
        <v>5617</v>
      </c>
      <c r="F773" s="5" t="s">
        <v>5618</v>
      </c>
      <c r="G773" s="5" t="s">
        <v>5669</v>
      </c>
      <c r="H773" s="5"/>
      <c r="I773" s="5" t="s">
        <v>3448</v>
      </c>
      <c r="J773" s="5" t="s">
        <v>3783</v>
      </c>
      <c r="K773" s="5" t="s">
        <v>5619</v>
      </c>
      <c r="L773" s="5">
        <v>28</v>
      </c>
      <c r="M773" s="5">
        <v>4</v>
      </c>
      <c r="N773" s="5" t="s">
        <v>5620</v>
      </c>
      <c r="O773" s="5" t="s">
        <v>5626</v>
      </c>
      <c r="P773" s="5">
        <v>4</v>
      </c>
      <c r="Q773" s="5">
        <v>1</v>
      </c>
      <c r="R773" s="5"/>
      <c r="S773" s="5">
        <v>84</v>
      </c>
      <c r="T773" s="5">
        <v>84</v>
      </c>
      <c r="U773" s="5">
        <v>84</v>
      </c>
    </row>
    <row r="774" spans="1:21" x14ac:dyDescent="0.25">
      <c r="A774" s="5" t="s">
        <v>5683</v>
      </c>
      <c r="B774" s="5" t="s">
        <v>5684</v>
      </c>
      <c r="C774" s="5" t="s">
        <v>3548</v>
      </c>
      <c r="D774" s="5" t="s">
        <v>3782</v>
      </c>
      <c r="E774" s="5" t="s">
        <v>5617</v>
      </c>
      <c r="F774" s="5" t="s">
        <v>5618</v>
      </c>
      <c r="G774" s="5" t="s">
        <v>5672</v>
      </c>
      <c r="H774" s="5"/>
      <c r="I774" s="5" t="s">
        <v>3448</v>
      </c>
      <c r="J774" s="5" t="s">
        <v>3783</v>
      </c>
      <c r="K774" s="5" t="s">
        <v>5619</v>
      </c>
      <c r="L774" s="5">
        <v>28</v>
      </c>
      <c r="M774" s="5">
        <v>4</v>
      </c>
      <c r="N774" s="5" t="s">
        <v>5620</v>
      </c>
      <c r="O774" s="5" t="s">
        <v>5631</v>
      </c>
      <c r="P774" s="5">
        <v>4</v>
      </c>
      <c r="Q774" s="5">
        <v>1</v>
      </c>
      <c r="R774" s="5"/>
      <c r="S774" s="5">
        <v>94</v>
      </c>
      <c r="T774" s="5">
        <v>94</v>
      </c>
      <c r="U774" s="5">
        <v>94</v>
      </c>
    </row>
    <row r="775" spans="1:21" x14ac:dyDescent="0.25">
      <c r="A775" s="5" t="s">
        <v>5685</v>
      </c>
      <c r="B775" s="5" t="s">
        <v>5686</v>
      </c>
      <c r="C775" s="5" t="s">
        <v>3548</v>
      </c>
      <c r="D775" s="5" t="s">
        <v>3782</v>
      </c>
      <c r="E775" s="5" t="s">
        <v>5617</v>
      </c>
      <c r="F775" s="5" t="s">
        <v>5618</v>
      </c>
      <c r="G775" s="5" t="s">
        <v>5666</v>
      </c>
      <c r="H775" s="5"/>
      <c r="I775" s="5" t="s">
        <v>3448</v>
      </c>
      <c r="J775" s="5" t="s">
        <v>3783</v>
      </c>
      <c r="K775" s="5" t="s">
        <v>5619</v>
      </c>
      <c r="L775" s="5">
        <v>32</v>
      </c>
      <c r="M775" s="5">
        <v>2</v>
      </c>
      <c r="N775" s="5" t="s">
        <v>5620</v>
      </c>
      <c r="O775" s="5" t="s">
        <v>5621</v>
      </c>
      <c r="P775" s="5">
        <v>4</v>
      </c>
      <c r="Q775" s="5">
        <v>1</v>
      </c>
      <c r="R775" s="5"/>
      <c r="S775" s="5">
        <v>73</v>
      </c>
      <c r="T775" s="5">
        <v>73</v>
      </c>
      <c r="U775" s="5">
        <v>73</v>
      </c>
    </row>
    <row r="776" spans="1:21" x14ac:dyDescent="0.25">
      <c r="A776" s="5" t="s">
        <v>5689</v>
      </c>
      <c r="B776" s="5" t="s">
        <v>5690</v>
      </c>
      <c r="C776" s="5" t="s">
        <v>3548</v>
      </c>
      <c r="D776" s="5" t="s">
        <v>3782</v>
      </c>
      <c r="E776" s="5" t="s">
        <v>5617</v>
      </c>
      <c r="F776" s="5" t="s">
        <v>5618</v>
      </c>
      <c r="G776" s="5" t="s">
        <v>5669</v>
      </c>
      <c r="H776" s="5"/>
      <c r="I776" s="5" t="s">
        <v>3448</v>
      </c>
      <c r="J776" s="5" t="s">
        <v>3783</v>
      </c>
      <c r="K776" s="5" t="s">
        <v>5619</v>
      </c>
      <c r="L776" s="5">
        <v>32</v>
      </c>
      <c r="M776" s="5">
        <v>2</v>
      </c>
      <c r="N776" s="5" t="s">
        <v>5620</v>
      </c>
      <c r="O776" s="5" t="s">
        <v>5626</v>
      </c>
      <c r="P776" s="5">
        <v>4</v>
      </c>
      <c r="Q776" s="5">
        <v>1</v>
      </c>
      <c r="R776" s="5"/>
      <c r="S776" s="5">
        <v>48</v>
      </c>
      <c r="T776" s="5">
        <v>48</v>
      </c>
      <c r="U776" s="5">
        <v>48</v>
      </c>
    </row>
    <row r="777" spans="1:21" x14ac:dyDescent="0.25">
      <c r="A777" s="5" t="s">
        <v>5693</v>
      </c>
      <c r="B777" s="5" t="s">
        <v>5694</v>
      </c>
      <c r="C777" s="5" t="s">
        <v>3548</v>
      </c>
      <c r="D777" s="5" t="s">
        <v>3782</v>
      </c>
      <c r="E777" s="5" t="s">
        <v>5617</v>
      </c>
      <c r="F777" s="5" t="s">
        <v>5618</v>
      </c>
      <c r="G777" s="5" t="s">
        <v>5672</v>
      </c>
      <c r="H777" s="5"/>
      <c r="I777" s="5" t="s">
        <v>3448</v>
      </c>
      <c r="J777" s="5" t="s">
        <v>3783</v>
      </c>
      <c r="K777" s="5" t="s">
        <v>5619</v>
      </c>
      <c r="L777" s="5">
        <v>32</v>
      </c>
      <c r="M777" s="5">
        <v>2</v>
      </c>
      <c r="N777" s="5" t="s">
        <v>5620</v>
      </c>
      <c r="O777" s="5" t="s">
        <v>5631</v>
      </c>
      <c r="P777" s="5">
        <v>4</v>
      </c>
      <c r="Q777" s="5">
        <v>1</v>
      </c>
      <c r="R777" s="5"/>
      <c r="S777" s="5">
        <v>56</v>
      </c>
      <c r="T777" s="5">
        <v>56</v>
      </c>
      <c r="U777" s="5">
        <v>56</v>
      </c>
    </row>
    <row r="778" spans="1:21" x14ac:dyDescent="0.25">
      <c r="A778" s="5" t="s">
        <v>5697</v>
      </c>
      <c r="B778" s="5" t="s">
        <v>5698</v>
      </c>
      <c r="C778" s="5" t="s">
        <v>3548</v>
      </c>
      <c r="D778" s="5" t="s">
        <v>3782</v>
      </c>
      <c r="E778" s="5" t="s">
        <v>5617</v>
      </c>
      <c r="F778" s="5" t="s">
        <v>4835</v>
      </c>
      <c r="G778" s="5" t="s">
        <v>5672</v>
      </c>
      <c r="H778" s="5"/>
      <c r="I778" s="5" t="s">
        <v>3448</v>
      </c>
      <c r="J778" s="5" t="s">
        <v>3783</v>
      </c>
      <c r="K778" s="5" t="s">
        <v>5619</v>
      </c>
      <c r="L778" s="5">
        <v>32</v>
      </c>
      <c r="M778" s="5">
        <v>2</v>
      </c>
      <c r="N778" s="5" t="s">
        <v>4836</v>
      </c>
      <c r="O778" s="5" t="s">
        <v>5631</v>
      </c>
      <c r="P778" s="5">
        <v>4</v>
      </c>
      <c r="Q778" s="5">
        <v>1</v>
      </c>
      <c r="R778" s="5"/>
      <c r="S778" s="5">
        <v>55</v>
      </c>
      <c r="T778" s="5">
        <v>55</v>
      </c>
      <c r="U778" s="5">
        <v>55</v>
      </c>
    </row>
    <row r="779" spans="1:21" x14ac:dyDescent="0.25">
      <c r="A779" s="5" t="s">
        <v>5701</v>
      </c>
      <c r="B779" s="5" t="s">
        <v>5702</v>
      </c>
      <c r="C779" s="5" t="s">
        <v>3548</v>
      </c>
      <c r="D779" s="5" t="s">
        <v>3782</v>
      </c>
      <c r="E779" s="5" t="s">
        <v>5617</v>
      </c>
      <c r="F779" s="5" t="s">
        <v>5173</v>
      </c>
      <c r="G779" s="5" t="s">
        <v>5666</v>
      </c>
      <c r="H779" s="5"/>
      <c r="I779" s="5" t="s">
        <v>3448</v>
      </c>
      <c r="J779" s="5" t="s">
        <v>3783</v>
      </c>
      <c r="K779" s="5" t="s">
        <v>5619</v>
      </c>
      <c r="L779" s="5">
        <v>32</v>
      </c>
      <c r="M779" s="5">
        <v>2</v>
      </c>
      <c r="N779" s="5" t="s">
        <v>5174</v>
      </c>
      <c r="O779" s="5" t="s">
        <v>5621</v>
      </c>
      <c r="P779" s="5">
        <v>4</v>
      </c>
      <c r="Q779" s="5">
        <v>1</v>
      </c>
      <c r="R779" s="5"/>
      <c r="S779" s="5">
        <v>73</v>
      </c>
      <c r="T779" s="5">
        <v>73</v>
      </c>
      <c r="U779" s="5">
        <v>73</v>
      </c>
    </row>
    <row r="780" spans="1:21" x14ac:dyDescent="0.25">
      <c r="A780" s="5" t="s">
        <v>5703</v>
      </c>
      <c r="B780" s="5" t="s">
        <v>5704</v>
      </c>
      <c r="C780" s="5" t="s">
        <v>3548</v>
      </c>
      <c r="D780" s="5" t="s">
        <v>3782</v>
      </c>
      <c r="E780" s="5" t="s">
        <v>5617</v>
      </c>
      <c r="F780" s="5" t="s">
        <v>5173</v>
      </c>
      <c r="G780" s="5" t="s">
        <v>5669</v>
      </c>
      <c r="H780" s="5"/>
      <c r="I780" s="5" t="s">
        <v>3448</v>
      </c>
      <c r="J780" s="5" t="s">
        <v>3783</v>
      </c>
      <c r="K780" s="5" t="s">
        <v>5619</v>
      </c>
      <c r="L780" s="5">
        <v>32</v>
      </c>
      <c r="M780" s="5">
        <v>2</v>
      </c>
      <c r="N780" s="5" t="s">
        <v>5174</v>
      </c>
      <c r="O780" s="5" t="s">
        <v>5626</v>
      </c>
      <c r="P780" s="5">
        <v>4</v>
      </c>
      <c r="Q780" s="5">
        <v>1</v>
      </c>
      <c r="R780" s="5"/>
      <c r="S780" s="5">
        <v>54</v>
      </c>
      <c r="T780" s="5">
        <v>54</v>
      </c>
      <c r="U780" s="5">
        <v>54</v>
      </c>
    </row>
    <row r="781" spans="1:21" x14ac:dyDescent="0.25">
      <c r="A781" s="5" t="s">
        <v>5705</v>
      </c>
      <c r="B781" s="5" t="s">
        <v>5706</v>
      </c>
      <c r="C781" s="5" t="s">
        <v>3548</v>
      </c>
      <c r="D781" s="5" t="s">
        <v>3782</v>
      </c>
      <c r="E781" s="5" t="s">
        <v>5617</v>
      </c>
      <c r="F781" s="5" t="s">
        <v>5173</v>
      </c>
      <c r="G781" s="5" t="s">
        <v>5672</v>
      </c>
      <c r="H781" s="5"/>
      <c r="I781" s="5" t="s">
        <v>3448</v>
      </c>
      <c r="J781" s="5" t="s">
        <v>3783</v>
      </c>
      <c r="K781" s="5" t="s">
        <v>5619</v>
      </c>
      <c r="L781" s="5">
        <v>32</v>
      </c>
      <c r="M781" s="5">
        <v>2</v>
      </c>
      <c r="N781" s="5" t="s">
        <v>5174</v>
      </c>
      <c r="O781" s="5" t="s">
        <v>5631</v>
      </c>
      <c r="P781" s="5">
        <v>4</v>
      </c>
      <c r="Q781" s="5">
        <v>1</v>
      </c>
      <c r="R781" s="5"/>
      <c r="S781" s="5">
        <v>62</v>
      </c>
      <c r="T781" s="5">
        <v>62</v>
      </c>
      <c r="U781" s="5">
        <v>62</v>
      </c>
    </row>
    <row r="782" spans="1:21" x14ac:dyDescent="0.25">
      <c r="A782" s="5" t="s">
        <v>5707</v>
      </c>
      <c r="B782" s="5" t="s">
        <v>5708</v>
      </c>
      <c r="C782" s="5" t="s">
        <v>3548</v>
      </c>
      <c r="D782" s="5" t="s">
        <v>3782</v>
      </c>
      <c r="E782" s="5" t="s">
        <v>5617</v>
      </c>
      <c r="F782" s="5" t="s">
        <v>5709</v>
      </c>
      <c r="G782" s="5" t="s">
        <v>5666</v>
      </c>
      <c r="H782" s="5"/>
      <c r="I782" s="5" t="s">
        <v>3448</v>
      </c>
      <c r="J782" s="5" t="s">
        <v>3783</v>
      </c>
      <c r="K782" s="5" t="s">
        <v>5619</v>
      </c>
      <c r="L782" s="5">
        <v>32</v>
      </c>
      <c r="M782" s="5">
        <v>2</v>
      </c>
      <c r="N782" s="5" t="s">
        <v>5710</v>
      </c>
      <c r="O782" s="5" t="s">
        <v>5621</v>
      </c>
      <c r="P782" s="5">
        <v>4</v>
      </c>
      <c r="Q782" s="5">
        <v>1</v>
      </c>
      <c r="R782" s="5"/>
      <c r="S782" s="5">
        <v>73</v>
      </c>
      <c r="T782" s="5">
        <v>73</v>
      </c>
      <c r="U782" s="5">
        <v>73</v>
      </c>
    </row>
    <row r="783" spans="1:21" x14ac:dyDescent="0.25">
      <c r="A783" s="5" t="s">
        <v>5713</v>
      </c>
      <c r="B783" s="5" t="s">
        <v>5714</v>
      </c>
      <c r="C783" s="5" t="s">
        <v>3548</v>
      </c>
      <c r="D783" s="5" t="s">
        <v>3782</v>
      </c>
      <c r="E783" s="5" t="s">
        <v>5617</v>
      </c>
      <c r="F783" s="5" t="s">
        <v>5709</v>
      </c>
      <c r="G783" s="5" t="s">
        <v>5669</v>
      </c>
      <c r="H783" s="5"/>
      <c r="I783" s="5" t="s">
        <v>3448</v>
      </c>
      <c r="J783" s="5" t="s">
        <v>3783</v>
      </c>
      <c r="K783" s="5" t="s">
        <v>5619</v>
      </c>
      <c r="L783" s="5">
        <v>32</v>
      </c>
      <c r="M783" s="5">
        <v>2</v>
      </c>
      <c r="N783" s="5" t="s">
        <v>5710</v>
      </c>
      <c r="O783" s="5" t="s">
        <v>5626</v>
      </c>
      <c r="P783" s="5">
        <v>4</v>
      </c>
      <c r="Q783" s="5">
        <v>1</v>
      </c>
      <c r="R783" s="5"/>
      <c r="S783" s="5">
        <v>48</v>
      </c>
      <c r="T783" s="5">
        <v>48</v>
      </c>
      <c r="U783" s="5">
        <v>48</v>
      </c>
    </row>
    <row r="784" spans="1:21" x14ac:dyDescent="0.25">
      <c r="A784" s="5" t="s">
        <v>5717</v>
      </c>
      <c r="B784" s="5" t="s">
        <v>5718</v>
      </c>
      <c r="C784" s="5" t="s">
        <v>3548</v>
      </c>
      <c r="D784" s="5" t="s">
        <v>3782</v>
      </c>
      <c r="E784" s="5" t="s">
        <v>5617</v>
      </c>
      <c r="F784" s="5" t="s">
        <v>5709</v>
      </c>
      <c r="G784" s="5" t="s">
        <v>5672</v>
      </c>
      <c r="H784" s="5"/>
      <c r="I784" s="5" t="s">
        <v>3448</v>
      </c>
      <c r="J784" s="5" t="s">
        <v>3783</v>
      </c>
      <c r="K784" s="5" t="s">
        <v>5619</v>
      </c>
      <c r="L784" s="5">
        <v>32</v>
      </c>
      <c r="M784" s="5">
        <v>2</v>
      </c>
      <c r="N784" s="5" t="s">
        <v>5710</v>
      </c>
      <c r="O784" s="5" t="s">
        <v>5631</v>
      </c>
      <c r="P784" s="5">
        <v>4</v>
      </c>
      <c r="Q784" s="5">
        <v>1</v>
      </c>
      <c r="R784" s="5"/>
      <c r="S784" s="5">
        <v>58</v>
      </c>
      <c r="T784" s="5">
        <v>58</v>
      </c>
      <c r="U784" s="5">
        <v>58</v>
      </c>
    </row>
    <row r="785" spans="1:21" x14ac:dyDescent="0.25">
      <c r="A785" s="5" t="s">
        <v>5721</v>
      </c>
      <c r="B785" s="5" t="s">
        <v>5722</v>
      </c>
      <c r="C785" s="5" t="s">
        <v>3548</v>
      </c>
      <c r="D785" s="5" t="s">
        <v>3782</v>
      </c>
      <c r="E785" s="5" t="s">
        <v>5617</v>
      </c>
      <c r="F785" s="5" t="s">
        <v>5618</v>
      </c>
      <c r="G785" s="5" t="s">
        <v>5666</v>
      </c>
      <c r="H785" s="5"/>
      <c r="I785" s="5" t="s">
        <v>3448</v>
      </c>
      <c r="J785" s="5" t="s">
        <v>3783</v>
      </c>
      <c r="K785" s="5" t="s">
        <v>5619</v>
      </c>
      <c r="L785" s="5">
        <v>32</v>
      </c>
      <c r="M785" s="5">
        <v>3</v>
      </c>
      <c r="N785" s="5" t="s">
        <v>5620</v>
      </c>
      <c r="O785" s="5" t="s">
        <v>5621</v>
      </c>
      <c r="P785" s="5">
        <v>4</v>
      </c>
      <c r="Q785" s="5">
        <v>1</v>
      </c>
      <c r="R785" s="5"/>
      <c r="S785" s="5">
        <v>109</v>
      </c>
      <c r="T785" s="5">
        <v>109</v>
      </c>
      <c r="U785" s="5">
        <v>109</v>
      </c>
    </row>
    <row r="786" spans="1:21" x14ac:dyDescent="0.25">
      <c r="A786" s="5" t="s">
        <v>5723</v>
      </c>
      <c r="B786" s="5" t="s">
        <v>5724</v>
      </c>
      <c r="C786" s="5" t="s">
        <v>3548</v>
      </c>
      <c r="D786" s="5" t="s">
        <v>3782</v>
      </c>
      <c r="E786" s="5" t="s">
        <v>5617</v>
      </c>
      <c r="F786" s="5" t="s">
        <v>5618</v>
      </c>
      <c r="G786" s="5" t="s">
        <v>5669</v>
      </c>
      <c r="H786" s="5"/>
      <c r="I786" s="5" t="s">
        <v>3448</v>
      </c>
      <c r="J786" s="5" t="s">
        <v>3783</v>
      </c>
      <c r="K786" s="5" t="s">
        <v>5619</v>
      </c>
      <c r="L786" s="5">
        <v>32</v>
      </c>
      <c r="M786" s="5">
        <v>3</v>
      </c>
      <c r="N786" s="5" t="s">
        <v>5620</v>
      </c>
      <c r="O786" s="5" t="s">
        <v>5626</v>
      </c>
      <c r="P786" s="5">
        <v>4</v>
      </c>
      <c r="Q786" s="5">
        <v>1</v>
      </c>
      <c r="R786" s="5"/>
      <c r="S786" s="5">
        <v>74</v>
      </c>
      <c r="T786" s="5">
        <v>74</v>
      </c>
      <c r="U786" s="5">
        <v>74</v>
      </c>
    </row>
    <row r="787" spans="1:21" x14ac:dyDescent="0.25">
      <c r="A787" s="5" t="s">
        <v>5725</v>
      </c>
      <c r="B787" s="5" t="s">
        <v>5726</v>
      </c>
      <c r="C787" s="5" t="s">
        <v>3548</v>
      </c>
      <c r="D787" s="5" t="s">
        <v>3782</v>
      </c>
      <c r="E787" s="5" t="s">
        <v>5617</v>
      </c>
      <c r="F787" s="5" t="s">
        <v>5618</v>
      </c>
      <c r="G787" s="5" t="s">
        <v>5672</v>
      </c>
      <c r="H787" s="5"/>
      <c r="I787" s="5" t="s">
        <v>3448</v>
      </c>
      <c r="J787" s="5" t="s">
        <v>3783</v>
      </c>
      <c r="K787" s="5" t="s">
        <v>5619</v>
      </c>
      <c r="L787" s="5">
        <v>32</v>
      </c>
      <c r="M787" s="5">
        <v>3</v>
      </c>
      <c r="N787" s="5" t="s">
        <v>5620</v>
      </c>
      <c r="O787" s="5" t="s">
        <v>5631</v>
      </c>
      <c r="P787" s="5">
        <v>4</v>
      </c>
      <c r="Q787" s="5">
        <v>1</v>
      </c>
      <c r="R787" s="5"/>
      <c r="S787" s="5">
        <v>84</v>
      </c>
      <c r="T787" s="5">
        <v>84</v>
      </c>
      <c r="U787" s="5">
        <v>84</v>
      </c>
    </row>
    <row r="788" spans="1:21" x14ac:dyDescent="0.25">
      <c r="A788" s="5" t="s">
        <v>5727</v>
      </c>
      <c r="B788" s="5" t="s">
        <v>5728</v>
      </c>
      <c r="C788" s="5" t="s">
        <v>3548</v>
      </c>
      <c r="D788" s="5" t="s">
        <v>3782</v>
      </c>
      <c r="E788" s="5" t="s">
        <v>5617</v>
      </c>
      <c r="F788" s="5" t="s">
        <v>4835</v>
      </c>
      <c r="G788" s="5" t="s">
        <v>5672</v>
      </c>
      <c r="H788" s="5"/>
      <c r="I788" s="5" t="s">
        <v>3448</v>
      </c>
      <c r="J788" s="5" t="s">
        <v>3783</v>
      </c>
      <c r="K788" s="5" t="s">
        <v>5619</v>
      </c>
      <c r="L788" s="5">
        <v>32</v>
      </c>
      <c r="M788" s="5">
        <v>3</v>
      </c>
      <c r="N788" s="5" t="s">
        <v>4836</v>
      </c>
      <c r="O788" s="5" t="s">
        <v>5631</v>
      </c>
      <c r="P788" s="5">
        <v>4</v>
      </c>
      <c r="Q788" s="5">
        <v>1</v>
      </c>
      <c r="R788" s="5"/>
      <c r="S788" s="5">
        <v>82</v>
      </c>
      <c r="T788" s="5">
        <v>82</v>
      </c>
      <c r="U788" s="5">
        <v>82</v>
      </c>
    </row>
    <row r="789" spans="1:21" x14ac:dyDescent="0.25">
      <c r="A789" s="5" t="s">
        <v>5729</v>
      </c>
      <c r="B789" s="5" t="s">
        <v>5730</v>
      </c>
      <c r="C789" s="5" t="s">
        <v>3548</v>
      </c>
      <c r="D789" s="5" t="s">
        <v>3782</v>
      </c>
      <c r="E789" s="5" t="s">
        <v>5617</v>
      </c>
      <c r="F789" s="5" t="s">
        <v>5173</v>
      </c>
      <c r="G789" s="5" t="s">
        <v>5666</v>
      </c>
      <c r="H789" s="5"/>
      <c r="I789" s="5" t="s">
        <v>3448</v>
      </c>
      <c r="J789" s="5" t="s">
        <v>3783</v>
      </c>
      <c r="K789" s="5" t="s">
        <v>5619</v>
      </c>
      <c r="L789" s="5">
        <v>32</v>
      </c>
      <c r="M789" s="5">
        <v>3</v>
      </c>
      <c r="N789" s="5" t="s">
        <v>5174</v>
      </c>
      <c r="O789" s="5" t="s">
        <v>5621</v>
      </c>
      <c r="P789" s="5">
        <v>4</v>
      </c>
      <c r="Q789" s="5">
        <v>1</v>
      </c>
      <c r="R789" s="5"/>
      <c r="S789" s="5">
        <v>110</v>
      </c>
      <c r="T789" s="5">
        <v>110</v>
      </c>
      <c r="U789" s="5">
        <v>110</v>
      </c>
    </row>
    <row r="790" spans="1:21" x14ac:dyDescent="0.25">
      <c r="A790" s="5" t="s">
        <v>5731</v>
      </c>
      <c r="B790" s="5" t="s">
        <v>5732</v>
      </c>
      <c r="C790" s="5" t="s">
        <v>3548</v>
      </c>
      <c r="D790" s="5" t="s">
        <v>3782</v>
      </c>
      <c r="E790" s="5" t="s">
        <v>5617</v>
      </c>
      <c r="F790" s="5" t="s">
        <v>5173</v>
      </c>
      <c r="G790" s="5" t="s">
        <v>5669</v>
      </c>
      <c r="H790" s="5"/>
      <c r="I790" s="5" t="s">
        <v>3448</v>
      </c>
      <c r="J790" s="5" t="s">
        <v>3783</v>
      </c>
      <c r="K790" s="5" t="s">
        <v>5619</v>
      </c>
      <c r="L790" s="5">
        <v>32</v>
      </c>
      <c r="M790" s="5">
        <v>3</v>
      </c>
      <c r="N790" s="5" t="s">
        <v>5174</v>
      </c>
      <c r="O790" s="5" t="s">
        <v>5626</v>
      </c>
      <c r="P790" s="5">
        <v>4</v>
      </c>
      <c r="Q790" s="5">
        <v>1</v>
      </c>
      <c r="R790" s="5"/>
      <c r="S790" s="5">
        <v>79</v>
      </c>
      <c r="T790" s="5">
        <v>79</v>
      </c>
      <c r="U790" s="5">
        <v>79</v>
      </c>
    </row>
    <row r="791" spans="1:21" x14ac:dyDescent="0.25">
      <c r="A791" s="5" t="s">
        <v>5733</v>
      </c>
      <c r="B791" s="5" t="s">
        <v>5734</v>
      </c>
      <c r="C791" s="5" t="s">
        <v>3548</v>
      </c>
      <c r="D791" s="5" t="s">
        <v>3782</v>
      </c>
      <c r="E791" s="5" t="s">
        <v>5617</v>
      </c>
      <c r="F791" s="5" t="s">
        <v>5173</v>
      </c>
      <c r="G791" s="5" t="s">
        <v>5672</v>
      </c>
      <c r="H791" s="5"/>
      <c r="I791" s="5" t="s">
        <v>3448</v>
      </c>
      <c r="J791" s="5" t="s">
        <v>3783</v>
      </c>
      <c r="K791" s="5" t="s">
        <v>5619</v>
      </c>
      <c r="L791" s="5">
        <v>32</v>
      </c>
      <c r="M791" s="5">
        <v>3</v>
      </c>
      <c r="N791" s="5" t="s">
        <v>5174</v>
      </c>
      <c r="O791" s="5" t="s">
        <v>5631</v>
      </c>
      <c r="P791" s="5">
        <v>4</v>
      </c>
      <c r="Q791" s="5">
        <v>1</v>
      </c>
      <c r="R791" s="5"/>
      <c r="S791" s="5">
        <v>91</v>
      </c>
      <c r="T791" s="5">
        <v>91</v>
      </c>
      <c r="U791" s="5">
        <v>91</v>
      </c>
    </row>
    <row r="792" spans="1:21" x14ac:dyDescent="0.25">
      <c r="A792" s="5" t="s">
        <v>5735</v>
      </c>
      <c r="B792" s="5" t="s">
        <v>5736</v>
      </c>
      <c r="C792" s="5" t="s">
        <v>3548</v>
      </c>
      <c r="D792" s="5" t="s">
        <v>3782</v>
      </c>
      <c r="E792" s="5" t="s">
        <v>5617</v>
      </c>
      <c r="F792" s="5" t="s">
        <v>5709</v>
      </c>
      <c r="G792" s="5" t="s">
        <v>5666</v>
      </c>
      <c r="H792" s="5"/>
      <c r="I792" s="5" t="s">
        <v>3448</v>
      </c>
      <c r="J792" s="5" t="s">
        <v>3783</v>
      </c>
      <c r="K792" s="5" t="s">
        <v>5619</v>
      </c>
      <c r="L792" s="5">
        <v>32</v>
      </c>
      <c r="M792" s="5">
        <v>3</v>
      </c>
      <c r="N792" s="5" t="s">
        <v>5710</v>
      </c>
      <c r="O792" s="5" t="s">
        <v>5621</v>
      </c>
      <c r="P792" s="5">
        <v>4</v>
      </c>
      <c r="Q792" s="5">
        <v>1</v>
      </c>
      <c r="R792" s="5"/>
      <c r="S792" s="5">
        <v>110</v>
      </c>
      <c r="T792" s="5">
        <v>110</v>
      </c>
      <c r="U792" s="5">
        <v>110</v>
      </c>
    </row>
    <row r="793" spans="1:21" x14ac:dyDescent="0.25">
      <c r="A793" s="5" t="s">
        <v>5737</v>
      </c>
      <c r="B793" s="5" t="s">
        <v>5738</v>
      </c>
      <c r="C793" s="5" t="s">
        <v>3548</v>
      </c>
      <c r="D793" s="5" t="s">
        <v>3782</v>
      </c>
      <c r="E793" s="5" t="s">
        <v>5617</v>
      </c>
      <c r="F793" s="5" t="s">
        <v>5709</v>
      </c>
      <c r="G793" s="5" t="s">
        <v>5669</v>
      </c>
      <c r="H793" s="5"/>
      <c r="I793" s="5" t="s">
        <v>3448</v>
      </c>
      <c r="J793" s="5" t="s">
        <v>3783</v>
      </c>
      <c r="K793" s="5" t="s">
        <v>5619</v>
      </c>
      <c r="L793" s="5">
        <v>32</v>
      </c>
      <c r="M793" s="5">
        <v>3</v>
      </c>
      <c r="N793" s="5" t="s">
        <v>5710</v>
      </c>
      <c r="O793" s="5" t="s">
        <v>5626</v>
      </c>
      <c r="P793" s="5">
        <v>4</v>
      </c>
      <c r="Q793" s="5">
        <v>1</v>
      </c>
      <c r="R793" s="5"/>
      <c r="S793" s="5">
        <v>73</v>
      </c>
      <c r="T793" s="5">
        <v>73</v>
      </c>
      <c r="U793" s="5">
        <v>73</v>
      </c>
    </row>
    <row r="794" spans="1:21" x14ac:dyDescent="0.25">
      <c r="A794" s="5" t="s">
        <v>5739</v>
      </c>
      <c r="B794" s="5" t="s">
        <v>5740</v>
      </c>
      <c r="C794" s="5" t="s">
        <v>3548</v>
      </c>
      <c r="D794" s="5" t="s">
        <v>3782</v>
      </c>
      <c r="E794" s="5" t="s">
        <v>5617</v>
      </c>
      <c r="F794" s="5" t="s">
        <v>5709</v>
      </c>
      <c r="G794" s="5" t="s">
        <v>5672</v>
      </c>
      <c r="H794" s="5"/>
      <c r="I794" s="5" t="s">
        <v>3448</v>
      </c>
      <c r="J794" s="5" t="s">
        <v>3783</v>
      </c>
      <c r="K794" s="5" t="s">
        <v>5619</v>
      </c>
      <c r="L794" s="5">
        <v>32</v>
      </c>
      <c r="M794" s="5">
        <v>3</v>
      </c>
      <c r="N794" s="5" t="s">
        <v>5710</v>
      </c>
      <c r="O794" s="5" t="s">
        <v>5631</v>
      </c>
      <c r="P794" s="5">
        <v>4</v>
      </c>
      <c r="Q794" s="5">
        <v>1</v>
      </c>
      <c r="R794" s="5"/>
      <c r="S794" s="5">
        <v>85</v>
      </c>
      <c r="T794" s="5">
        <v>85</v>
      </c>
      <c r="U794" s="5">
        <v>85</v>
      </c>
    </row>
    <row r="795" spans="1:21" x14ac:dyDescent="0.25">
      <c r="A795" s="5" t="s">
        <v>5741</v>
      </c>
      <c r="B795" s="5" t="s">
        <v>5742</v>
      </c>
      <c r="C795" s="5" t="s">
        <v>3548</v>
      </c>
      <c r="D795" s="5" t="s">
        <v>3782</v>
      </c>
      <c r="E795" s="5" t="s">
        <v>5617</v>
      </c>
      <c r="F795" s="5" t="s">
        <v>5618</v>
      </c>
      <c r="G795" s="5" t="s">
        <v>5666</v>
      </c>
      <c r="H795" s="5"/>
      <c r="I795" s="5" t="s">
        <v>3448</v>
      </c>
      <c r="J795" s="5" t="s">
        <v>3783</v>
      </c>
      <c r="K795" s="5" t="s">
        <v>5619</v>
      </c>
      <c r="L795" s="5">
        <v>32</v>
      </c>
      <c r="M795" s="5">
        <v>1</v>
      </c>
      <c r="N795" s="5" t="s">
        <v>5620</v>
      </c>
      <c r="O795" s="5" t="s">
        <v>5621</v>
      </c>
      <c r="P795" s="5">
        <v>4</v>
      </c>
      <c r="Q795" s="5">
        <v>1</v>
      </c>
      <c r="R795" s="5"/>
      <c r="S795" s="5">
        <v>38</v>
      </c>
      <c r="T795" s="5">
        <v>38</v>
      </c>
      <c r="U795" s="5">
        <v>38</v>
      </c>
    </row>
    <row r="796" spans="1:21" x14ac:dyDescent="0.25">
      <c r="A796" s="5" t="s">
        <v>5743</v>
      </c>
      <c r="B796" s="5" t="s">
        <v>5744</v>
      </c>
      <c r="C796" s="5" t="s">
        <v>3548</v>
      </c>
      <c r="D796" s="5" t="s">
        <v>3782</v>
      </c>
      <c r="E796" s="5" t="s">
        <v>5617</v>
      </c>
      <c r="F796" s="5" t="s">
        <v>5618</v>
      </c>
      <c r="G796" s="5" t="s">
        <v>5669</v>
      </c>
      <c r="H796" s="5"/>
      <c r="I796" s="5" t="s">
        <v>3448</v>
      </c>
      <c r="J796" s="5" t="s">
        <v>3783</v>
      </c>
      <c r="K796" s="5" t="s">
        <v>5619</v>
      </c>
      <c r="L796" s="5">
        <v>32</v>
      </c>
      <c r="M796" s="5">
        <v>1</v>
      </c>
      <c r="N796" s="5" t="s">
        <v>5620</v>
      </c>
      <c r="O796" s="5" t="s">
        <v>5626</v>
      </c>
      <c r="P796" s="5">
        <v>4</v>
      </c>
      <c r="Q796" s="5">
        <v>1</v>
      </c>
      <c r="R796" s="5"/>
      <c r="S796" s="5">
        <v>25</v>
      </c>
      <c r="T796" s="5">
        <v>25</v>
      </c>
      <c r="U796" s="5">
        <v>25</v>
      </c>
    </row>
    <row r="797" spans="1:21" x14ac:dyDescent="0.25">
      <c r="A797" s="5" t="s">
        <v>5745</v>
      </c>
      <c r="B797" s="5" t="s">
        <v>5746</v>
      </c>
      <c r="C797" s="5" t="s">
        <v>3548</v>
      </c>
      <c r="D797" s="5" t="s">
        <v>3782</v>
      </c>
      <c r="E797" s="5" t="s">
        <v>5617</v>
      </c>
      <c r="F797" s="5" t="s">
        <v>5618</v>
      </c>
      <c r="G797" s="5" t="s">
        <v>5672</v>
      </c>
      <c r="H797" s="5"/>
      <c r="I797" s="5" t="s">
        <v>3448</v>
      </c>
      <c r="J797" s="5" t="s">
        <v>3783</v>
      </c>
      <c r="K797" s="5" t="s">
        <v>5619</v>
      </c>
      <c r="L797" s="5">
        <v>32</v>
      </c>
      <c r="M797" s="5">
        <v>1</v>
      </c>
      <c r="N797" s="5" t="s">
        <v>5620</v>
      </c>
      <c r="O797" s="5" t="s">
        <v>5631</v>
      </c>
      <c r="P797" s="5">
        <v>4</v>
      </c>
      <c r="Q797" s="5">
        <v>1</v>
      </c>
      <c r="R797" s="5"/>
      <c r="S797" s="5">
        <v>29</v>
      </c>
      <c r="T797" s="5">
        <v>29</v>
      </c>
      <c r="U797" s="5">
        <v>29</v>
      </c>
    </row>
    <row r="798" spans="1:21" x14ac:dyDescent="0.25">
      <c r="A798" s="5" t="s">
        <v>5765</v>
      </c>
      <c r="B798" s="5" t="s">
        <v>5766</v>
      </c>
      <c r="C798" s="5" t="s">
        <v>3548</v>
      </c>
      <c r="D798" s="5" t="s">
        <v>3782</v>
      </c>
      <c r="E798" s="5" t="s">
        <v>5617</v>
      </c>
      <c r="F798" s="5" t="s">
        <v>5173</v>
      </c>
      <c r="G798" s="5" t="s">
        <v>5666</v>
      </c>
      <c r="H798" s="5"/>
      <c r="I798" s="5" t="s">
        <v>3448</v>
      </c>
      <c r="J798" s="5" t="s">
        <v>3783</v>
      </c>
      <c r="K798" s="5" t="s">
        <v>5619</v>
      </c>
      <c r="L798" s="5">
        <v>32</v>
      </c>
      <c r="M798" s="5">
        <v>1</v>
      </c>
      <c r="N798" s="5" t="s">
        <v>5174</v>
      </c>
      <c r="O798" s="5" t="s">
        <v>5626</v>
      </c>
      <c r="P798" s="5">
        <v>4</v>
      </c>
      <c r="Q798" s="5">
        <v>1</v>
      </c>
      <c r="R798" s="5"/>
      <c r="S798" s="5">
        <v>24</v>
      </c>
      <c r="T798" s="5">
        <v>24</v>
      </c>
      <c r="U798" s="5">
        <v>24</v>
      </c>
    </row>
    <row r="799" spans="1:21" x14ac:dyDescent="0.25">
      <c r="A799" s="5" t="s">
        <v>5773</v>
      </c>
      <c r="B799" s="5" t="s">
        <v>5774</v>
      </c>
      <c r="C799" s="5" t="s">
        <v>3548</v>
      </c>
      <c r="D799" s="5" t="s">
        <v>3782</v>
      </c>
      <c r="E799" s="5" t="s">
        <v>5617</v>
      </c>
      <c r="F799" s="5" t="s">
        <v>5173</v>
      </c>
      <c r="G799" s="5" t="s">
        <v>5669</v>
      </c>
      <c r="H799" s="5"/>
      <c r="I799" s="5" t="s">
        <v>3448</v>
      </c>
      <c r="J799" s="5" t="s">
        <v>3783</v>
      </c>
      <c r="K799" s="5" t="s">
        <v>5619</v>
      </c>
      <c r="L799" s="5">
        <v>32</v>
      </c>
      <c r="M799" s="5">
        <v>1</v>
      </c>
      <c r="N799" s="5" t="s">
        <v>5174</v>
      </c>
      <c r="O799" s="5" t="s">
        <v>5631</v>
      </c>
      <c r="P799" s="5">
        <v>4</v>
      </c>
      <c r="Q799" s="5">
        <v>1</v>
      </c>
      <c r="R799" s="5"/>
      <c r="S799" s="5">
        <v>33</v>
      </c>
      <c r="T799" s="5">
        <v>33</v>
      </c>
      <c r="U799" s="5">
        <v>33</v>
      </c>
    </row>
    <row r="800" spans="1:21" x14ac:dyDescent="0.25">
      <c r="A800" s="5" t="s">
        <v>5781</v>
      </c>
      <c r="B800" s="5" t="s">
        <v>5782</v>
      </c>
      <c r="C800" s="5" t="s">
        <v>3548</v>
      </c>
      <c r="D800" s="5" t="s">
        <v>3782</v>
      </c>
      <c r="E800" s="5" t="s">
        <v>5617</v>
      </c>
      <c r="F800" s="5" t="s">
        <v>5173</v>
      </c>
      <c r="G800" s="5" t="s">
        <v>5672</v>
      </c>
      <c r="H800" s="5"/>
      <c r="I800" s="5" t="s">
        <v>3448</v>
      </c>
      <c r="J800" s="5" t="s">
        <v>3783</v>
      </c>
      <c r="K800" s="5" t="s">
        <v>5619</v>
      </c>
      <c r="L800" s="5">
        <v>32</v>
      </c>
      <c r="M800" s="5">
        <v>1</v>
      </c>
      <c r="N800" s="5" t="s">
        <v>5174</v>
      </c>
      <c r="O800" s="5" t="s">
        <v>5621</v>
      </c>
      <c r="P800" s="5">
        <v>4</v>
      </c>
      <c r="Q800" s="5">
        <v>1</v>
      </c>
      <c r="R800" s="5"/>
      <c r="S800" s="5">
        <v>39</v>
      </c>
      <c r="T800" s="5">
        <v>39</v>
      </c>
      <c r="U800" s="5">
        <v>39</v>
      </c>
    </row>
    <row r="801" spans="1:21" x14ac:dyDescent="0.25">
      <c r="A801" s="5" t="s">
        <v>5787</v>
      </c>
      <c r="B801" s="5" t="s">
        <v>5788</v>
      </c>
      <c r="C801" s="5" t="s">
        <v>3548</v>
      </c>
      <c r="D801" s="5" t="s">
        <v>3782</v>
      </c>
      <c r="E801" s="5" t="s">
        <v>5617</v>
      </c>
      <c r="F801" s="5" t="s">
        <v>5709</v>
      </c>
      <c r="G801" s="5" t="s">
        <v>5666</v>
      </c>
      <c r="H801" s="5"/>
      <c r="I801" s="5" t="s">
        <v>3448</v>
      </c>
      <c r="J801" s="5" t="s">
        <v>3783</v>
      </c>
      <c r="K801" s="5" t="s">
        <v>5619</v>
      </c>
      <c r="L801" s="5">
        <v>32</v>
      </c>
      <c r="M801" s="5">
        <v>1</v>
      </c>
      <c r="N801" s="5" t="s">
        <v>5710</v>
      </c>
      <c r="O801" s="5" t="s">
        <v>5621</v>
      </c>
      <c r="P801" s="5">
        <v>4</v>
      </c>
      <c r="Q801" s="5">
        <v>1</v>
      </c>
      <c r="R801" s="5"/>
      <c r="S801" s="5">
        <v>39</v>
      </c>
      <c r="T801" s="5">
        <v>39</v>
      </c>
      <c r="U801" s="5">
        <v>39</v>
      </c>
    </row>
    <row r="802" spans="1:21" x14ac:dyDescent="0.25">
      <c r="A802" s="5" t="s">
        <v>5789</v>
      </c>
      <c r="B802" s="5" t="s">
        <v>5790</v>
      </c>
      <c r="C802" s="5" t="s">
        <v>3548</v>
      </c>
      <c r="D802" s="5" t="s">
        <v>3782</v>
      </c>
      <c r="E802" s="5" t="s">
        <v>5617</v>
      </c>
      <c r="F802" s="5" t="s">
        <v>5709</v>
      </c>
      <c r="G802" s="5" t="s">
        <v>5669</v>
      </c>
      <c r="H802" s="5"/>
      <c r="I802" s="5" t="s">
        <v>3448</v>
      </c>
      <c r="J802" s="5" t="s">
        <v>3783</v>
      </c>
      <c r="K802" s="5" t="s">
        <v>5619</v>
      </c>
      <c r="L802" s="5">
        <v>32</v>
      </c>
      <c r="M802" s="5">
        <v>1</v>
      </c>
      <c r="N802" s="5" t="s">
        <v>5710</v>
      </c>
      <c r="O802" s="5" t="s">
        <v>5626</v>
      </c>
      <c r="P802" s="5">
        <v>4</v>
      </c>
      <c r="Q802" s="5">
        <v>1</v>
      </c>
      <c r="R802" s="5"/>
      <c r="S802" s="5">
        <v>25</v>
      </c>
      <c r="T802" s="5">
        <v>25</v>
      </c>
      <c r="U802" s="5">
        <v>25</v>
      </c>
    </row>
    <row r="803" spans="1:21" x14ac:dyDescent="0.25">
      <c r="A803" s="5" t="s">
        <v>5791</v>
      </c>
      <c r="B803" s="5" t="s">
        <v>5792</v>
      </c>
      <c r="C803" s="5" t="s">
        <v>3548</v>
      </c>
      <c r="D803" s="5" t="s">
        <v>3782</v>
      </c>
      <c r="E803" s="5" t="s">
        <v>5617</v>
      </c>
      <c r="F803" s="5" t="s">
        <v>5709</v>
      </c>
      <c r="G803" s="5" t="s">
        <v>5672</v>
      </c>
      <c r="H803" s="5"/>
      <c r="I803" s="5" t="s">
        <v>3448</v>
      </c>
      <c r="J803" s="5" t="s">
        <v>3783</v>
      </c>
      <c r="K803" s="5" t="s">
        <v>5619</v>
      </c>
      <c r="L803" s="5">
        <v>32</v>
      </c>
      <c r="M803" s="5">
        <v>1</v>
      </c>
      <c r="N803" s="5" t="s">
        <v>5710</v>
      </c>
      <c r="O803" s="5" t="s">
        <v>5631</v>
      </c>
      <c r="P803" s="5">
        <v>4</v>
      </c>
      <c r="Q803" s="5">
        <v>1</v>
      </c>
      <c r="R803" s="5"/>
      <c r="S803" s="5">
        <v>30</v>
      </c>
      <c r="T803" s="5">
        <v>30</v>
      </c>
      <c r="U803" s="5">
        <v>30</v>
      </c>
    </row>
    <row r="804" spans="1:21" x14ac:dyDescent="0.25">
      <c r="A804" s="5" t="s">
        <v>5793</v>
      </c>
      <c r="B804" s="5" t="s">
        <v>5794</v>
      </c>
      <c r="C804" s="5" t="s">
        <v>3548</v>
      </c>
      <c r="D804" s="5" t="s">
        <v>3782</v>
      </c>
      <c r="E804" s="5" t="s">
        <v>5617</v>
      </c>
      <c r="F804" s="5" t="s">
        <v>5618</v>
      </c>
      <c r="G804" s="5" t="s">
        <v>5666</v>
      </c>
      <c r="H804" s="5"/>
      <c r="I804" s="5" t="s">
        <v>3448</v>
      </c>
      <c r="J804" s="5" t="s">
        <v>3783</v>
      </c>
      <c r="K804" s="5" t="s">
        <v>5619</v>
      </c>
      <c r="L804" s="5">
        <v>32</v>
      </c>
      <c r="M804" s="5">
        <v>4</v>
      </c>
      <c r="N804" s="5" t="s">
        <v>5620</v>
      </c>
      <c r="O804" s="5" t="s">
        <v>5621</v>
      </c>
      <c r="P804" s="5">
        <v>4</v>
      </c>
      <c r="Q804" s="5">
        <v>1</v>
      </c>
      <c r="R804" s="5"/>
      <c r="S804" s="5">
        <v>142</v>
      </c>
      <c r="T804" s="5">
        <v>142</v>
      </c>
      <c r="U804" s="5">
        <v>142</v>
      </c>
    </row>
    <row r="805" spans="1:21" x14ac:dyDescent="0.25">
      <c r="A805" s="5" t="s">
        <v>5795</v>
      </c>
      <c r="B805" s="5" t="s">
        <v>5796</v>
      </c>
      <c r="C805" s="5" t="s">
        <v>3548</v>
      </c>
      <c r="D805" s="5" t="s">
        <v>3782</v>
      </c>
      <c r="E805" s="5" t="s">
        <v>5617</v>
      </c>
      <c r="F805" s="5" t="s">
        <v>5618</v>
      </c>
      <c r="G805" s="5" t="s">
        <v>5669</v>
      </c>
      <c r="H805" s="5"/>
      <c r="I805" s="5" t="s">
        <v>3448</v>
      </c>
      <c r="J805" s="5" t="s">
        <v>3783</v>
      </c>
      <c r="K805" s="5" t="s">
        <v>5619</v>
      </c>
      <c r="L805" s="5">
        <v>32</v>
      </c>
      <c r="M805" s="5">
        <v>4</v>
      </c>
      <c r="N805" s="5" t="s">
        <v>5620</v>
      </c>
      <c r="O805" s="5" t="s">
        <v>5626</v>
      </c>
      <c r="P805" s="5">
        <v>4</v>
      </c>
      <c r="Q805" s="5">
        <v>1</v>
      </c>
      <c r="R805" s="5"/>
      <c r="S805" s="5">
        <v>95</v>
      </c>
      <c r="T805" s="5">
        <v>95</v>
      </c>
      <c r="U805" s="5">
        <v>95</v>
      </c>
    </row>
    <row r="806" spans="1:21" x14ac:dyDescent="0.25">
      <c r="A806" s="5" t="s">
        <v>5797</v>
      </c>
      <c r="B806" s="5" t="s">
        <v>5798</v>
      </c>
      <c r="C806" s="5" t="s">
        <v>3548</v>
      </c>
      <c r="D806" s="5" t="s">
        <v>3782</v>
      </c>
      <c r="E806" s="5" t="s">
        <v>5617</v>
      </c>
      <c r="F806" s="5" t="s">
        <v>5618</v>
      </c>
      <c r="G806" s="5" t="s">
        <v>5672</v>
      </c>
      <c r="H806" s="5"/>
      <c r="I806" s="5" t="s">
        <v>3448</v>
      </c>
      <c r="J806" s="5" t="s">
        <v>3783</v>
      </c>
      <c r="K806" s="5" t="s">
        <v>5619</v>
      </c>
      <c r="L806" s="5">
        <v>32</v>
      </c>
      <c r="M806" s="5">
        <v>4</v>
      </c>
      <c r="N806" s="5" t="s">
        <v>5620</v>
      </c>
      <c r="O806" s="5" t="s">
        <v>5631</v>
      </c>
      <c r="P806" s="5">
        <v>4</v>
      </c>
      <c r="Q806" s="5">
        <v>1</v>
      </c>
      <c r="R806" s="5"/>
      <c r="S806" s="5">
        <v>108</v>
      </c>
      <c r="T806" s="5">
        <v>108</v>
      </c>
      <c r="U806" s="5">
        <v>108</v>
      </c>
    </row>
    <row r="807" spans="1:21" x14ac:dyDescent="0.25">
      <c r="A807" s="5" t="s">
        <v>5799</v>
      </c>
      <c r="B807" s="5" t="s">
        <v>5800</v>
      </c>
      <c r="C807" s="5" t="s">
        <v>3548</v>
      </c>
      <c r="D807" s="5" t="s">
        <v>3782</v>
      </c>
      <c r="E807" s="5" t="s">
        <v>5617</v>
      </c>
      <c r="F807" s="5" t="s">
        <v>5173</v>
      </c>
      <c r="G807" s="5" t="s">
        <v>5666</v>
      </c>
      <c r="H807" s="5"/>
      <c r="I807" s="5" t="s">
        <v>3448</v>
      </c>
      <c r="J807" s="5" t="s">
        <v>3783</v>
      </c>
      <c r="K807" s="5" t="s">
        <v>5619</v>
      </c>
      <c r="L807" s="5">
        <v>32</v>
      </c>
      <c r="M807" s="5">
        <v>4</v>
      </c>
      <c r="N807" s="5" t="s">
        <v>5174</v>
      </c>
      <c r="O807" s="5" t="s">
        <v>5621</v>
      </c>
      <c r="P807" s="5">
        <v>4</v>
      </c>
      <c r="Q807" s="5">
        <v>1</v>
      </c>
      <c r="R807" s="5"/>
      <c r="S807" s="5">
        <v>148</v>
      </c>
      <c r="T807" s="5">
        <v>148</v>
      </c>
      <c r="U807" s="5">
        <v>148</v>
      </c>
    </row>
    <row r="808" spans="1:21" x14ac:dyDescent="0.25">
      <c r="A808" s="5" t="s">
        <v>5801</v>
      </c>
      <c r="B808" s="5" t="s">
        <v>5802</v>
      </c>
      <c r="C808" s="5" t="s">
        <v>3548</v>
      </c>
      <c r="D808" s="5" t="s">
        <v>3782</v>
      </c>
      <c r="E808" s="5" t="s">
        <v>5617</v>
      </c>
      <c r="F808" s="5" t="s">
        <v>5173</v>
      </c>
      <c r="G808" s="5" t="s">
        <v>5669</v>
      </c>
      <c r="H808" s="5"/>
      <c r="I808" s="5" t="s">
        <v>3448</v>
      </c>
      <c r="J808" s="5" t="s">
        <v>3783</v>
      </c>
      <c r="K808" s="5" t="s">
        <v>5619</v>
      </c>
      <c r="L808" s="5">
        <v>32</v>
      </c>
      <c r="M808" s="5">
        <v>4</v>
      </c>
      <c r="N808" s="5" t="s">
        <v>5174</v>
      </c>
      <c r="O808" s="5" t="s">
        <v>5626</v>
      </c>
      <c r="P808" s="5">
        <v>4</v>
      </c>
      <c r="Q808" s="5">
        <v>1</v>
      </c>
      <c r="R808" s="5"/>
      <c r="S808" s="5">
        <v>93</v>
      </c>
      <c r="T808" s="5">
        <v>93</v>
      </c>
      <c r="U808" s="5">
        <v>93</v>
      </c>
    </row>
    <row r="809" spans="1:21" x14ac:dyDescent="0.25">
      <c r="A809" s="5" t="s">
        <v>5803</v>
      </c>
      <c r="B809" s="5" t="s">
        <v>5804</v>
      </c>
      <c r="C809" s="5" t="s">
        <v>3548</v>
      </c>
      <c r="D809" s="5" t="s">
        <v>3782</v>
      </c>
      <c r="E809" s="5" t="s">
        <v>5617</v>
      </c>
      <c r="F809" s="5" t="s">
        <v>5173</v>
      </c>
      <c r="G809" s="5" t="s">
        <v>5672</v>
      </c>
      <c r="H809" s="5"/>
      <c r="I809" s="5" t="s">
        <v>3448</v>
      </c>
      <c r="J809" s="5" t="s">
        <v>3783</v>
      </c>
      <c r="K809" s="5" t="s">
        <v>5619</v>
      </c>
      <c r="L809" s="5">
        <v>32</v>
      </c>
      <c r="M809" s="5">
        <v>4</v>
      </c>
      <c r="N809" s="5" t="s">
        <v>5174</v>
      </c>
      <c r="O809" s="5" t="s">
        <v>5631</v>
      </c>
      <c r="P809" s="5">
        <v>4</v>
      </c>
      <c r="Q809" s="5">
        <v>1</v>
      </c>
      <c r="R809" s="5"/>
      <c r="S809" s="5">
        <v>113</v>
      </c>
      <c r="T809" s="5">
        <v>113</v>
      </c>
      <c r="U809" s="5">
        <v>113</v>
      </c>
    </row>
    <row r="810" spans="1:21" x14ac:dyDescent="0.25">
      <c r="A810" s="5" t="s">
        <v>5805</v>
      </c>
      <c r="B810" s="5" t="s">
        <v>5806</v>
      </c>
      <c r="C810" s="5" t="s">
        <v>3548</v>
      </c>
      <c r="D810" s="5" t="s">
        <v>3782</v>
      </c>
      <c r="E810" s="5" t="s">
        <v>5617</v>
      </c>
      <c r="F810" s="5" t="s">
        <v>5709</v>
      </c>
      <c r="G810" s="5" t="s">
        <v>5666</v>
      </c>
      <c r="H810" s="5"/>
      <c r="I810" s="5" t="s">
        <v>3448</v>
      </c>
      <c r="J810" s="5" t="s">
        <v>3783</v>
      </c>
      <c r="K810" s="5" t="s">
        <v>5619</v>
      </c>
      <c r="L810" s="5">
        <v>32</v>
      </c>
      <c r="M810" s="5">
        <v>4</v>
      </c>
      <c r="N810" s="5" t="s">
        <v>5710</v>
      </c>
      <c r="O810" s="5" t="s">
        <v>5621</v>
      </c>
      <c r="P810" s="5">
        <v>4</v>
      </c>
      <c r="Q810" s="5">
        <v>1</v>
      </c>
      <c r="R810" s="5"/>
      <c r="S810" s="5">
        <v>143</v>
      </c>
      <c r="T810" s="5">
        <v>143</v>
      </c>
      <c r="U810" s="5">
        <v>143</v>
      </c>
    </row>
    <row r="811" spans="1:21" x14ac:dyDescent="0.25">
      <c r="A811" s="5" t="s">
        <v>5807</v>
      </c>
      <c r="B811" s="5" t="s">
        <v>5808</v>
      </c>
      <c r="C811" s="5" t="s">
        <v>3548</v>
      </c>
      <c r="D811" s="5" t="s">
        <v>3782</v>
      </c>
      <c r="E811" s="5" t="s">
        <v>5617</v>
      </c>
      <c r="F811" s="5" t="s">
        <v>5709</v>
      </c>
      <c r="G811" s="5" t="s">
        <v>5669</v>
      </c>
      <c r="H811" s="5"/>
      <c r="I811" s="5" t="s">
        <v>3448</v>
      </c>
      <c r="J811" s="5" t="s">
        <v>3783</v>
      </c>
      <c r="K811" s="5" t="s">
        <v>5619</v>
      </c>
      <c r="L811" s="5">
        <v>32</v>
      </c>
      <c r="M811" s="5">
        <v>4</v>
      </c>
      <c r="N811" s="5" t="s">
        <v>5710</v>
      </c>
      <c r="O811" s="5" t="s">
        <v>5626</v>
      </c>
      <c r="P811" s="5">
        <v>4</v>
      </c>
      <c r="Q811" s="5">
        <v>1</v>
      </c>
      <c r="R811" s="5"/>
      <c r="S811" s="5">
        <v>94</v>
      </c>
      <c r="T811" s="5">
        <v>94</v>
      </c>
      <c r="U811" s="5">
        <v>94</v>
      </c>
    </row>
    <row r="812" spans="1:21" x14ac:dyDescent="0.25">
      <c r="A812" s="5" t="s">
        <v>5809</v>
      </c>
      <c r="B812" s="5" t="s">
        <v>5810</v>
      </c>
      <c r="C812" s="5" t="s">
        <v>3548</v>
      </c>
      <c r="D812" s="5" t="s">
        <v>3782</v>
      </c>
      <c r="E812" s="5" t="s">
        <v>5617</v>
      </c>
      <c r="F812" s="5" t="s">
        <v>5709</v>
      </c>
      <c r="G812" s="5" t="s">
        <v>5672</v>
      </c>
      <c r="H812" s="5"/>
      <c r="I812" s="5" t="s">
        <v>3448</v>
      </c>
      <c r="J812" s="5" t="s">
        <v>3783</v>
      </c>
      <c r="K812" s="5" t="s">
        <v>5619</v>
      </c>
      <c r="L812" s="5">
        <v>32</v>
      </c>
      <c r="M812" s="5">
        <v>4</v>
      </c>
      <c r="N812" s="5" t="s">
        <v>5710</v>
      </c>
      <c r="O812" s="5" t="s">
        <v>5631</v>
      </c>
      <c r="P812" s="5">
        <v>4</v>
      </c>
      <c r="Q812" s="5">
        <v>1</v>
      </c>
      <c r="R812" s="5"/>
      <c r="S812" s="5">
        <v>111</v>
      </c>
      <c r="T812" s="5">
        <v>111</v>
      </c>
      <c r="U812" s="5">
        <v>111</v>
      </c>
    </row>
    <row r="813" spans="1:21" x14ac:dyDescent="0.25">
      <c r="A813" s="5" t="s">
        <v>5811</v>
      </c>
      <c r="B813" s="5" t="s">
        <v>5812</v>
      </c>
      <c r="C813" s="5" t="s">
        <v>3548</v>
      </c>
      <c r="D813" s="5" t="s">
        <v>3782</v>
      </c>
      <c r="E813" s="5" t="s">
        <v>5617</v>
      </c>
      <c r="F813" s="5" t="s">
        <v>5618</v>
      </c>
      <c r="G813" s="5" t="s">
        <v>5666</v>
      </c>
      <c r="H813" s="5"/>
      <c r="I813" s="5" t="s">
        <v>3448</v>
      </c>
      <c r="J813" s="5" t="s">
        <v>3783</v>
      </c>
      <c r="K813" s="5" t="s">
        <v>5619</v>
      </c>
      <c r="L813" s="5">
        <v>32</v>
      </c>
      <c r="M813" s="5">
        <v>6</v>
      </c>
      <c r="N813" s="5" t="s">
        <v>5620</v>
      </c>
      <c r="O813" s="5" t="s">
        <v>5621</v>
      </c>
      <c r="P813" s="5">
        <v>4</v>
      </c>
      <c r="Q813" s="5">
        <v>1</v>
      </c>
      <c r="R813" s="5"/>
      <c r="S813" s="5">
        <v>215</v>
      </c>
      <c r="T813" s="5">
        <v>215</v>
      </c>
      <c r="U813" s="5">
        <v>215</v>
      </c>
    </row>
    <row r="814" spans="1:21" x14ac:dyDescent="0.25">
      <c r="A814" s="5" t="s">
        <v>5811</v>
      </c>
      <c r="B814" s="5" t="s">
        <v>5812</v>
      </c>
      <c r="C814" s="5" t="s">
        <v>3548</v>
      </c>
      <c r="D814" s="5" t="s">
        <v>3782</v>
      </c>
      <c r="E814" s="5" t="s">
        <v>5617</v>
      </c>
      <c r="F814" s="5" t="s">
        <v>5618</v>
      </c>
      <c r="G814" s="5" t="s">
        <v>5666</v>
      </c>
      <c r="H814" s="5"/>
      <c r="I814" s="5" t="s">
        <v>3448</v>
      </c>
      <c r="J814" s="5" t="s">
        <v>3783</v>
      </c>
      <c r="K814" s="5" t="s">
        <v>5619</v>
      </c>
      <c r="L814" s="5">
        <v>32</v>
      </c>
      <c r="M814" s="5">
        <v>6</v>
      </c>
      <c r="N814" s="5" t="s">
        <v>5620</v>
      </c>
      <c r="O814" s="5" t="s">
        <v>5621</v>
      </c>
      <c r="P814" s="5">
        <v>4</v>
      </c>
      <c r="Q814" s="5">
        <v>1</v>
      </c>
      <c r="R814" s="5"/>
      <c r="S814" s="5">
        <v>215</v>
      </c>
      <c r="T814" s="5">
        <v>215</v>
      </c>
      <c r="U814" s="5">
        <v>215</v>
      </c>
    </row>
    <row r="815" spans="1:21" x14ac:dyDescent="0.25">
      <c r="A815" s="5" t="s">
        <v>5813</v>
      </c>
      <c r="B815" s="5" t="s">
        <v>5814</v>
      </c>
      <c r="C815" s="5" t="s">
        <v>3548</v>
      </c>
      <c r="D815" s="5" t="s">
        <v>3782</v>
      </c>
      <c r="E815" s="5" t="s">
        <v>5617</v>
      </c>
      <c r="F815" s="5" t="s">
        <v>4835</v>
      </c>
      <c r="G815" s="5" t="s">
        <v>5666</v>
      </c>
      <c r="H815" s="5"/>
      <c r="I815" s="5" t="s">
        <v>3448</v>
      </c>
      <c r="J815" s="5" t="s">
        <v>3783</v>
      </c>
      <c r="K815" s="5" t="s">
        <v>5619</v>
      </c>
      <c r="L815" s="5">
        <v>32</v>
      </c>
      <c r="M815" s="5">
        <v>6</v>
      </c>
      <c r="N815" s="5" t="s">
        <v>4836</v>
      </c>
      <c r="O815" s="5" t="s">
        <v>5621</v>
      </c>
      <c r="P815" s="5">
        <v>4</v>
      </c>
      <c r="Q815" s="5">
        <v>1</v>
      </c>
      <c r="R815" s="5"/>
      <c r="S815" s="5">
        <v>215</v>
      </c>
      <c r="T815" s="5">
        <v>215</v>
      </c>
      <c r="U815" s="5">
        <v>215</v>
      </c>
    </row>
    <row r="816" spans="1:21" x14ac:dyDescent="0.25">
      <c r="A816" s="5" t="s">
        <v>5815</v>
      </c>
      <c r="B816" s="5" t="s">
        <v>5816</v>
      </c>
      <c r="C816" s="5" t="s">
        <v>3548</v>
      </c>
      <c r="D816" s="5" t="s">
        <v>5817</v>
      </c>
      <c r="E816" s="5" t="s">
        <v>3799</v>
      </c>
      <c r="F816" s="5" t="s">
        <v>3584</v>
      </c>
      <c r="G816" s="5" t="s">
        <v>3493</v>
      </c>
      <c r="H816" s="5"/>
      <c r="I816" s="5" t="s">
        <v>3448</v>
      </c>
      <c r="J816" s="5" t="s">
        <v>5818</v>
      </c>
      <c r="K816" s="5" t="s">
        <v>3799</v>
      </c>
      <c r="L816" s="5">
        <v>34</v>
      </c>
      <c r="M816" s="5">
        <v>2</v>
      </c>
      <c r="N816" s="5" t="s">
        <v>3585</v>
      </c>
      <c r="O816" s="5" t="s">
        <v>3494</v>
      </c>
      <c r="P816" s="5">
        <v>2</v>
      </c>
      <c r="Q816" s="5">
        <v>1</v>
      </c>
      <c r="R816" s="5"/>
      <c r="S816" s="5">
        <v>63</v>
      </c>
      <c r="T816" s="5">
        <v>63</v>
      </c>
      <c r="U816" s="5">
        <v>63</v>
      </c>
    </row>
    <row r="817" spans="1:21" x14ac:dyDescent="0.25">
      <c r="A817" s="5" t="s">
        <v>5819</v>
      </c>
      <c r="B817" s="5" t="s">
        <v>5820</v>
      </c>
      <c r="C817" s="5" t="s">
        <v>3548</v>
      </c>
      <c r="D817" s="5" t="s">
        <v>5817</v>
      </c>
      <c r="E817" s="5" t="s">
        <v>3799</v>
      </c>
      <c r="F817" s="5" t="s">
        <v>3564</v>
      </c>
      <c r="G817" s="5"/>
      <c r="H817" s="5"/>
      <c r="I817" s="5" t="s">
        <v>3448</v>
      </c>
      <c r="J817" s="5" t="s">
        <v>5818</v>
      </c>
      <c r="K817" s="5" t="s">
        <v>3799</v>
      </c>
      <c r="L817" s="5">
        <v>34</v>
      </c>
      <c r="M817" s="5">
        <v>1</v>
      </c>
      <c r="N817" s="5" t="s">
        <v>3566</v>
      </c>
      <c r="O817" s="5"/>
      <c r="P817" s="5"/>
      <c r="Q817" s="5">
        <v>1</v>
      </c>
      <c r="R817" s="5"/>
      <c r="S817" s="5">
        <v>43</v>
      </c>
      <c r="T817" s="5">
        <v>43</v>
      </c>
      <c r="U817" s="5">
        <v>43</v>
      </c>
    </row>
    <row r="818" spans="1:21" x14ac:dyDescent="0.25">
      <c r="A818" s="5" t="s">
        <v>5829</v>
      </c>
      <c r="B818" s="5" t="s">
        <v>5830</v>
      </c>
      <c r="C818" s="5" t="s">
        <v>3548</v>
      </c>
      <c r="D818" s="5" t="s">
        <v>5817</v>
      </c>
      <c r="E818" s="5" t="s">
        <v>3799</v>
      </c>
      <c r="F818" s="5" t="s">
        <v>3584</v>
      </c>
      <c r="G818" s="5" t="s">
        <v>3493</v>
      </c>
      <c r="H818" s="5"/>
      <c r="I818" s="5" t="s">
        <v>3448</v>
      </c>
      <c r="J818" s="5" t="s">
        <v>5818</v>
      </c>
      <c r="K818" s="5" t="s">
        <v>3799</v>
      </c>
      <c r="L818" s="5">
        <v>40</v>
      </c>
      <c r="M818" s="5">
        <v>2</v>
      </c>
      <c r="N818" s="5" t="s">
        <v>3585</v>
      </c>
      <c r="O818" s="5" t="s">
        <v>3494</v>
      </c>
      <c r="P818" s="5">
        <v>2</v>
      </c>
      <c r="Q818" s="5">
        <v>1</v>
      </c>
      <c r="R818" s="5"/>
      <c r="S818" s="5">
        <v>63</v>
      </c>
      <c r="T818" s="5">
        <v>63</v>
      </c>
      <c r="U818" s="5">
        <v>63</v>
      </c>
    </row>
    <row r="819" spans="1:21" x14ac:dyDescent="0.25">
      <c r="A819" s="5" t="s">
        <v>5831</v>
      </c>
      <c r="B819" s="5" t="s">
        <v>5832</v>
      </c>
      <c r="C819" s="5" t="s">
        <v>3548</v>
      </c>
      <c r="D819" s="5" t="s">
        <v>5817</v>
      </c>
      <c r="E819" s="5" t="s">
        <v>3799</v>
      </c>
      <c r="F819" s="5" t="s">
        <v>3564</v>
      </c>
      <c r="G819" s="5"/>
      <c r="H819" s="5"/>
      <c r="I819" s="5" t="s">
        <v>3448</v>
      </c>
      <c r="J819" s="5" t="s">
        <v>5818</v>
      </c>
      <c r="K819" s="5" t="s">
        <v>3799</v>
      </c>
      <c r="L819" s="5">
        <v>40</v>
      </c>
      <c r="M819" s="5">
        <v>2</v>
      </c>
      <c r="N819" s="5" t="s">
        <v>3566</v>
      </c>
      <c r="O819" s="5"/>
      <c r="P819" s="5"/>
      <c r="Q819" s="5">
        <v>1</v>
      </c>
      <c r="R819" s="5"/>
      <c r="S819" s="5">
        <v>86</v>
      </c>
      <c r="T819" s="5">
        <v>72</v>
      </c>
      <c r="U819" s="5">
        <v>86</v>
      </c>
    </row>
    <row r="820" spans="1:21" x14ac:dyDescent="0.25">
      <c r="A820" s="5" t="s">
        <v>5833</v>
      </c>
      <c r="B820" s="5" t="s">
        <v>5834</v>
      </c>
      <c r="C820" s="5" t="s">
        <v>3548</v>
      </c>
      <c r="D820" s="5" t="s">
        <v>5817</v>
      </c>
      <c r="E820" s="5" t="s">
        <v>3799</v>
      </c>
      <c r="F820" s="5" t="s">
        <v>3822</v>
      </c>
      <c r="G820" s="5"/>
      <c r="H820" s="5"/>
      <c r="I820" s="5" t="s">
        <v>3448</v>
      </c>
      <c r="J820" s="5" t="s">
        <v>5818</v>
      </c>
      <c r="K820" s="5" t="s">
        <v>3799</v>
      </c>
      <c r="L820" s="5">
        <v>40</v>
      </c>
      <c r="M820" s="5">
        <v>2</v>
      </c>
      <c r="N820" s="5" t="s">
        <v>3823</v>
      </c>
      <c r="O820" s="5"/>
      <c r="P820" s="5"/>
      <c r="Q820" s="5">
        <v>1</v>
      </c>
      <c r="R820" s="5"/>
      <c r="S820" s="5">
        <v>90</v>
      </c>
      <c r="T820" s="5">
        <v>72</v>
      </c>
      <c r="U820" s="5">
        <v>90</v>
      </c>
    </row>
    <row r="821" spans="1:21" x14ac:dyDescent="0.25">
      <c r="A821" s="5" t="s">
        <v>5835</v>
      </c>
      <c r="B821" s="5" t="s">
        <v>5836</v>
      </c>
      <c r="C821" s="5" t="s">
        <v>3548</v>
      </c>
      <c r="D821" s="5" t="s">
        <v>5817</v>
      </c>
      <c r="E821" s="5" t="s">
        <v>3799</v>
      </c>
      <c r="F821" s="5" t="s">
        <v>3822</v>
      </c>
      <c r="G821" s="5"/>
      <c r="H821" s="5"/>
      <c r="I821" s="5" t="s">
        <v>3448</v>
      </c>
      <c r="J821" s="5" t="s">
        <v>5818</v>
      </c>
      <c r="K821" s="5" t="s">
        <v>3799</v>
      </c>
      <c r="L821" s="5">
        <v>40</v>
      </c>
      <c r="M821" s="5">
        <v>3</v>
      </c>
      <c r="N821" s="5" t="s">
        <v>3823</v>
      </c>
      <c r="O821" s="5"/>
      <c r="P821" s="5"/>
      <c r="Q821" s="5">
        <v>1</v>
      </c>
      <c r="R821" s="5"/>
      <c r="S821" s="5">
        <v>140</v>
      </c>
      <c r="T821" s="5">
        <v>115</v>
      </c>
      <c r="U821" s="5">
        <v>140</v>
      </c>
    </row>
    <row r="822" spans="1:21" x14ac:dyDescent="0.25">
      <c r="A822" s="5" t="s">
        <v>5837</v>
      </c>
      <c r="B822" s="5" t="s">
        <v>5838</v>
      </c>
      <c r="C822" s="5" t="s">
        <v>3548</v>
      </c>
      <c r="D822" s="5" t="s">
        <v>5817</v>
      </c>
      <c r="E822" s="5" t="s">
        <v>3799</v>
      </c>
      <c r="F822" s="5" t="s">
        <v>3564</v>
      </c>
      <c r="G822" s="5"/>
      <c r="H822" s="5"/>
      <c r="I822" s="5" t="s">
        <v>3448</v>
      </c>
      <c r="J822" s="5" t="s">
        <v>5818</v>
      </c>
      <c r="K822" s="5" t="s">
        <v>3799</v>
      </c>
      <c r="L822" s="5">
        <v>40</v>
      </c>
      <c r="M822" s="5">
        <v>1</v>
      </c>
      <c r="N822" s="5" t="s">
        <v>3566</v>
      </c>
      <c r="O822" s="5"/>
      <c r="P822" s="5"/>
      <c r="Q822" s="5">
        <v>1</v>
      </c>
      <c r="R822" s="5"/>
      <c r="S822" s="5">
        <v>55</v>
      </c>
      <c r="T822" s="5">
        <v>43</v>
      </c>
      <c r="U822" s="5">
        <v>55</v>
      </c>
    </row>
    <row r="823" spans="1:21" x14ac:dyDescent="0.25">
      <c r="A823" s="5" t="s">
        <v>5839</v>
      </c>
      <c r="B823" s="5" t="s">
        <v>5840</v>
      </c>
      <c r="C823" s="5" t="s">
        <v>3548</v>
      </c>
      <c r="D823" s="5" t="s">
        <v>5817</v>
      </c>
      <c r="E823" s="5" t="s">
        <v>3799</v>
      </c>
      <c r="F823" s="5" t="s">
        <v>3822</v>
      </c>
      <c r="G823" s="5"/>
      <c r="H823" s="5"/>
      <c r="I823" s="5" t="s">
        <v>3448</v>
      </c>
      <c r="J823" s="5" t="s">
        <v>5818</v>
      </c>
      <c r="K823" s="5" t="s">
        <v>3799</v>
      </c>
      <c r="L823" s="5">
        <v>40</v>
      </c>
      <c r="M823" s="5">
        <v>1</v>
      </c>
      <c r="N823" s="5" t="s">
        <v>3823</v>
      </c>
      <c r="O823" s="5"/>
      <c r="P823" s="5"/>
      <c r="Q823" s="5">
        <v>1</v>
      </c>
      <c r="R823" s="5"/>
      <c r="S823" s="5">
        <v>50</v>
      </c>
      <c r="T823" s="5">
        <v>43</v>
      </c>
      <c r="U823" s="5">
        <v>50</v>
      </c>
    </row>
    <row r="824" spans="1:21" x14ac:dyDescent="0.25">
      <c r="A824" s="5" t="s">
        <v>5841</v>
      </c>
      <c r="B824" s="5" t="s">
        <v>5842</v>
      </c>
      <c r="C824" s="5" t="s">
        <v>3548</v>
      </c>
      <c r="D824" s="5" t="s">
        <v>5817</v>
      </c>
      <c r="E824" s="5" t="s">
        <v>4363</v>
      </c>
      <c r="F824" s="5" t="s">
        <v>3584</v>
      </c>
      <c r="G824" s="5" t="s">
        <v>3501</v>
      </c>
      <c r="H824" s="5"/>
      <c r="I824" s="5" t="s">
        <v>3448</v>
      </c>
      <c r="J824" s="5" t="s">
        <v>5818</v>
      </c>
      <c r="K824" s="5" t="s">
        <v>4363</v>
      </c>
      <c r="L824" s="5">
        <v>17</v>
      </c>
      <c r="M824" s="5">
        <v>1</v>
      </c>
      <c r="N824" s="5" t="s">
        <v>3585</v>
      </c>
      <c r="O824" s="5" t="s">
        <v>3502</v>
      </c>
      <c r="P824" s="5">
        <v>1</v>
      </c>
      <c r="Q824" s="5">
        <v>1</v>
      </c>
      <c r="R824" s="5"/>
      <c r="S824" s="5">
        <v>20</v>
      </c>
      <c r="T824" s="5">
        <v>20</v>
      </c>
      <c r="U824" s="5">
        <v>20</v>
      </c>
    </row>
    <row r="825" spans="1:21" x14ac:dyDescent="0.25">
      <c r="A825" s="5" t="s">
        <v>5843</v>
      </c>
      <c r="B825" s="5" t="s">
        <v>5844</v>
      </c>
      <c r="C825" s="5" t="s">
        <v>3548</v>
      </c>
      <c r="D825" s="5" t="s">
        <v>5817</v>
      </c>
      <c r="E825" s="5" t="s">
        <v>4363</v>
      </c>
      <c r="F825" s="5" t="s">
        <v>3584</v>
      </c>
      <c r="G825" s="5" t="s">
        <v>3493</v>
      </c>
      <c r="H825" s="5"/>
      <c r="I825" s="5" t="s">
        <v>3448</v>
      </c>
      <c r="J825" s="5" t="s">
        <v>5818</v>
      </c>
      <c r="K825" s="5" t="s">
        <v>4363</v>
      </c>
      <c r="L825" s="5">
        <v>17</v>
      </c>
      <c r="M825" s="5">
        <v>1</v>
      </c>
      <c r="N825" s="5" t="s">
        <v>3585</v>
      </c>
      <c r="O825" s="5" t="s">
        <v>3494</v>
      </c>
      <c r="P825" s="5">
        <v>1</v>
      </c>
      <c r="Q825" s="5">
        <v>1</v>
      </c>
      <c r="R825" s="5"/>
      <c r="S825" s="5">
        <v>17</v>
      </c>
      <c r="T825" s="5">
        <v>17</v>
      </c>
      <c r="U825" s="5">
        <v>17</v>
      </c>
    </row>
    <row r="826" spans="1:21" x14ac:dyDescent="0.25">
      <c r="A826" s="5" t="s">
        <v>5853</v>
      </c>
      <c r="B826" s="5" t="s">
        <v>5854</v>
      </c>
      <c r="C826" s="5" t="s">
        <v>3548</v>
      </c>
      <c r="D826" s="5" t="s">
        <v>5817</v>
      </c>
      <c r="E826" s="5" t="s">
        <v>4363</v>
      </c>
      <c r="F826" s="5" t="s">
        <v>4390</v>
      </c>
      <c r="G826" s="5" t="s">
        <v>3493</v>
      </c>
      <c r="H826" s="5"/>
      <c r="I826" s="5" t="s">
        <v>3448</v>
      </c>
      <c r="J826" s="5" t="s">
        <v>5818</v>
      </c>
      <c r="K826" s="5" t="s">
        <v>4363</v>
      </c>
      <c r="L826" s="5">
        <v>17</v>
      </c>
      <c r="M826" s="5">
        <v>1</v>
      </c>
      <c r="N826" s="5" t="s">
        <v>4391</v>
      </c>
      <c r="O826" s="5" t="s">
        <v>3494</v>
      </c>
      <c r="P826" s="5">
        <v>1</v>
      </c>
      <c r="Q826" s="5">
        <v>1</v>
      </c>
      <c r="R826" s="5"/>
      <c r="S826" s="5">
        <v>16</v>
      </c>
      <c r="T826" s="5">
        <v>16</v>
      </c>
      <c r="U826" s="5">
        <v>16</v>
      </c>
    </row>
    <row r="827" spans="1:21" x14ac:dyDescent="0.25">
      <c r="A827" s="5" t="s">
        <v>5857</v>
      </c>
      <c r="B827" s="5" t="s">
        <v>5858</v>
      </c>
      <c r="C827" s="5" t="s">
        <v>3548</v>
      </c>
      <c r="D827" s="5" t="s">
        <v>5817</v>
      </c>
      <c r="E827" s="5" t="s">
        <v>4363</v>
      </c>
      <c r="F827" s="5" t="s">
        <v>4004</v>
      </c>
      <c r="G827" s="5" t="s">
        <v>3493</v>
      </c>
      <c r="H827" s="5"/>
      <c r="I827" s="5" t="s">
        <v>3448</v>
      </c>
      <c r="J827" s="5" t="s">
        <v>5818</v>
      </c>
      <c r="K827" s="5" t="s">
        <v>4363</v>
      </c>
      <c r="L827" s="5">
        <v>17</v>
      </c>
      <c r="M827" s="5">
        <v>1</v>
      </c>
      <c r="N827" s="5" t="s">
        <v>4005</v>
      </c>
      <c r="O827" s="5" t="s">
        <v>3494</v>
      </c>
      <c r="P827" s="5">
        <v>1</v>
      </c>
      <c r="Q827" s="5">
        <v>1</v>
      </c>
      <c r="R827" s="5"/>
      <c r="S827" s="5">
        <v>18</v>
      </c>
      <c r="T827" s="5">
        <v>18</v>
      </c>
      <c r="U827" s="5">
        <v>18</v>
      </c>
    </row>
    <row r="828" spans="1:21" x14ac:dyDescent="0.25">
      <c r="A828" s="5" t="s">
        <v>5863</v>
      </c>
      <c r="B828" s="5" t="s">
        <v>5864</v>
      </c>
      <c r="C828" s="5" t="s">
        <v>3548</v>
      </c>
      <c r="D828" s="5" t="s">
        <v>5817</v>
      </c>
      <c r="E828" s="5" t="s">
        <v>4363</v>
      </c>
      <c r="F828" s="5" t="s">
        <v>4421</v>
      </c>
      <c r="G828" s="5" t="s">
        <v>3493</v>
      </c>
      <c r="H828" s="5"/>
      <c r="I828" s="5" t="s">
        <v>3448</v>
      </c>
      <c r="J828" s="5" t="s">
        <v>5818</v>
      </c>
      <c r="K828" s="5" t="s">
        <v>4363</v>
      </c>
      <c r="L828" s="5">
        <v>17</v>
      </c>
      <c r="M828" s="5">
        <v>1</v>
      </c>
      <c r="N828" s="5" t="s">
        <v>4422</v>
      </c>
      <c r="O828" s="5" t="s">
        <v>3494</v>
      </c>
      <c r="P828" s="5">
        <v>1</v>
      </c>
      <c r="Q828" s="5">
        <v>1</v>
      </c>
      <c r="R828" s="5"/>
      <c r="S828" s="5">
        <v>17</v>
      </c>
      <c r="T828" s="5">
        <v>17</v>
      </c>
      <c r="U828" s="5">
        <v>17</v>
      </c>
    </row>
    <row r="829" spans="1:21" x14ac:dyDescent="0.25">
      <c r="A829" s="5" t="s">
        <v>5865</v>
      </c>
      <c r="B829" s="5" t="s">
        <v>5866</v>
      </c>
      <c r="C829" s="5" t="s">
        <v>3548</v>
      </c>
      <c r="D829" s="5" t="s">
        <v>5817</v>
      </c>
      <c r="E829" s="5" t="s">
        <v>4363</v>
      </c>
      <c r="F829" s="5" t="s">
        <v>3584</v>
      </c>
      <c r="G829" s="5" t="s">
        <v>3493</v>
      </c>
      <c r="H829" s="5"/>
      <c r="I829" s="5" t="s">
        <v>3448</v>
      </c>
      <c r="J829" s="5" t="s">
        <v>5818</v>
      </c>
      <c r="K829" s="5" t="s">
        <v>4363</v>
      </c>
      <c r="L829" s="5">
        <v>17</v>
      </c>
      <c r="M829" s="5">
        <v>2</v>
      </c>
      <c r="N829" s="5" t="s">
        <v>3585</v>
      </c>
      <c r="O829" s="5" t="s">
        <v>3494</v>
      </c>
      <c r="P829" s="5">
        <v>1</v>
      </c>
      <c r="Q829" s="5">
        <v>1</v>
      </c>
      <c r="R829" s="5"/>
      <c r="S829" s="5">
        <v>34</v>
      </c>
      <c r="T829" s="5">
        <v>34</v>
      </c>
      <c r="U829" s="5">
        <v>34</v>
      </c>
    </row>
    <row r="830" spans="1:21" x14ac:dyDescent="0.25">
      <c r="A830" s="5" t="s">
        <v>5871</v>
      </c>
      <c r="B830" s="5" t="s">
        <v>5872</v>
      </c>
      <c r="C830" s="5" t="s">
        <v>3548</v>
      </c>
      <c r="D830" s="5" t="s">
        <v>5817</v>
      </c>
      <c r="E830" s="5" t="s">
        <v>4363</v>
      </c>
      <c r="F830" s="5" t="s">
        <v>4390</v>
      </c>
      <c r="G830" s="5" t="s">
        <v>3493</v>
      </c>
      <c r="H830" s="5"/>
      <c r="I830" s="5" t="s">
        <v>3448</v>
      </c>
      <c r="J830" s="5" t="s">
        <v>5818</v>
      </c>
      <c r="K830" s="5" t="s">
        <v>4363</v>
      </c>
      <c r="L830" s="5">
        <v>17</v>
      </c>
      <c r="M830" s="5">
        <v>2</v>
      </c>
      <c r="N830" s="5" t="s">
        <v>4391</v>
      </c>
      <c r="O830" s="5" t="s">
        <v>3494</v>
      </c>
      <c r="P830" s="5">
        <v>1</v>
      </c>
      <c r="Q830" s="5">
        <v>1</v>
      </c>
      <c r="R830" s="5"/>
      <c r="S830" s="5">
        <v>32</v>
      </c>
      <c r="T830" s="5">
        <v>32</v>
      </c>
      <c r="U830" s="5">
        <v>32</v>
      </c>
    </row>
    <row r="831" spans="1:21" x14ac:dyDescent="0.25">
      <c r="A831" s="5" t="s">
        <v>5877</v>
      </c>
      <c r="B831" s="5" t="s">
        <v>5878</v>
      </c>
      <c r="C831" s="5" t="s">
        <v>3548</v>
      </c>
      <c r="D831" s="5" t="s">
        <v>5817</v>
      </c>
      <c r="E831" s="5" t="s">
        <v>4363</v>
      </c>
      <c r="F831" s="5" t="s">
        <v>4004</v>
      </c>
      <c r="G831" s="5" t="s">
        <v>3493</v>
      </c>
      <c r="H831" s="5"/>
      <c r="I831" s="5" t="s">
        <v>3448</v>
      </c>
      <c r="J831" s="5" t="s">
        <v>5818</v>
      </c>
      <c r="K831" s="5" t="s">
        <v>4363</v>
      </c>
      <c r="L831" s="5">
        <v>17</v>
      </c>
      <c r="M831" s="5">
        <v>2</v>
      </c>
      <c r="N831" s="5" t="s">
        <v>4005</v>
      </c>
      <c r="O831" s="5" t="s">
        <v>3494</v>
      </c>
      <c r="P831" s="5">
        <v>1</v>
      </c>
      <c r="Q831" s="5">
        <v>1</v>
      </c>
      <c r="R831" s="5"/>
      <c r="S831" s="5">
        <v>35</v>
      </c>
      <c r="T831" s="5">
        <v>35</v>
      </c>
      <c r="U831" s="5">
        <v>35</v>
      </c>
    </row>
    <row r="832" spans="1:21" x14ac:dyDescent="0.25">
      <c r="A832" s="5" t="s">
        <v>5879</v>
      </c>
      <c r="B832" s="5" t="s">
        <v>5880</v>
      </c>
      <c r="C832" s="5" t="s">
        <v>3548</v>
      </c>
      <c r="D832" s="5" t="s">
        <v>5817</v>
      </c>
      <c r="E832" s="5" t="s">
        <v>4363</v>
      </c>
      <c r="F832" s="5" t="s">
        <v>3584</v>
      </c>
      <c r="G832" s="5" t="s">
        <v>3493</v>
      </c>
      <c r="H832" s="5"/>
      <c r="I832" s="5" t="s">
        <v>3448</v>
      </c>
      <c r="J832" s="5" t="s">
        <v>5818</v>
      </c>
      <c r="K832" s="5" t="s">
        <v>4363</v>
      </c>
      <c r="L832" s="5">
        <v>17</v>
      </c>
      <c r="M832" s="5">
        <v>3</v>
      </c>
      <c r="N832" s="5" t="s">
        <v>3585</v>
      </c>
      <c r="O832" s="5" t="s">
        <v>3494</v>
      </c>
      <c r="P832" s="5">
        <v>1</v>
      </c>
      <c r="Q832" s="5">
        <v>1</v>
      </c>
      <c r="R832" s="5"/>
      <c r="S832" s="5">
        <v>45</v>
      </c>
      <c r="T832" s="5">
        <v>45</v>
      </c>
      <c r="U832" s="5">
        <v>45</v>
      </c>
    </row>
    <row r="833" spans="1:21" x14ac:dyDescent="0.25">
      <c r="A833" s="5" t="s">
        <v>5889</v>
      </c>
      <c r="B833" s="5" t="s">
        <v>5890</v>
      </c>
      <c r="C833" s="5" t="s">
        <v>3548</v>
      </c>
      <c r="D833" s="5" t="s">
        <v>5817</v>
      </c>
      <c r="E833" s="5" t="s">
        <v>4363</v>
      </c>
      <c r="F833" s="5" t="s">
        <v>4004</v>
      </c>
      <c r="G833" s="5" t="s">
        <v>3493</v>
      </c>
      <c r="H833" s="5"/>
      <c r="I833" s="5" t="s">
        <v>3448</v>
      </c>
      <c r="J833" s="5" t="s">
        <v>5818</v>
      </c>
      <c r="K833" s="5" t="s">
        <v>4363</v>
      </c>
      <c r="L833" s="5">
        <v>17</v>
      </c>
      <c r="M833" s="5">
        <v>3</v>
      </c>
      <c r="N833" s="5" t="s">
        <v>4005</v>
      </c>
      <c r="O833" s="5" t="s">
        <v>3494</v>
      </c>
      <c r="P833" s="5">
        <v>1</v>
      </c>
      <c r="Q833" s="5">
        <v>1</v>
      </c>
      <c r="R833" s="5"/>
      <c r="S833" s="5">
        <v>48</v>
      </c>
      <c r="T833" s="5">
        <v>48</v>
      </c>
      <c r="U833" s="5">
        <v>48</v>
      </c>
    </row>
    <row r="834" spans="1:21" x14ac:dyDescent="0.25">
      <c r="A834" s="5" t="s">
        <v>5891</v>
      </c>
      <c r="B834" s="5" t="s">
        <v>5892</v>
      </c>
      <c r="C834" s="5" t="s">
        <v>3548</v>
      </c>
      <c r="D834" s="5" t="s">
        <v>5817</v>
      </c>
      <c r="E834" s="5" t="s">
        <v>4363</v>
      </c>
      <c r="F834" s="5" t="s">
        <v>4421</v>
      </c>
      <c r="G834" s="5" t="s">
        <v>3493</v>
      </c>
      <c r="H834" s="5"/>
      <c r="I834" s="5" t="s">
        <v>3448</v>
      </c>
      <c r="J834" s="5" t="s">
        <v>5818</v>
      </c>
      <c r="K834" s="5" t="s">
        <v>4363</v>
      </c>
      <c r="L834" s="5">
        <v>17</v>
      </c>
      <c r="M834" s="5">
        <v>3</v>
      </c>
      <c r="N834" s="5" t="s">
        <v>4422</v>
      </c>
      <c r="O834" s="5" t="s">
        <v>3494</v>
      </c>
      <c r="P834" s="5">
        <v>1</v>
      </c>
      <c r="Q834" s="5">
        <v>1</v>
      </c>
      <c r="R834" s="5"/>
      <c r="S834" s="5">
        <v>45</v>
      </c>
      <c r="T834" s="5">
        <v>45</v>
      </c>
      <c r="U834" s="5">
        <v>45</v>
      </c>
    </row>
    <row r="835" spans="1:21" x14ac:dyDescent="0.25">
      <c r="A835" s="5" t="s">
        <v>5893</v>
      </c>
      <c r="B835" s="5" t="s">
        <v>5894</v>
      </c>
      <c r="C835" s="5" t="s">
        <v>3548</v>
      </c>
      <c r="D835" s="5" t="s">
        <v>5817</v>
      </c>
      <c r="E835" s="5" t="s">
        <v>4363</v>
      </c>
      <c r="F835" s="5" t="s">
        <v>3584</v>
      </c>
      <c r="G835" s="5" t="s">
        <v>3493</v>
      </c>
      <c r="H835" s="5"/>
      <c r="I835" s="5" t="s">
        <v>3448</v>
      </c>
      <c r="J835" s="5" t="s">
        <v>5818</v>
      </c>
      <c r="K835" s="5" t="s">
        <v>4363</v>
      </c>
      <c r="L835" s="5">
        <v>17</v>
      </c>
      <c r="M835" s="5">
        <v>4</v>
      </c>
      <c r="N835" s="5" t="s">
        <v>3585</v>
      </c>
      <c r="O835" s="5" t="s">
        <v>3494</v>
      </c>
      <c r="P835" s="5">
        <v>1</v>
      </c>
      <c r="Q835" s="5">
        <v>1</v>
      </c>
      <c r="R835" s="5"/>
      <c r="S835" s="5">
        <v>61</v>
      </c>
      <c r="T835" s="5">
        <v>61</v>
      </c>
      <c r="U835" s="5">
        <v>61</v>
      </c>
    </row>
    <row r="836" spans="1:21" x14ac:dyDescent="0.25">
      <c r="A836" s="5" t="s">
        <v>5899</v>
      </c>
      <c r="B836" s="5" t="s">
        <v>5900</v>
      </c>
      <c r="C836" s="5" t="s">
        <v>3548</v>
      </c>
      <c r="D836" s="5" t="s">
        <v>5817</v>
      </c>
      <c r="E836" s="5" t="s">
        <v>4363</v>
      </c>
      <c r="F836" s="5" t="s">
        <v>4390</v>
      </c>
      <c r="G836" s="5" t="s">
        <v>3493</v>
      </c>
      <c r="H836" s="5"/>
      <c r="I836" s="5" t="s">
        <v>3448</v>
      </c>
      <c r="J836" s="5" t="s">
        <v>5818</v>
      </c>
      <c r="K836" s="5" t="s">
        <v>4363</v>
      </c>
      <c r="L836" s="5">
        <v>17</v>
      </c>
      <c r="M836" s="5">
        <v>4</v>
      </c>
      <c r="N836" s="5" t="s">
        <v>4406</v>
      </c>
      <c r="O836" s="5" t="s">
        <v>3494</v>
      </c>
      <c r="P836" s="5">
        <v>1</v>
      </c>
      <c r="Q836" s="5">
        <v>1</v>
      </c>
      <c r="R836" s="5"/>
      <c r="S836" s="5">
        <v>61</v>
      </c>
      <c r="T836" s="5">
        <v>61</v>
      </c>
      <c r="U836" s="5">
        <v>61</v>
      </c>
    </row>
    <row r="837" spans="1:21" x14ac:dyDescent="0.25">
      <c r="A837" s="5" t="s">
        <v>5905</v>
      </c>
      <c r="B837" s="5" t="s">
        <v>5906</v>
      </c>
      <c r="C837" s="5" t="s">
        <v>3548</v>
      </c>
      <c r="D837" s="5" t="s">
        <v>5817</v>
      </c>
      <c r="E837" s="5" t="s">
        <v>4363</v>
      </c>
      <c r="F837" s="5" t="s">
        <v>4004</v>
      </c>
      <c r="G837" s="5" t="s">
        <v>3493</v>
      </c>
      <c r="H837" s="5"/>
      <c r="I837" s="5" t="s">
        <v>3448</v>
      </c>
      <c r="J837" s="5" t="s">
        <v>5818</v>
      </c>
      <c r="K837" s="5" t="s">
        <v>4363</v>
      </c>
      <c r="L837" s="5">
        <v>17</v>
      </c>
      <c r="M837" s="5">
        <v>4</v>
      </c>
      <c r="N837" s="5" t="s">
        <v>4005</v>
      </c>
      <c r="O837" s="5" t="s">
        <v>3494</v>
      </c>
      <c r="P837" s="5">
        <v>1</v>
      </c>
      <c r="Q837" s="5">
        <v>1</v>
      </c>
      <c r="R837" s="5"/>
      <c r="S837" s="5">
        <v>62</v>
      </c>
      <c r="T837" s="5">
        <v>62</v>
      </c>
      <c r="U837" s="5">
        <v>62</v>
      </c>
    </row>
    <row r="838" spans="1:21" x14ac:dyDescent="0.25">
      <c r="A838" s="5" t="s">
        <v>5909</v>
      </c>
      <c r="B838" s="5" t="s">
        <v>5910</v>
      </c>
      <c r="C838" s="5" t="s">
        <v>3548</v>
      </c>
      <c r="D838" s="5" t="s">
        <v>5817</v>
      </c>
      <c r="E838" s="5" t="s">
        <v>4363</v>
      </c>
      <c r="F838" s="5" t="s">
        <v>4421</v>
      </c>
      <c r="G838" s="5" t="s">
        <v>3493</v>
      </c>
      <c r="H838" s="5"/>
      <c r="I838" s="5" t="s">
        <v>3448</v>
      </c>
      <c r="J838" s="5" t="s">
        <v>5818</v>
      </c>
      <c r="K838" s="5" t="s">
        <v>4363</v>
      </c>
      <c r="L838" s="5">
        <v>17</v>
      </c>
      <c r="M838" s="5">
        <v>4</v>
      </c>
      <c r="N838" s="5" t="s">
        <v>4422</v>
      </c>
      <c r="O838" s="5" t="s">
        <v>3494</v>
      </c>
      <c r="P838" s="5">
        <v>1</v>
      </c>
      <c r="Q838" s="5">
        <v>1</v>
      </c>
      <c r="R838" s="5"/>
      <c r="S838" s="5">
        <v>61</v>
      </c>
      <c r="T838" s="5">
        <v>61</v>
      </c>
      <c r="U838" s="5">
        <v>61</v>
      </c>
    </row>
    <row r="839" spans="1:21" x14ac:dyDescent="0.25">
      <c r="A839" s="5" t="s">
        <v>5911</v>
      </c>
      <c r="B839" s="5" t="s">
        <v>5912</v>
      </c>
      <c r="C839" s="5" t="s">
        <v>3548</v>
      </c>
      <c r="D839" s="5" t="s">
        <v>5817</v>
      </c>
      <c r="E839" s="5" t="s">
        <v>4363</v>
      </c>
      <c r="F839" s="5" t="s">
        <v>3584</v>
      </c>
      <c r="G839" s="5" t="s">
        <v>3501</v>
      </c>
      <c r="H839" s="5"/>
      <c r="I839" s="5" t="s">
        <v>3448</v>
      </c>
      <c r="J839" s="5" t="s">
        <v>5818</v>
      </c>
      <c r="K839" s="5" t="s">
        <v>4363</v>
      </c>
      <c r="L839" s="5">
        <v>25</v>
      </c>
      <c r="M839" s="5">
        <v>1</v>
      </c>
      <c r="N839" s="5" t="s">
        <v>3585</v>
      </c>
      <c r="O839" s="5" t="s">
        <v>3502</v>
      </c>
      <c r="P839" s="5">
        <v>1.5</v>
      </c>
      <c r="Q839" s="5">
        <v>1</v>
      </c>
      <c r="R839" s="5"/>
      <c r="S839" s="5">
        <v>28</v>
      </c>
      <c r="T839" s="5">
        <v>28</v>
      </c>
      <c r="U839" s="5">
        <v>28</v>
      </c>
    </row>
    <row r="840" spans="1:21" x14ac:dyDescent="0.25">
      <c r="A840" s="5" t="s">
        <v>5913</v>
      </c>
      <c r="B840" s="5" t="s">
        <v>5914</v>
      </c>
      <c r="C840" s="5" t="s">
        <v>3548</v>
      </c>
      <c r="D840" s="5" t="s">
        <v>5817</v>
      </c>
      <c r="E840" s="5" t="s">
        <v>4363</v>
      </c>
      <c r="F840" s="5" t="s">
        <v>3584</v>
      </c>
      <c r="G840" s="5" t="s">
        <v>3493</v>
      </c>
      <c r="H840" s="5"/>
      <c r="I840" s="5" t="s">
        <v>3448</v>
      </c>
      <c r="J840" s="5" t="s">
        <v>5818</v>
      </c>
      <c r="K840" s="5" t="s">
        <v>4363</v>
      </c>
      <c r="L840" s="5">
        <v>25</v>
      </c>
      <c r="M840" s="5">
        <v>1</v>
      </c>
      <c r="N840" s="5" t="s">
        <v>3585</v>
      </c>
      <c r="O840" s="5" t="s">
        <v>3494</v>
      </c>
      <c r="P840" s="5">
        <v>1.5</v>
      </c>
      <c r="Q840" s="5">
        <v>1</v>
      </c>
      <c r="R840" s="5"/>
      <c r="S840" s="5">
        <v>24</v>
      </c>
      <c r="T840" s="5">
        <v>24</v>
      </c>
      <c r="U840" s="5">
        <v>24</v>
      </c>
    </row>
    <row r="841" spans="1:21" x14ac:dyDescent="0.25">
      <c r="A841" s="5" t="s">
        <v>5919</v>
      </c>
      <c r="B841" s="5" t="s">
        <v>5920</v>
      </c>
      <c r="C841" s="5" t="s">
        <v>3548</v>
      </c>
      <c r="D841" s="5" t="s">
        <v>5817</v>
      </c>
      <c r="E841" s="5" t="s">
        <v>4363</v>
      </c>
      <c r="F841" s="5" t="s">
        <v>4390</v>
      </c>
      <c r="G841" s="5" t="s">
        <v>3493</v>
      </c>
      <c r="H841" s="5"/>
      <c r="I841" s="5" t="s">
        <v>3448</v>
      </c>
      <c r="J841" s="5" t="s">
        <v>5818</v>
      </c>
      <c r="K841" s="5" t="s">
        <v>4363</v>
      </c>
      <c r="L841" s="5">
        <v>25</v>
      </c>
      <c r="M841" s="5">
        <v>1</v>
      </c>
      <c r="N841" s="5" t="s">
        <v>4391</v>
      </c>
      <c r="O841" s="5" t="s">
        <v>3494</v>
      </c>
      <c r="P841" s="5">
        <v>1.5</v>
      </c>
      <c r="Q841" s="5">
        <v>1</v>
      </c>
      <c r="R841" s="5"/>
      <c r="S841" s="5">
        <v>23</v>
      </c>
      <c r="T841" s="5">
        <v>23</v>
      </c>
      <c r="U841" s="5">
        <v>23</v>
      </c>
    </row>
    <row r="842" spans="1:21" x14ac:dyDescent="0.25">
      <c r="A842" s="5" t="s">
        <v>5923</v>
      </c>
      <c r="B842" s="5" t="s">
        <v>5924</v>
      </c>
      <c r="C842" s="5" t="s">
        <v>3548</v>
      </c>
      <c r="D842" s="5" t="s">
        <v>5817</v>
      </c>
      <c r="E842" s="5" t="s">
        <v>4363</v>
      </c>
      <c r="F842" s="5" t="s">
        <v>4004</v>
      </c>
      <c r="G842" s="5" t="s">
        <v>3501</v>
      </c>
      <c r="H842" s="5"/>
      <c r="I842" s="5" t="s">
        <v>3448</v>
      </c>
      <c r="J842" s="5" t="s">
        <v>5818</v>
      </c>
      <c r="K842" s="5" t="s">
        <v>4363</v>
      </c>
      <c r="L842" s="5">
        <v>25</v>
      </c>
      <c r="M842" s="5">
        <v>1</v>
      </c>
      <c r="N842" s="5" t="s">
        <v>4005</v>
      </c>
      <c r="O842" s="5" t="s">
        <v>3502</v>
      </c>
      <c r="P842" s="5">
        <v>1.5</v>
      </c>
      <c r="Q842" s="5">
        <v>1</v>
      </c>
      <c r="R842" s="5"/>
      <c r="S842" s="5">
        <v>28</v>
      </c>
      <c r="T842" s="5">
        <v>28</v>
      </c>
      <c r="U842" s="5">
        <v>28</v>
      </c>
    </row>
    <row r="843" spans="1:21" x14ac:dyDescent="0.25">
      <c r="A843" s="5" t="s">
        <v>5925</v>
      </c>
      <c r="B843" s="5" t="s">
        <v>5926</v>
      </c>
      <c r="C843" s="5" t="s">
        <v>3548</v>
      </c>
      <c r="D843" s="5" t="s">
        <v>5817</v>
      </c>
      <c r="E843" s="5" t="s">
        <v>4363</v>
      </c>
      <c r="F843" s="5" t="s">
        <v>4004</v>
      </c>
      <c r="G843" s="5" t="s">
        <v>3493</v>
      </c>
      <c r="H843" s="5"/>
      <c r="I843" s="5" t="s">
        <v>3448</v>
      </c>
      <c r="J843" s="5" t="s">
        <v>5818</v>
      </c>
      <c r="K843" s="5" t="s">
        <v>4363</v>
      </c>
      <c r="L843" s="5">
        <v>25</v>
      </c>
      <c r="M843" s="5">
        <v>1</v>
      </c>
      <c r="N843" s="5" t="s">
        <v>4005</v>
      </c>
      <c r="O843" s="5" t="s">
        <v>3494</v>
      </c>
      <c r="P843" s="5">
        <v>1.5</v>
      </c>
      <c r="Q843" s="5">
        <v>1</v>
      </c>
      <c r="R843" s="5"/>
      <c r="S843" s="5">
        <v>24</v>
      </c>
      <c r="T843" s="5">
        <v>24</v>
      </c>
      <c r="U843" s="5">
        <v>24</v>
      </c>
    </row>
    <row r="844" spans="1:21" x14ac:dyDescent="0.25">
      <c r="A844" s="5" t="s">
        <v>5931</v>
      </c>
      <c r="B844" s="5" t="s">
        <v>5932</v>
      </c>
      <c r="C844" s="5" t="s">
        <v>3548</v>
      </c>
      <c r="D844" s="5" t="s">
        <v>5817</v>
      </c>
      <c r="E844" s="5" t="s">
        <v>4363</v>
      </c>
      <c r="F844" s="5" t="s">
        <v>4421</v>
      </c>
      <c r="G844" s="5" t="s">
        <v>3493</v>
      </c>
      <c r="H844" s="5"/>
      <c r="I844" s="5" t="s">
        <v>3448</v>
      </c>
      <c r="J844" s="5" t="s">
        <v>5818</v>
      </c>
      <c r="K844" s="5" t="s">
        <v>4363</v>
      </c>
      <c r="L844" s="5">
        <v>25</v>
      </c>
      <c r="M844" s="5">
        <v>1</v>
      </c>
      <c r="N844" s="5" t="s">
        <v>4422</v>
      </c>
      <c r="O844" s="5" t="s">
        <v>3494</v>
      </c>
      <c r="P844" s="5">
        <v>1.5</v>
      </c>
      <c r="Q844" s="5">
        <v>1</v>
      </c>
      <c r="R844" s="5"/>
      <c r="S844" s="5">
        <v>24</v>
      </c>
      <c r="T844" s="5">
        <v>24</v>
      </c>
      <c r="U844" s="5">
        <v>24</v>
      </c>
    </row>
    <row r="845" spans="1:21" x14ac:dyDescent="0.25">
      <c r="A845" s="5" t="s">
        <v>5933</v>
      </c>
      <c r="B845" s="5" t="s">
        <v>5934</v>
      </c>
      <c r="C845" s="5" t="s">
        <v>3548</v>
      </c>
      <c r="D845" s="5" t="s">
        <v>5817</v>
      </c>
      <c r="E845" s="5" t="s">
        <v>4363</v>
      </c>
      <c r="F845" s="5" t="s">
        <v>3584</v>
      </c>
      <c r="G845" s="5" t="s">
        <v>3493</v>
      </c>
      <c r="H845" s="5"/>
      <c r="I845" s="5" t="s">
        <v>3448</v>
      </c>
      <c r="J845" s="5" t="s">
        <v>5818</v>
      </c>
      <c r="K845" s="5" t="s">
        <v>4363</v>
      </c>
      <c r="L845" s="5">
        <v>25</v>
      </c>
      <c r="M845" s="5">
        <v>1</v>
      </c>
      <c r="N845" s="5" t="s">
        <v>3585</v>
      </c>
      <c r="O845" s="5" t="s">
        <v>3494</v>
      </c>
      <c r="P845" s="5">
        <v>2</v>
      </c>
      <c r="Q845" s="5">
        <v>1</v>
      </c>
      <c r="R845" s="5"/>
      <c r="S845" s="5">
        <v>24</v>
      </c>
      <c r="T845" s="5">
        <v>24</v>
      </c>
      <c r="U845" s="5">
        <v>24</v>
      </c>
    </row>
    <row r="846" spans="1:21" x14ac:dyDescent="0.25">
      <c r="A846" s="5" t="s">
        <v>5941</v>
      </c>
      <c r="B846" s="5" t="s">
        <v>5942</v>
      </c>
      <c r="C846" s="5" t="s">
        <v>3548</v>
      </c>
      <c r="D846" s="5" t="s">
        <v>5817</v>
      </c>
      <c r="E846" s="5" t="s">
        <v>4363</v>
      </c>
      <c r="F846" s="5" t="s">
        <v>4390</v>
      </c>
      <c r="G846" s="5" t="s">
        <v>3493</v>
      </c>
      <c r="H846" s="5"/>
      <c r="I846" s="5" t="s">
        <v>3448</v>
      </c>
      <c r="J846" s="5" t="s">
        <v>5818</v>
      </c>
      <c r="K846" s="5" t="s">
        <v>4363</v>
      </c>
      <c r="L846" s="5">
        <v>25</v>
      </c>
      <c r="M846" s="5">
        <v>1</v>
      </c>
      <c r="N846" s="5" t="s">
        <v>4406</v>
      </c>
      <c r="O846" s="5" t="s">
        <v>3494</v>
      </c>
      <c r="P846" s="5">
        <v>2</v>
      </c>
      <c r="Q846" s="5">
        <v>1</v>
      </c>
      <c r="R846" s="5"/>
      <c r="S846" s="5">
        <v>24</v>
      </c>
      <c r="T846" s="5">
        <v>24</v>
      </c>
      <c r="U846" s="5">
        <v>24</v>
      </c>
    </row>
    <row r="847" spans="1:21" x14ac:dyDescent="0.25">
      <c r="A847" s="5" t="s">
        <v>5947</v>
      </c>
      <c r="B847" s="5" t="s">
        <v>5948</v>
      </c>
      <c r="C847" s="5" t="s">
        <v>3548</v>
      </c>
      <c r="D847" s="5" t="s">
        <v>5817</v>
      </c>
      <c r="E847" s="5" t="s">
        <v>4363</v>
      </c>
      <c r="F847" s="5" t="s">
        <v>3584</v>
      </c>
      <c r="G847" s="5" t="s">
        <v>3493</v>
      </c>
      <c r="H847" s="5"/>
      <c r="I847" s="5" t="s">
        <v>3448</v>
      </c>
      <c r="J847" s="5" t="s">
        <v>5818</v>
      </c>
      <c r="K847" s="5" t="s">
        <v>4363</v>
      </c>
      <c r="L847" s="5">
        <v>25</v>
      </c>
      <c r="M847" s="5">
        <v>2</v>
      </c>
      <c r="N847" s="5" t="s">
        <v>3585</v>
      </c>
      <c r="O847" s="5" t="s">
        <v>3494</v>
      </c>
      <c r="P847" s="5">
        <v>1.5</v>
      </c>
      <c r="Q847" s="5">
        <v>1</v>
      </c>
      <c r="R847" s="5"/>
      <c r="S847" s="5">
        <v>45</v>
      </c>
      <c r="T847" s="5">
        <v>45</v>
      </c>
      <c r="U847" s="5">
        <v>45</v>
      </c>
    </row>
    <row r="848" spans="1:21" x14ac:dyDescent="0.25">
      <c r="A848" s="5" t="s">
        <v>5953</v>
      </c>
      <c r="B848" s="5" t="s">
        <v>5954</v>
      </c>
      <c r="C848" s="5" t="s">
        <v>3548</v>
      </c>
      <c r="D848" s="5" t="s">
        <v>5817</v>
      </c>
      <c r="E848" s="5" t="s">
        <v>4363</v>
      </c>
      <c r="F848" s="5" t="s">
        <v>4390</v>
      </c>
      <c r="G848" s="5" t="s">
        <v>3493</v>
      </c>
      <c r="H848" s="5"/>
      <c r="I848" s="5" t="s">
        <v>3448</v>
      </c>
      <c r="J848" s="5" t="s">
        <v>5818</v>
      </c>
      <c r="K848" s="5" t="s">
        <v>4363</v>
      </c>
      <c r="L848" s="5">
        <v>25</v>
      </c>
      <c r="M848" s="5">
        <v>2</v>
      </c>
      <c r="N848" s="5" t="s">
        <v>4391</v>
      </c>
      <c r="O848" s="5" t="s">
        <v>3494</v>
      </c>
      <c r="P848" s="5">
        <v>1.5</v>
      </c>
      <c r="Q848" s="5">
        <v>1</v>
      </c>
      <c r="R848" s="5"/>
      <c r="S848" s="5">
        <v>44</v>
      </c>
      <c r="T848" s="5">
        <v>44</v>
      </c>
      <c r="U848" s="5">
        <v>44</v>
      </c>
    </row>
    <row r="849" spans="1:21" x14ac:dyDescent="0.25">
      <c r="A849" s="5" t="s">
        <v>5959</v>
      </c>
      <c r="B849" s="5" t="s">
        <v>5960</v>
      </c>
      <c r="C849" s="5" t="s">
        <v>3548</v>
      </c>
      <c r="D849" s="5" t="s">
        <v>5817</v>
      </c>
      <c r="E849" s="5" t="s">
        <v>4363</v>
      </c>
      <c r="F849" s="5" t="s">
        <v>4004</v>
      </c>
      <c r="G849" s="5" t="s">
        <v>3493</v>
      </c>
      <c r="H849" s="5"/>
      <c r="I849" s="5" t="s">
        <v>3448</v>
      </c>
      <c r="J849" s="5" t="s">
        <v>5818</v>
      </c>
      <c r="K849" s="5" t="s">
        <v>4363</v>
      </c>
      <c r="L849" s="5">
        <v>25</v>
      </c>
      <c r="M849" s="5">
        <v>2</v>
      </c>
      <c r="N849" s="5" t="s">
        <v>4005</v>
      </c>
      <c r="O849" s="5" t="s">
        <v>3494</v>
      </c>
      <c r="P849" s="5">
        <v>1.5</v>
      </c>
      <c r="Q849" s="5">
        <v>1</v>
      </c>
      <c r="R849" s="5"/>
      <c r="S849" s="5">
        <v>46</v>
      </c>
      <c r="T849" s="5">
        <v>46</v>
      </c>
      <c r="U849" s="5">
        <v>46</v>
      </c>
    </row>
    <row r="850" spans="1:21" x14ac:dyDescent="0.25">
      <c r="A850" s="5" t="s">
        <v>5965</v>
      </c>
      <c r="B850" s="5" t="s">
        <v>5966</v>
      </c>
      <c r="C850" s="5" t="s">
        <v>3548</v>
      </c>
      <c r="D850" s="5" t="s">
        <v>5817</v>
      </c>
      <c r="E850" s="5" t="s">
        <v>4363</v>
      </c>
      <c r="F850" s="5" t="s">
        <v>3584</v>
      </c>
      <c r="G850" s="5" t="s">
        <v>3501</v>
      </c>
      <c r="H850" s="5"/>
      <c r="I850" s="5" t="s">
        <v>3448</v>
      </c>
      <c r="J850" s="5" t="s">
        <v>5818</v>
      </c>
      <c r="K850" s="5" t="s">
        <v>4363</v>
      </c>
      <c r="L850" s="5">
        <v>25</v>
      </c>
      <c r="M850" s="5">
        <v>2</v>
      </c>
      <c r="N850" s="5" t="s">
        <v>3585</v>
      </c>
      <c r="O850" s="5" t="s">
        <v>3502</v>
      </c>
      <c r="P850" s="5">
        <v>2</v>
      </c>
      <c r="Q850" s="5">
        <v>1</v>
      </c>
      <c r="R850" s="5"/>
      <c r="S850" s="5">
        <v>51</v>
      </c>
      <c r="T850" s="5">
        <v>51</v>
      </c>
      <c r="U850" s="5">
        <v>51</v>
      </c>
    </row>
    <row r="851" spans="1:21" x14ac:dyDescent="0.25">
      <c r="A851" s="5" t="s">
        <v>5967</v>
      </c>
      <c r="B851" s="5" t="s">
        <v>5968</v>
      </c>
      <c r="C851" s="5" t="s">
        <v>3548</v>
      </c>
      <c r="D851" s="5" t="s">
        <v>5817</v>
      </c>
      <c r="E851" s="5" t="s">
        <v>4363</v>
      </c>
      <c r="F851" s="5" t="s">
        <v>3584</v>
      </c>
      <c r="G851" s="5" t="s">
        <v>3493</v>
      </c>
      <c r="H851" s="5"/>
      <c r="I851" s="5" t="s">
        <v>3448</v>
      </c>
      <c r="J851" s="5" t="s">
        <v>5818</v>
      </c>
      <c r="K851" s="5" t="s">
        <v>4363</v>
      </c>
      <c r="L851" s="5">
        <v>25</v>
      </c>
      <c r="M851" s="5">
        <v>2</v>
      </c>
      <c r="N851" s="5" t="s">
        <v>3585</v>
      </c>
      <c r="O851" s="5" t="s">
        <v>3494</v>
      </c>
      <c r="P851" s="5">
        <v>2</v>
      </c>
      <c r="Q851" s="5">
        <v>1</v>
      </c>
      <c r="R851" s="5"/>
      <c r="S851" s="5">
        <v>43</v>
      </c>
      <c r="T851" s="5">
        <v>43</v>
      </c>
      <c r="U851" s="5">
        <v>43</v>
      </c>
    </row>
    <row r="852" spans="1:21" x14ac:dyDescent="0.25">
      <c r="A852" s="5" t="s">
        <v>5975</v>
      </c>
      <c r="B852" s="5" t="s">
        <v>5976</v>
      </c>
      <c r="C852" s="5" t="s">
        <v>3548</v>
      </c>
      <c r="D852" s="5" t="s">
        <v>5817</v>
      </c>
      <c r="E852" s="5" t="s">
        <v>4363</v>
      </c>
      <c r="F852" s="5" t="s">
        <v>4390</v>
      </c>
      <c r="G852" s="5" t="s">
        <v>3493</v>
      </c>
      <c r="H852" s="5"/>
      <c r="I852" s="5" t="s">
        <v>3448</v>
      </c>
      <c r="J852" s="5" t="s">
        <v>5818</v>
      </c>
      <c r="K852" s="5" t="s">
        <v>4363</v>
      </c>
      <c r="L852" s="5">
        <v>25</v>
      </c>
      <c r="M852" s="5">
        <v>2</v>
      </c>
      <c r="N852" s="5" t="s">
        <v>4406</v>
      </c>
      <c r="O852" s="5" t="s">
        <v>3494</v>
      </c>
      <c r="P852" s="5">
        <v>2</v>
      </c>
      <c r="Q852" s="5">
        <v>1</v>
      </c>
      <c r="R852" s="5"/>
      <c r="S852" s="5">
        <v>43</v>
      </c>
      <c r="T852" s="5">
        <v>43</v>
      </c>
      <c r="U852" s="5">
        <v>43</v>
      </c>
    </row>
    <row r="853" spans="1:21" x14ac:dyDescent="0.25">
      <c r="A853" s="5" t="s">
        <v>5979</v>
      </c>
      <c r="B853" s="5" t="s">
        <v>5980</v>
      </c>
      <c r="C853" s="5" t="s">
        <v>3548</v>
      </c>
      <c r="D853" s="5" t="s">
        <v>5817</v>
      </c>
      <c r="E853" s="5" t="s">
        <v>4363</v>
      </c>
      <c r="F853" s="5" t="s">
        <v>4004</v>
      </c>
      <c r="G853" s="5" t="s">
        <v>3501</v>
      </c>
      <c r="H853" s="5"/>
      <c r="I853" s="5" t="s">
        <v>3448</v>
      </c>
      <c r="J853" s="5" t="s">
        <v>5818</v>
      </c>
      <c r="K853" s="5" t="s">
        <v>4363</v>
      </c>
      <c r="L853" s="5">
        <v>25</v>
      </c>
      <c r="M853" s="5">
        <v>2</v>
      </c>
      <c r="N853" s="5" t="s">
        <v>4005</v>
      </c>
      <c r="O853" s="5" t="s">
        <v>3502</v>
      </c>
      <c r="P853" s="5">
        <v>2</v>
      </c>
      <c r="Q853" s="5">
        <v>1</v>
      </c>
      <c r="R853" s="5"/>
      <c r="S853" s="5">
        <v>49</v>
      </c>
      <c r="T853" s="5">
        <v>49</v>
      </c>
      <c r="U853" s="5">
        <v>49</v>
      </c>
    </row>
    <row r="854" spans="1:21" x14ac:dyDescent="0.25">
      <c r="A854" s="5" t="s">
        <v>5981</v>
      </c>
      <c r="B854" s="5" t="s">
        <v>5982</v>
      </c>
      <c r="C854" s="5" t="s">
        <v>3548</v>
      </c>
      <c r="D854" s="5" t="s">
        <v>5817</v>
      </c>
      <c r="E854" s="5" t="s">
        <v>4363</v>
      </c>
      <c r="F854" s="5" t="s">
        <v>4004</v>
      </c>
      <c r="G854" s="5" t="s">
        <v>3493</v>
      </c>
      <c r="H854" s="5"/>
      <c r="I854" s="5" t="s">
        <v>3448</v>
      </c>
      <c r="J854" s="5" t="s">
        <v>5818</v>
      </c>
      <c r="K854" s="5" t="s">
        <v>4363</v>
      </c>
      <c r="L854" s="5">
        <v>25</v>
      </c>
      <c r="M854" s="5">
        <v>2</v>
      </c>
      <c r="N854" s="5" t="s">
        <v>4005</v>
      </c>
      <c r="O854" s="5" t="s">
        <v>3494</v>
      </c>
      <c r="P854" s="5">
        <v>2</v>
      </c>
      <c r="Q854" s="5">
        <v>1</v>
      </c>
      <c r="R854" s="5"/>
      <c r="S854" s="5">
        <v>45</v>
      </c>
      <c r="T854" s="5">
        <v>45</v>
      </c>
      <c r="U854" s="5">
        <v>45</v>
      </c>
    </row>
    <row r="855" spans="1:21" x14ac:dyDescent="0.25">
      <c r="A855" s="5" t="s">
        <v>5995</v>
      </c>
      <c r="B855" s="5" t="s">
        <v>5996</v>
      </c>
      <c r="C855" s="5" t="s">
        <v>3548</v>
      </c>
      <c r="D855" s="5" t="s">
        <v>5817</v>
      </c>
      <c r="E855" s="5" t="s">
        <v>4363</v>
      </c>
      <c r="F855" s="5" t="s">
        <v>4421</v>
      </c>
      <c r="G855" s="5" t="s">
        <v>3493</v>
      </c>
      <c r="H855" s="5"/>
      <c r="I855" s="5" t="s">
        <v>3448</v>
      </c>
      <c r="J855" s="5" t="s">
        <v>5818</v>
      </c>
      <c r="K855" s="5" t="s">
        <v>4363</v>
      </c>
      <c r="L855" s="5">
        <v>25</v>
      </c>
      <c r="M855" s="5">
        <v>2</v>
      </c>
      <c r="N855" s="5" t="s">
        <v>4422</v>
      </c>
      <c r="O855" s="5" t="s">
        <v>3494</v>
      </c>
      <c r="P855" s="5">
        <v>2</v>
      </c>
      <c r="Q855" s="5">
        <v>1</v>
      </c>
      <c r="R855" s="5"/>
      <c r="S855" s="5">
        <v>41</v>
      </c>
      <c r="T855" s="5">
        <v>41</v>
      </c>
      <c r="U855" s="5">
        <v>41</v>
      </c>
    </row>
    <row r="856" spans="1:21" x14ac:dyDescent="0.25">
      <c r="A856" s="5" t="s">
        <v>5997</v>
      </c>
      <c r="B856" s="5" t="s">
        <v>5998</v>
      </c>
      <c r="C856" s="5" t="s">
        <v>3548</v>
      </c>
      <c r="D856" s="5" t="s">
        <v>5817</v>
      </c>
      <c r="E856" s="5" t="s">
        <v>4363</v>
      </c>
      <c r="F856" s="5" t="s">
        <v>4004</v>
      </c>
      <c r="G856" s="5" t="s">
        <v>3501</v>
      </c>
      <c r="H856" s="5"/>
      <c r="I856" s="5" t="s">
        <v>3448</v>
      </c>
      <c r="J856" s="5" t="s">
        <v>5818</v>
      </c>
      <c r="K856" s="5" t="s">
        <v>4363</v>
      </c>
      <c r="L856" s="5">
        <v>25</v>
      </c>
      <c r="M856" s="5">
        <v>1</v>
      </c>
      <c r="N856" s="5" t="s">
        <v>4005</v>
      </c>
      <c r="O856" s="5" t="s">
        <v>3502</v>
      </c>
      <c r="P856" s="5">
        <v>2</v>
      </c>
      <c r="Q856" s="5">
        <v>1</v>
      </c>
      <c r="R856" s="5"/>
      <c r="S856" s="5">
        <v>27</v>
      </c>
      <c r="T856" s="5">
        <v>27</v>
      </c>
      <c r="U856" s="5">
        <v>27</v>
      </c>
    </row>
    <row r="857" spans="1:21" x14ac:dyDescent="0.25">
      <c r="A857" s="5" t="s">
        <v>5999</v>
      </c>
      <c r="B857" s="5" t="s">
        <v>6000</v>
      </c>
      <c r="C857" s="5" t="s">
        <v>3548</v>
      </c>
      <c r="D857" s="5" t="s">
        <v>5817</v>
      </c>
      <c r="E857" s="5" t="s">
        <v>4363</v>
      </c>
      <c r="F857" s="5" t="s">
        <v>4004</v>
      </c>
      <c r="G857" s="5" t="s">
        <v>3493</v>
      </c>
      <c r="H857" s="5"/>
      <c r="I857" s="5" t="s">
        <v>3448</v>
      </c>
      <c r="J857" s="5" t="s">
        <v>5818</v>
      </c>
      <c r="K857" s="5" t="s">
        <v>4363</v>
      </c>
      <c r="L857" s="5">
        <v>25</v>
      </c>
      <c r="M857" s="5">
        <v>1</v>
      </c>
      <c r="N857" s="5" t="s">
        <v>4005</v>
      </c>
      <c r="O857" s="5" t="s">
        <v>3494</v>
      </c>
      <c r="P857" s="5">
        <v>2</v>
      </c>
      <c r="Q857" s="5">
        <v>1</v>
      </c>
      <c r="R857" s="5"/>
      <c r="S857" s="5">
        <v>24</v>
      </c>
      <c r="T857" s="5">
        <v>24</v>
      </c>
      <c r="U857" s="5">
        <v>24</v>
      </c>
    </row>
    <row r="858" spans="1:21" x14ac:dyDescent="0.25">
      <c r="A858" s="5" t="s">
        <v>6009</v>
      </c>
      <c r="B858" s="5" t="s">
        <v>6010</v>
      </c>
      <c r="C858" s="5" t="s">
        <v>3548</v>
      </c>
      <c r="D858" s="5" t="s">
        <v>5817</v>
      </c>
      <c r="E858" s="5" t="s">
        <v>4363</v>
      </c>
      <c r="F858" s="5" t="s">
        <v>4421</v>
      </c>
      <c r="G858" s="5" t="s">
        <v>3493</v>
      </c>
      <c r="H858" s="5"/>
      <c r="I858" s="5" t="s">
        <v>3448</v>
      </c>
      <c r="J858" s="5" t="s">
        <v>5818</v>
      </c>
      <c r="K858" s="5" t="s">
        <v>4363</v>
      </c>
      <c r="L858" s="5">
        <v>25</v>
      </c>
      <c r="M858" s="5">
        <v>1</v>
      </c>
      <c r="N858" s="5" t="s">
        <v>4422</v>
      </c>
      <c r="O858" s="5" t="s">
        <v>3494</v>
      </c>
      <c r="P858" s="5">
        <v>2</v>
      </c>
      <c r="Q858" s="5">
        <v>1</v>
      </c>
      <c r="R858" s="5"/>
      <c r="S858" s="5">
        <v>24</v>
      </c>
      <c r="T858" s="5">
        <v>24</v>
      </c>
      <c r="U858" s="5">
        <v>24</v>
      </c>
    </row>
    <row r="859" spans="1:21" x14ac:dyDescent="0.25">
      <c r="A859" s="5" t="s">
        <v>6011</v>
      </c>
      <c r="B859" s="5" t="s">
        <v>6012</v>
      </c>
      <c r="C859" s="5" t="s">
        <v>3548</v>
      </c>
      <c r="D859" s="5" t="s">
        <v>5817</v>
      </c>
      <c r="E859" s="5" t="s">
        <v>4363</v>
      </c>
      <c r="F859" s="5" t="s">
        <v>3584</v>
      </c>
      <c r="G859" s="5" t="s">
        <v>3493</v>
      </c>
      <c r="H859" s="5"/>
      <c r="I859" s="5" t="s">
        <v>3448</v>
      </c>
      <c r="J859" s="5" t="s">
        <v>5818</v>
      </c>
      <c r="K859" s="5" t="s">
        <v>4363</v>
      </c>
      <c r="L859" s="5">
        <v>25</v>
      </c>
      <c r="M859" s="5">
        <v>3</v>
      </c>
      <c r="N859" s="5" t="s">
        <v>3585</v>
      </c>
      <c r="O859" s="5" t="s">
        <v>3494</v>
      </c>
      <c r="P859" s="5">
        <v>1.5</v>
      </c>
      <c r="Q859" s="5">
        <v>1</v>
      </c>
      <c r="R859" s="5"/>
      <c r="S859" s="5">
        <v>65</v>
      </c>
      <c r="T859" s="5">
        <v>65</v>
      </c>
      <c r="U859" s="5">
        <v>65</v>
      </c>
    </row>
    <row r="860" spans="1:21" x14ac:dyDescent="0.25">
      <c r="A860" s="5" t="s">
        <v>6021</v>
      </c>
      <c r="B860" s="5" t="s">
        <v>6022</v>
      </c>
      <c r="C860" s="5" t="s">
        <v>3548</v>
      </c>
      <c r="D860" s="5" t="s">
        <v>5817</v>
      </c>
      <c r="E860" s="5" t="s">
        <v>4363</v>
      </c>
      <c r="F860" s="5" t="s">
        <v>4004</v>
      </c>
      <c r="G860" s="5" t="s">
        <v>3493</v>
      </c>
      <c r="H860" s="5"/>
      <c r="I860" s="5" t="s">
        <v>3448</v>
      </c>
      <c r="J860" s="5" t="s">
        <v>5818</v>
      </c>
      <c r="K860" s="5" t="s">
        <v>4363</v>
      </c>
      <c r="L860" s="5">
        <v>25</v>
      </c>
      <c r="M860" s="5">
        <v>3</v>
      </c>
      <c r="N860" s="5" t="s">
        <v>4005</v>
      </c>
      <c r="O860" s="5" t="s">
        <v>3494</v>
      </c>
      <c r="P860" s="5">
        <v>1.5</v>
      </c>
      <c r="Q860" s="5">
        <v>1</v>
      </c>
      <c r="R860" s="5"/>
      <c r="S860" s="5">
        <v>73</v>
      </c>
      <c r="T860" s="5">
        <v>73</v>
      </c>
      <c r="U860" s="5">
        <v>73</v>
      </c>
    </row>
    <row r="861" spans="1:21" x14ac:dyDescent="0.25">
      <c r="A861" s="5" t="s">
        <v>6027</v>
      </c>
      <c r="B861" s="5" t="s">
        <v>6028</v>
      </c>
      <c r="C861" s="5" t="s">
        <v>3548</v>
      </c>
      <c r="D861" s="5" t="s">
        <v>5817</v>
      </c>
      <c r="E861" s="5" t="s">
        <v>4363</v>
      </c>
      <c r="F861" s="5" t="s">
        <v>4421</v>
      </c>
      <c r="G861" s="5" t="s">
        <v>3493</v>
      </c>
      <c r="H861" s="5"/>
      <c r="I861" s="5" t="s">
        <v>3448</v>
      </c>
      <c r="J861" s="5" t="s">
        <v>5818</v>
      </c>
      <c r="K861" s="5" t="s">
        <v>4363</v>
      </c>
      <c r="L861" s="5">
        <v>25</v>
      </c>
      <c r="M861" s="5">
        <v>3</v>
      </c>
      <c r="N861" s="5" t="s">
        <v>4422</v>
      </c>
      <c r="O861" s="5" t="s">
        <v>3494</v>
      </c>
      <c r="P861" s="5">
        <v>1.5</v>
      </c>
      <c r="Q861" s="5">
        <v>1</v>
      </c>
      <c r="R861" s="5"/>
      <c r="S861" s="5">
        <v>70</v>
      </c>
      <c r="T861" s="5">
        <v>70</v>
      </c>
      <c r="U861" s="5">
        <v>70</v>
      </c>
    </row>
    <row r="862" spans="1:21" x14ac:dyDescent="0.25">
      <c r="A862" s="5" t="s">
        <v>6029</v>
      </c>
      <c r="B862" s="5" t="s">
        <v>6030</v>
      </c>
      <c r="C862" s="5" t="s">
        <v>3548</v>
      </c>
      <c r="D862" s="5" t="s">
        <v>5817</v>
      </c>
      <c r="E862" s="5" t="s">
        <v>4363</v>
      </c>
      <c r="F862" s="5" t="s">
        <v>3584</v>
      </c>
      <c r="G862" s="5" t="s">
        <v>3493</v>
      </c>
      <c r="H862" s="5"/>
      <c r="I862" s="5" t="s">
        <v>3448</v>
      </c>
      <c r="J862" s="5" t="s">
        <v>5818</v>
      </c>
      <c r="K862" s="5" t="s">
        <v>4363</v>
      </c>
      <c r="L862" s="5">
        <v>25</v>
      </c>
      <c r="M862" s="5">
        <v>3</v>
      </c>
      <c r="N862" s="5" t="s">
        <v>3585</v>
      </c>
      <c r="O862" s="5" t="s">
        <v>3494</v>
      </c>
      <c r="P862" s="5">
        <v>2</v>
      </c>
      <c r="Q862" s="5">
        <v>1</v>
      </c>
      <c r="R862" s="5"/>
      <c r="S862" s="5">
        <v>67</v>
      </c>
      <c r="T862" s="5">
        <v>67</v>
      </c>
      <c r="U862" s="5">
        <v>67</v>
      </c>
    </row>
    <row r="863" spans="1:21" x14ac:dyDescent="0.25">
      <c r="A863" s="5" t="s">
        <v>6035</v>
      </c>
      <c r="B863" s="5" t="s">
        <v>6036</v>
      </c>
      <c r="C863" s="5" t="s">
        <v>3548</v>
      </c>
      <c r="D863" s="5" t="s">
        <v>5817</v>
      </c>
      <c r="E863" s="5" t="s">
        <v>4363</v>
      </c>
      <c r="F863" s="5" t="s">
        <v>4004</v>
      </c>
      <c r="G863" s="5" t="s">
        <v>3493</v>
      </c>
      <c r="H863" s="5"/>
      <c r="I863" s="5" t="s">
        <v>3448</v>
      </c>
      <c r="J863" s="5" t="s">
        <v>5818</v>
      </c>
      <c r="K863" s="5" t="s">
        <v>4363</v>
      </c>
      <c r="L863" s="5">
        <v>25</v>
      </c>
      <c r="M863" s="5">
        <v>3</v>
      </c>
      <c r="N863" s="5" t="s">
        <v>4005</v>
      </c>
      <c r="O863" s="5" t="s">
        <v>3494</v>
      </c>
      <c r="P863" s="5">
        <v>2</v>
      </c>
      <c r="Q863" s="5">
        <v>1</v>
      </c>
      <c r="R863" s="5"/>
      <c r="S863" s="5">
        <v>66</v>
      </c>
      <c r="T863" s="5">
        <v>66</v>
      </c>
      <c r="U863" s="5">
        <v>66</v>
      </c>
    </row>
    <row r="864" spans="1:21" x14ac:dyDescent="0.25">
      <c r="A864" s="5" t="s">
        <v>6041</v>
      </c>
      <c r="B864" s="5" t="s">
        <v>6042</v>
      </c>
      <c r="C864" s="5" t="s">
        <v>3548</v>
      </c>
      <c r="D864" s="5" t="s">
        <v>5817</v>
      </c>
      <c r="E864" s="5" t="s">
        <v>4363</v>
      </c>
      <c r="F864" s="5" t="s">
        <v>3584</v>
      </c>
      <c r="G864" s="5" t="s">
        <v>3493</v>
      </c>
      <c r="H864" s="5"/>
      <c r="I864" s="5" t="s">
        <v>3448</v>
      </c>
      <c r="J864" s="5" t="s">
        <v>5818</v>
      </c>
      <c r="K864" s="5" t="s">
        <v>4363</v>
      </c>
      <c r="L864" s="5">
        <v>25</v>
      </c>
      <c r="M864" s="5">
        <v>4</v>
      </c>
      <c r="N864" s="5" t="s">
        <v>3585</v>
      </c>
      <c r="O864" s="5" t="s">
        <v>3494</v>
      </c>
      <c r="P864" s="5">
        <v>1.5</v>
      </c>
      <c r="Q864" s="5">
        <v>1</v>
      </c>
      <c r="R864" s="5"/>
      <c r="S864" s="5">
        <v>88</v>
      </c>
      <c r="T864" s="5">
        <v>88</v>
      </c>
      <c r="U864" s="5">
        <v>88</v>
      </c>
    </row>
    <row r="865" spans="1:21" x14ac:dyDescent="0.25">
      <c r="A865" s="5" t="s">
        <v>6047</v>
      </c>
      <c r="B865" s="5" t="s">
        <v>6048</v>
      </c>
      <c r="C865" s="5" t="s">
        <v>3548</v>
      </c>
      <c r="D865" s="5" t="s">
        <v>5817</v>
      </c>
      <c r="E865" s="5" t="s">
        <v>4363</v>
      </c>
      <c r="F865" s="5" t="s">
        <v>4390</v>
      </c>
      <c r="G865" s="5" t="s">
        <v>3493</v>
      </c>
      <c r="H865" s="5"/>
      <c r="I865" s="5" t="s">
        <v>3448</v>
      </c>
      <c r="J865" s="5" t="s">
        <v>5818</v>
      </c>
      <c r="K865" s="5" t="s">
        <v>4363</v>
      </c>
      <c r="L865" s="5">
        <v>25</v>
      </c>
      <c r="M865" s="5">
        <v>4</v>
      </c>
      <c r="N865" s="5" t="s">
        <v>4391</v>
      </c>
      <c r="O865" s="5" t="s">
        <v>3494</v>
      </c>
      <c r="P865" s="5">
        <v>1.5</v>
      </c>
      <c r="Q865" s="5">
        <v>1</v>
      </c>
      <c r="R865" s="5"/>
      <c r="S865" s="5">
        <v>85</v>
      </c>
      <c r="T865" s="5">
        <v>85</v>
      </c>
      <c r="U865" s="5">
        <v>85</v>
      </c>
    </row>
    <row r="866" spans="1:21" x14ac:dyDescent="0.25">
      <c r="A866" s="5" t="s">
        <v>6053</v>
      </c>
      <c r="B866" s="5" t="s">
        <v>6054</v>
      </c>
      <c r="C866" s="5" t="s">
        <v>3548</v>
      </c>
      <c r="D866" s="5" t="s">
        <v>5817</v>
      </c>
      <c r="E866" s="5" t="s">
        <v>4363</v>
      </c>
      <c r="F866" s="5" t="s">
        <v>4004</v>
      </c>
      <c r="G866" s="5" t="s">
        <v>3493</v>
      </c>
      <c r="H866" s="5"/>
      <c r="I866" s="5" t="s">
        <v>3448</v>
      </c>
      <c r="J866" s="5" t="s">
        <v>5818</v>
      </c>
      <c r="K866" s="5" t="s">
        <v>4363</v>
      </c>
      <c r="L866" s="5">
        <v>25</v>
      </c>
      <c r="M866" s="5">
        <v>4</v>
      </c>
      <c r="N866" s="5" t="s">
        <v>4005</v>
      </c>
      <c r="O866" s="5" t="s">
        <v>3494</v>
      </c>
      <c r="P866" s="5">
        <v>1.5</v>
      </c>
      <c r="Q866" s="5">
        <v>1</v>
      </c>
      <c r="R866" s="5"/>
      <c r="S866" s="5">
        <v>89</v>
      </c>
      <c r="T866" s="5">
        <v>89</v>
      </c>
      <c r="U866" s="5">
        <v>89</v>
      </c>
    </row>
    <row r="867" spans="1:21" x14ac:dyDescent="0.25">
      <c r="A867" s="5" t="s">
        <v>6057</v>
      </c>
      <c r="B867" s="5" t="s">
        <v>6058</v>
      </c>
      <c r="C867" s="5" t="s">
        <v>3548</v>
      </c>
      <c r="D867" s="5" t="s">
        <v>5817</v>
      </c>
      <c r="E867" s="5" t="s">
        <v>4363</v>
      </c>
      <c r="F867" s="5" t="s">
        <v>4421</v>
      </c>
      <c r="G867" s="5" t="s">
        <v>3493</v>
      </c>
      <c r="H867" s="5"/>
      <c r="I867" s="5" t="s">
        <v>3448</v>
      </c>
      <c r="J867" s="5" t="s">
        <v>5818</v>
      </c>
      <c r="K867" s="5" t="s">
        <v>4363</v>
      </c>
      <c r="L867" s="5">
        <v>25</v>
      </c>
      <c r="M867" s="5">
        <v>4</v>
      </c>
      <c r="N867" s="5" t="s">
        <v>4422</v>
      </c>
      <c r="O867" s="5" t="s">
        <v>3494</v>
      </c>
      <c r="P867" s="5">
        <v>1.5</v>
      </c>
      <c r="Q867" s="5">
        <v>1</v>
      </c>
      <c r="R867" s="5"/>
      <c r="S867" s="5">
        <v>87</v>
      </c>
      <c r="T867" s="5">
        <v>87</v>
      </c>
      <c r="U867" s="5">
        <v>87</v>
      </c>
    </row>
    <row r="868" spans="1:21" x14ac:dyDescent="0.25">
      <c r="A868" s="5" t="s">
        <v>6059</v>
      </c>
      <c r="B868" s="5" t="s">
        <v>6060</v>
      </c>
      <c r="C868" s="5" t="s">
        <v>3548</v>
      </c>
      <c r="D868" s="5" t="s">
        <v>5817</v>
      </c>
      <c r="E868" s="5" t="s">
        <v>4363</v>
      </c>
      <c r="F868" s="5" t="s">
        <v>3584</v>
      </c>
      <c r="G868" s="5" t="s">
        <v>3493</v>
      </c>
      <c r="H868" s="5"/>
      <c r="I868" s="5" t="s">
        <v>3448</v>
      </c>
      <c r="J868" s="5" t="s">
        <v>5818</v>
      </c>
      <c r="K868" s="5" t="s">
        <v>4363</v>
      </c>
      <c r="L868" s="5">
        <v>25</v>
      </c>
      <c r="M868" s="5">
        <v>4</v>
      </c>
      <c r="N868" s="5" t="s">
        <v>3585</v>
      </c>
      <c r="O868" s="5" t="s">
        <v>3494</v>
      </c>
      <c r="P868" s="5">
        <v>2</v>
      </c>
      <c r="Q868" s="5">
        <v>1</v>
      </c>
      <c r="R868" s="5"/>
      <c r="S868" s="5">
        <v>86</v>
      </c>
      <c r="T868" s="5">
        <v>86</v>
      </c>
      <c r="U868" s="5">
        <v>86</v>
      </c>
    </row>
    <row r="869" spans="1:21" x14ac:dyDescent="0.25">
      <c r="A869" s="5" t="s">
        <v>6065</v>
      </c>
      <c r="B869" s="5" t="s">
        <v>6066</v>
      </c>
      <c r="C869" s="5" t="s">
        <v>3548</v>
      </c>
      <c r="D869" s="5" t="s">
        <v>5817</v>
      </c>
      <c r="E869" s="5" t="s">
        <v>4363</v>
      </c>
      <c r="F869" s="5" t="s">
        <v>4004</v>
      </c>
      <c r="G869" s="5" t="s">
        <v>3493</v>
      </c>
      <c r="H869" s="5"/>
      <c r="I869" s="5" t="s">
        <v>3448</v>
      </c>
      <c r="J869" s="5" t="s">
        <v>5818</v>
      </c>
      <c r="K869" s="5" t="s">
        <v>4363</v>
      </c>
      <c r="L869" s="5">
        <v>25</v>
      </c>
      <c r="M869" s="5">
        <v>4</v>
      </c>
      <c r="N869" s="5" t="s">
        <v>4005</v>
      </c>
      <c r="O869" s="5" t="s">
        <v>3494</v>
      </c>
      <c r="P869" s="5">
        <v>2</v>
      </c>
      <c r="Q869" s="5">
        <v>1</v>
      </c>
      <c r="R869" s="5"/>
      <c r="S869" s="5">
        <v>87</v>
      </c>
      <c r="T869" s="5">
        <v>87</v>
      </c>
      <c r="U869" s="5">
        <v>87</v>
      </c>
    </row>
    <row r="870" spans="1:21" x14ac:dyDescent="0.25">
      <c r="A870" s="5" t="s">
        <v>6069</v>
      </c>
      <c r="B870" s="5" t="s">
        <v>6070</v>
      </c>
      <c r="C870" s="5" t="s">
        <v>3548</v>
      </c>
      <c r="D870" s="5" t="s">
        <v>5817</v>
      </c>
      <c r="E870" s="5" t="s">
        <v>4363</v>
      </c>
      <c r="F870" s="5" t="s">
        <v>3584</v>
      </c>
      <c r="G870" s="5" t="s">
        <v>3501</v>
      </c>
      <c r="H870" s="5"/>
      <c r="I870" s="5" t="s">
        <v>3448</v>
      </c>
      <c r="J870" s="5" t="s">
        <v>5818</v>
      </c>
      <c r="K870" s="5" t="s">
        <v>4363</v>
      </c>
      <c r="L870" s="5">
        <v>28</v>
      </c>
      <c r="M870" s="5">
        <v>1</v>
      </c>
      <c r="N870" s="5" t="s">
        <v>3585</v>
      </c>
      <c r="O870" s="5" t="s">
        <v>3502</v>
      </c>
      <c r="P870" s="5">
        <v>2</v>
      </c>
      <c r="Q870" s="5">
        <v>1</v>
      </c>
      <c r="R870" s="5"/>
      <c r="S870" s="5">
        <v>32</v>
      </c>
      <c r="T870" s="5">
        <v>32</v>
      </c>
      <c r="U870" s="5">
        <v>32</v>
      </c>
    </row>
    <row r="871" spans="1:21" x14ac:dyDescent="0.25">
      <c r="A871" s="5" t="s">
        <v>6071</v>
      </c>
      <c r="B871" s="5" t="s">
        <v>6072</v>
      </c>
      <c r="C871" s="5" t="s">
        <v>3548</v>
      </c>
      <c r="D871" s="5" t="s">
        <v>5817</v>
      </c>
      <c r="E871" s="5" t="s">
        <v>4363</v>
      </c>
      <c r="F871" s="5" t="s">
        <v>3584</v>
      </c>
      <c r="G871" s="5" t="s">
        <v>3493</v>
      </c>
      <c r="H871" s="5"/>
      <c r="I871" s="5" t="s">
        <v>3448</v>
      </c>
      <c r="J871" s="5" t="s">
        <v>5818</v>
      </c>
      <c r="K871" s="5" t="s">
        <v>4363</v>
      </c>
      <c r="L871" s="5">
        <v>28</v>
      </c>
      <c r="M871" s="5">
        <v>1</v>
      </c>
      <c r="N871" s="5" t="s">
        <v>3585</v>
      </c>
      <c r="O871" s="5" t="s">
        <v>3494</v>
      </c>
      <c r="P871" s="5">
        <v>2</v>
      </c>
      <c r="Q871" s="5">
        <v>1</v>
      </c>
      <c r="R871" s="5"/>
      <c r="S871" s="5">
        <v>25</v>
      </c>
      <c r="T871" s="5">
        <v>25</v>
      </c>
      <c r="U871" s="5">
        <v>25</v>
      </c>
    </row>
    <row r="872" spans="1:21" x14ac:dyDescent="0.25">
      <c r="A872" s="5" t="s">
        <v>6075</v>
      </c>
      <c r="B872" s="5" t="s">
        <v>6076</v>
      </c>
      <c r="C872" s="5" t="s">
        <v>3548</v>
      </c>
      <c r="D872" s="5" t="s">
        <v>5817</v>
      </c>
      <c r="E872" s="5" t="s">
        <v>4363</v>
      </c>
      <c r="F872" s="5" t="s">
        <v>3584</v>
      </c>
      <c r="G872" s="5" t="s">
        <v>3501</v>
      </c>
      <c r="H872" s="5"/>
      <c r="I872" s="5" t="s">
        <v>3448</v>
      </c>
      <c r="J872" s="5" t="s">
        <v>5818</v>
      </c>
      <c r="K872" s="5" t="s">
        <v>4363</v>
      </c>
      <c r="L872" s="5">
        <v>28</v>
      </c>
      <c r="M872" s="5">
        <v>2</v>
      </c>
      <c r="N872" s="5" t="s">
        <v>3585</v>
      </c>
      <c r="O872" s="5" t="s">
        <v>3502</v>
      </c>
      <c r="P872" s="5">
        <v>2</v>
      </c>
      <c r="Q872" s="5">
        <v>1</v>
      </c>
      <c r="R872" s="5"/>
      <c r="S872" s="5">
        <v>56</v>
      </c>
      <c r="T872" s="5">
        <v>56</v>
      </c>
      <c r="U872" s="5">
        <v>56</v>
      </c>
    </row>
    <row r="873" spans="1:21" x14ac:dyDescent="0.25">
      <c r="A873" s="5" t="s">
        <v>6077</v>
      </c>
      <c r="B873" s="5" t="s">
        <v>6078</v>
      </c>
      <c r="C873" s="5" t="s">
        <v>3548</v>
      </c>
      <c r="D873" s="5" t="s">
        <v>5817</v>
      </c>
      <c r="E873" s="5" t="s">
        <v>4363</v>
      </c>
      <c r="F873" s="5" t="s">
        <v>3584</v>
      </c>
      <c r="G873" s="5" t="s">
        <v>3493</v>
      </c>
      <c r="H873" s="5"/>
      <c r="I873" s="5" t="s">
        <v>3448</v>
      </c>
      <c r="J873" s="5" t="s">
        <v>5818</v>
      </c>
      <c r="K873" s="5" t="s">
        <v>4363</v>
      </c>
      <c r="L873" s="5">
        <v>28</v>
      </c>
      <c r="M873" s="5">
        <v>2</v>
      </c>
      <c r="N873" s="5" t="s">
        <v>3585</v>
      </c>
      <c r="O873" s="5" t="s">
        <v>3494</v>
      </c>
      <c r="P873" s="5">
        <v>2</v>
      </c>
      <c r="Q873" s="5">
        <v>1</v>
      </c>
      <c r="R873" s="5"/>
      <c r="S873" s="5">
        <v>48</v>
      </c>
      <c r="T873" s="5">
        <v>48</v>
      </c>
      <c r="U873" s="5">
        <v>48</v>
      </c>
    </row>
    <row r="874" spans="1:21" x14ac:dyDescent="0.25">
      <c r="A874" s="5" t="s">
        <v>6087</v>
      </c>
      <c r="B874" s="5" t="s">
        <v>6088</v>
      </c>
      <c r="C874" s="5" t="s">
        <v>3548</v>
      </c>
      <c r="D874" s="5" t="s">
        <v>5817</v>
      </c>
      <c r="E874" s="5" t="s">
        <v>4363</v>
      </c>
      <c r="F874" s="5" t="s">
        <v>4004</v>
      </c>
      <c r="G874" s="5" t="s">
        <v>3493</v>
      </c>
      <c r="H874" s="5"/>
      <c r="I874" s="5" t="s">
        <v>3448</v>
      </c>
      <c r="J874" s="5" t="s">
        <v>5818</v>
      </c>
      <c r="K874" s="5" t="s">
        <v>4363</v>
      </c>
      <c r="L874" s="5">
        <v>28</v>
      </c>
      <c r="M874" s="5">
        <v>2</v>
      </c>
      <c r="N874" s="5" t="s">
        <v>4005</v>
      </c>
      <c r="O874" s="5" t="s">
        <v>3494</v>
      </c>
      <c r="P874" s="5">
        <v>2</v>
      </c>
      <c r="Q874" s="5">
        <v>1</v>
      </c>
      <c r="R874" s="5"/>
      <c r="S874" s="5">
        <v>50</v>
      </c>
      <c r="T874" s="5">
        <v>50</v>
      </c>
      <c r="U874" s="5">
        <v>50</v>
      </c>
    </row>
    <row r="875" spans="1:21" x14ac:dyDescent="0.25">
      <c r="A875" s="5" t="s">
        <v>6097</v>
      </c>
      <c r="B875" s="5" t="s">
        <v>6098</v>
      </c>
      <c r="C875" s="5" t="s">
        <v>3548</v>
      </c>
      <c r="D875" s="5" t="s">
        <v>5817</v>
      </c>
      <c r="E875" s="5" t="s">
        <v>4363</v>
      </c>
      <c r="F875" s="5" t="s">
        <v>4004</v>
      </c>
      <c r="G875" s="5" t="s">
        <v>3493</v>
      </c>
      <c r="H875" s="5"/>
      <c r="I875" s="5" t="s">
        <v>3448</v>
      </c>
      <c r="J875" s="5" t="s">
        <v>5818</v>
      </c>
      <c r="K875" s="5" t="s">
        <v>4363</v>
      </c>
      <c r="L875" s="5">
        <v>28</v>
      </c>
      <c r="M875" s="5">
        <v>1</v>
      </c>
      <c r="N875" s="5" t="s">
        <v>4005</v>
      </c>
      <c r="O875" s="5" t="s">
        <v>3494</v>
      </c>
      <c r="P875" s="5">
        <v>2</v>
      </c>
      <c r="Q875" s="5">
        <v>1</v>
      </c>
      <c r="R875" s="5"/>
      <c r="S875" s="5">
        <v>26</v>
      </c>
      <c r="T875" s="5">
        <v>26</v>
      </c>
      <c r="U875" s="5">
        <v>26</v>
      </c>
    </row>
    <row r="876" spans="1:21" x14ac:dyDescent="0.25">
      <c r="A876" s="5" t="s">
        <v>6103</v>
      </c>
      <c r="B876" s="5" t="s">
        <v>6104</v>
      </c>
      <c r="C876" s="5" t="s">
        <v>3548</v>
      </c>
      <c r="D876" s="5" t="s">
        <v>5817</v>
      </c>
      <c r="E876" s="5" t="s">
        <v>4363</v>
      </c>
      <c r="F876" s="5" t="s">
        <v>3584</v>
      </c>
      <c r="G876" s="5" t="s">
        <v>3501</v>
      </c>
      <c r="H876" s="5"/>
      <c r="I876" s="5" t="s">
        <v>3448</v>
      </c>
      <c r="J876" s="5" t="s">
        <v>5818</v>
      </c>
      <c r="K876" s="5" t="s">
        <v>4363</v>
      </c>
      <c r="L876" s="5">
        <v>28</v>
      </c>
      <c r="M876" s="5">
        <v>3</v>
      </c>
      <c r="N876" s="5" t="s">
        <v>3585</v>
      </c>
      <c r="O876" s="5" t="s">
        <v>3502</v>
      </c>
      <c r="P876" s="5">
        <v>2</v>
      </c>
      <c r="Q876" s="5">
        <v>1</v>
      </c>
      <c r="R876" s="5"/>
      <c r="S876" s="5">
        <v>79</v>
      </c>
      <c r="T876" s="5">
        <v>79</v>
      </c>
      <c r="U876" s="5">
        <v>79</v>
      </c>
    </row>
    <row r="877" spans="1:21" x14ac:dyDescent="0.25">
      <c r="A877" s="5" t="s">
        <v>6105</v>
      </c>
      <c r="B877" s="5" t="s">
        <v>6106</v>
      </c>
      <c r="C877" s="5" t="s">
        <v>3548</v>
      </c>
      <c r="D877" s="5" t="s">
        <v>5817</v>
      </c>
      <c r="E877" s="5" t="s">
        <v>4363</v>
      </c>
      <c r="F877" s="5" t="s">
        <v>3584</v>
      </c>
      <c r="G877" s="5" t="s">
        <v>3493</v>
      </c>
      <c r="H877" s="5"/>
      <c r="I877" s="5" t="s">
        <v>3448</v>
      </c>
      <c r="J877" s="5" t="s">
        <v>5818</v>
      </c>
      <c r="K877" s="5" t="s">
        <v>4363</v>
      </c>
      <c r="L877" s="5">
        <v>28</v>
      </c>
      <c r="M877" s="5">
        <v>3</v>
      </c>
      <c r="N877" s="5" t="s">
        <v>3585</v>
      </c>
      <c r="O877" s="5" t="s">
        <v>3494</v>
      </c>
      <c r="P877" s="5">
        <v>2</v>
      </c>
      <c r="Q877" s="5">
        <v>1</v>
      </c>
      <c r="R877" s="5"/>
      <c r="S877" s="5">
        <v>73</v>
      </c>
      <c r="T877" s="5">
        <v>73</v>
      </c>
      <c r="U877" s="5">
        <v>73</v>
      </c>
    </row>
    <row r="878" spans="1:21" x14ac:dyDescent="0.25">
      <c r="A878" s="5" t="s">
        <v>6111</v>
      </c>
      <c r="B878" s="5" t="s">
        <v>6112</v>
      </c>
      <c r="C878" s="5" t="s">
        <v>3548</v>
      </c>
      <c r="D878" s="5" t="s">
        <v>5817</v>
      </c>
      <c r="E878" s="5" t="s">
        <v>4363</v>
      </c>
      <c r="F878" s="5" t="s">
        <v>4004</v>
      </c>
      <c r="G878" s="5" t="s">
        <v>3493</v>
      </c>
      <c r="H878" s="5"/>
      <c r="I878" s="5" t="s">
        <v>3448</v>
      </c>
      <c r="J878" s="5" t="s">
        <v>5818</v>
      </c>
      <c r="K878" s="5" t="s">
        <v>4363</v>
      </c>
      <c r="L878" s="5">
        <v>28</v>
      </c>
      <c r="M878" s="5">
        <v>3</v>
      </c>
      <c r="N878" s="5" t="s">
        <v>4005</v>
      </c>
      <c r="O878" s="5" t="s">
        <v>3494</v>
      </c>
      <c r="P878" s="5">
        <v>2</v>
      </c>
      <c r="Q878" s="5">
        <v>1</v>
      </c>
      <c r="R878" s="5"/>
      <c r="S878" s="5">
        <v>72</v>
      </c>
      <c r="T878" s="5">
        <v>72</v>
      </c>
      <c r="U878" s="5">
        <v>72</v>
      </c>
    </row>
    <row r="879" spans="1:21" x14ac:dyDescent="0.25">
      <c r="A879" s="5" t="s">
        <v>6117</v>
      </c>
      <c r="B879" s="5" t="s">
        <v>6118</v>
      </c>
      <c r="C879" s="5" t="s">
        <v>3548</v>
      </c>
      <c r="D879" s="5" t="s">
        <v>5817</v>
      </c>
      <c r="E879" s="5" t="s">
        <v>4363</v>
      </c>
      <c r="F879" s="5" t="s">
        <v>3584</v>
      </c>
      <c r="G879" s="5" t="s">
        <v>3501</v>
      </c>
      <c r="H879" s="5"/>
      <c r="I879" s="5" t="s">
        <v>3448</v>
      </c>
      <c r="J879" s="5" t="s">
        <v>5818</v>
      </c>
      <c r="K879" s="5" t="s">
        <v>4363</v>
      </c>
      <c r="L879" s="5">
        <v>28</v>
      </c>
      <c r="M879" s="5">
        <v>4</v>
      </c>
      <c r="N879" s="5" t="s">
        <v>3585</v>
      </c>
      <c r="O879" s="5" t="s">
        <v>3502</v>
      </c>
      <c r="P879" s="5">
        <v>2</v>
      </c>
      <c r="Q879" s="5">
        <v>1</v>
      </c>
      <c r="R879" s="5"/>
      <c r="S879" s="5">
        <v>112</v>
      </c>
      <c r="T879" s="5">
        <v>112</v>
      </c>
      <c r="U879" s="5">
        <v>112</v>
      </c>
    </row>
    <row r="880" spans="1:21" x14ac:dyDescent="0.25">
      <c r="A880" s="5" t="s">
        <v>6119</v>
      </c>
      <c r="B880" s="5" t="s">
        <v>6120</v>
      </c>
      <c r="C880" s="5" t="s">
        <v>3548</v>
      </c>
      <c r="D880" s="5" t="s">
        <v>5817</v>
      </c>
      <c r="E880" s="5" t="s">
        <v>4363</v>
      </c>
      <c r="F880" s="5" t="s">
        <v>3584</v>
      </c>
      <c r="G880" s="5" t="s">
        <v>3493</v>
      </c>
      <c r="H880" s="5"/>
      <c r="I880" s="5" t="s">
        <v>3448</v>
      </c>
      <c r="J880" s="5" t="s">
        <v>5818</v>
      </c>
      <c r="K880" s="5" t="s">
        <v>4363</v>
      </c>
      <c r="L880" s="5">
        <v>28</v>
      </c>
      <c r="M880" s="5">
        <v>4</v>
      </c>
      <c r="N880" s="5" t="s">
        <v>3585</v>
      </c>
      <c r="O880" s="5" t="s">
        <v>3494</v>
      </c>
      <c r="P880" s="5">
        <v>2</v>
      </c>
      <c r="Q880" s="5">
        <v>1</v>
      </c>
      <c r="R880" s="5"/>
      <c r="S880" s="5">
        <v>94</v>
      </c>
      <c r="T880" s="5">
        <v>94</v>
      </c>
      <c r="U880" s="5">
        <v>94</v>
      </c>
    </row>
    <row r="881" spans="1:21" x14ac:dyDescent="0.25">
      <c r="A881" s="5" t="s">
        <v>6125</v>
      </c>
      <c r="B881" s="5" t="s">
        <v>6126</v>
      </c>
      <c r="C881" s="5" t="s">
        <v>3548</v>
      </c>
      <c r="D881" s="5" t="s">
        <v>5817</v>
      </c>
      <c r="E881" s="5" t="s">
        <v>4363</v>
      </c>
      <c r="F881" s="5" t="s">
        <v>4004</v>
      </c>
      <c r="G881" s="5" t="s">
        <v>3493</v>
      </c>
      <c r="H881" s="5"/>
      <c r="I881" s="5" t="s">
        <v>3448</v>
      </c>
      <c r="J881" s="5" t="s">
        <v>5818</v>
      </c>
      <c r="K881" s="5" t="s">
        <v>4363</v>
      </c>
      <c r="L881" s="5">
        <v>28</v>
      </c>
      <c r="M881" s="5">
        <v>4</v>
      </c>
      <c r="N881" s="5" t="s">
        <v>4005</v>
      </c>
      <c r="O881" s="5" t="s">
        <v>3494</v>
      </c>
      <c r="P881" s="5">
        <v>2</v>
      </c>
      <c r="Q881" s="5">
        <v>1</v>
      </c>
      <c r="R881" s="5"/>
      <c r="S881" s="5">
        <v>96</v>
      </c>
      <c r="T881" s="5">
        <v>96</v>
      </c>
      <c r="U881" s="5">
        <v>96</v>
      </c>
    </row>
    <row r="882" spans="1:21" x14ac:dyDescent="0.25">
      <c r="A882" s="5" t="s">
        <v>6131</v>
      </c>
      <c r="B882" s="5" t="s">
        <v>6132</v>
      </c>
      <c r="C882" s="5" t="s">
        <v>3548</v>
      </c>
      <c r="D882" s="5" t="s">
        <v>5817</v>
      </c>
      <c r="E882" s="5" t="s">
        <v>4363</v>
      </c>
      <c r="F882" s="5" t="s">
        <v>3584</v>
      </c>
      <c r="G882" s="5" t="s">
        <v>3501</v>
      </c>
      <c r="H882" s="5"/>
      <c r="I882" s="5" t="s">
        <v>3448</v>
      </c>
      <c r="J882" s="5" t="s">
        <v>5818</v>
      </c>
      <c r="K882" s="5" t="s">
        <v>4363</v>
      </c>
      <c r="L882" s="5">
        <v>30</v>
      </c>
      <c r="M882" s="5">
        <v>1</v>
      </c>
      <c r="N882" s="5" t="s">
        <v>3585</v>
      </c>
      <c r="O882" s="5" t="s">
        <v>3502</v>
      </c>
      <c r="P882" s="5">
        <v>2</v>
      </c>
      <c r="Q882" s="5">
        <v>1</v>
      </c>
      <c r="R882" s="5"/>
      <c r="S882" s="5">
        <v>30</v>
      </c>
      <c r="T882" s="5">
        <v>30</v>
      </c>
      <c r="U882" s="5">
        <v>30</v>
      </c>
    </row>
    <row r="883" spans="1:21" x14ac:dyDescent="0.25">
      <c r="A883" s="5" t="s">
        <v>6133</v>
      </c>
      <c r="B883" s="5" t="s">
        <v>6134</v>
      </c>
      <c r="C883" s="5" t="s">
        <v>3548</v>
      </c>
      <c r="D883" s="5" t="s">
        <v>5817</v>
      </c>
      <c r="E883" s="5" t="s">
        <v>4363</v>
      </c>
      <c r="F883" s="5" t="s">
        <v>3584</v>
      </c>
      <c r="G883" s="5" t="s">
        <v>3493</v>
      </c>
      <c r="H883" s="5"/>
      <c r="I883" s="5" t="s">
        <v>3448</v>
      </c>
      <c r="J883" s="5" t="s">
        <v>5818</v>
      </c>
      <c r="K883" s="5" t="s">
        <v>4363</v>
      </c>
      <c r="L883" s="5">
        <v>30</v>
      </c>
      <c r="M883" s="5">
        <v>1</v>
      </c>
      <c r="N883" s="5" t="s">
        <v>3585</v>
      </c>
      <c r="O883" s="5" t="s">
        <v>3494</v>
      </c>
      <c r="P883" s="5">
        <v>2</v>
      </c>
      <c r="Q883" s="5">
        <v>1</v>
      </c>
      <c r="R883" s="5"/>
      <c r="S883" s="5">
        <v>24</v>
      </c>
      <c r="T883" s="5">
        <v>24</v>
      </c>
      <c r="U883" s="5">
        <v>24</v>
      </c>
    </row>
    <row r="884" spans="1:21" x14ac:dyDescent="0.25">
      <c r="A884" s="5" t="s">
        <v>6137</v>
      </c>
      <c r="B884" s="5" t="s">
        <v>6138</v>
      </c>
      <c r="C884" s="5" t="s">
        <v>3548</v>
      </c>
      <c r="D884" s="5" t="s">
        <v>5817</v>
      </c>
      <c r="E884" s="5" t="s">
        <v>4363</v>
      </c>
      <c r="F884" s="5" t="s">
        <v>3584</v>
      </c>
      <c r="G884" s="5" t="s">
        <v>3501</v>
      </c>
      <c r="H884" s="5"/>
      <c r="I884" s="5" t="s">
        <v>3448</v>
      </c>
      <c r="J884" s="5" t="s">
        <v>5818</v>
      </c>
      <c r="K884" s="5" t="s">
        <v>4363</v>
      </c>
      <c r="L884" s="5">
        <v>30</v>
      </c>
      <c r="M884" s="5">
        <v>2</v>
      </c>
      <c r="N884" s="5" t="s">
        <v>3585</v>
      </c>
      <c r="O884" s="5" t="s">
        <v>3502</v>
      </c>
      <c r="P884" s="5">
        <v>2</v>
      </c>
      <c r="Q884" s="5">
        <v>1</v>
      </c>
      <c r="R884" s="5"/>
      <c r="S884" s="5">
        <v>57</v>
      </c>
      <c r="T884" s="5">
        <v>57</v>
      </c>
      <c r="U884" s="5">
        <v>57</v>
      </c>
    </row>
    <row r="885" spans="1:21" x14ac:dyDescent="0.25">
      <c r="A885" s="5" t="s">
        <v>6139</v>
      </c>
      <c r="B885" s="5" t="s">
        <v>6140</v>
      </c>
      <c r="C885" s="5" t="s">
        <v>3548</v>
      </c>
      <c r="D885" s="5" t="s">
        <v>5817</v>
      </c>
      <c r="E885" s="5" t="s">
        <v>4363</v>
      </c>
      <c r="F885" s="5" t="s">
        <v>3584</v>
      </c>
      <c r="G885" s="5" t="s">
        <v>3493</v>
      </c>
      <c r="H885" s="5"/>
      <c r="I885" s="5" t="s">
        <v>3448</v>
      </c>
      <c r="J885" s="5" t="s">
        <v>5818</v>
      </c>
      <c r="K885" s="5" t="s">
        <v>4363</v>
      </c>
      <c r="L885" s="5">
        <v>30</v>
      </c>
      <c r="M885" s="5">
        <v>2</v>
      </c>
      <c r="N885" s="5" t="s">
        <v>3585</v>
      </c>
      <c r="O885" s="5" t="s">
        <v>3494</v>
      </c>
      <c r="P885" s="5">
        <v>2</v>
      </c>
      <c r="Q885" s="5">
        <v>1</v>
      </c>
      <c r="R885" s="5"/>
      <c r="S885" s="5">
        <v>48</v>
      </c>
      <c r="T885" s="5">
        <v>48</v>
      </c>
      <c r="U885" s="5">
        <v>48</v>
      </c>
    </row>
    <row r="886" spans="1:21" x14ac:dyDescent="0.25">
      <c r="A886" s="5" t="s">
        <v>6145</v>
      </c>
      <c r="B886" s="5" t="s">
        <v>6146</v>
      </c>
      <c r="C886" s="5" t="s">
        <v>3548</v>
      </c>
      <c r="D886" s="5" t="s">
        <v>5817</v>
      </c>
      <c r="E886" s="5" t="s">
        <v>4363</v>
      </c>
      <c r="F886" s="5" t="s">
        <v>4004</v>
      </c>
      <c r="G886" s="5" t="s">
        <v>3501</v>
      </c>
      <c r="H886" s="5"/>
      <c r="I886" s="5" t="s">
        <v>3448</v>
      </c>
      <c r="J886" s="5" t="s">
        <v>5818</v>
      </c>
      <c r="K886" s="5" t="s">
        <v>4363</v>
      </c>
      <c r="L886" s="5">
        <v>30</v>
      </c>
      <c r="M886" s="5">
        <v>2</v>
      </c>
      <c r="N886" s="5" t="s">
        <v>4005</v>
      </c>
      <c r="O886" s="5" t="s">
        <v>3502</v>
      </c>
      <c r="P886" s="5">
        <v>2</v>
      </c>
      <c r="Q886" s="5">
        <v>1</v>
      </c>
      <c r="R886" s="5"/>
      <c r="S886" s="5">
        <v>54</v>
      </c>
      <c r="T886" s="5">
        <v>54</v>
      </c>
      <c r="U886" s="5">
        <v>54</v>
      </c>
    </row>
    <row r="887" spans="1:21" x14ac:dyDescent="0.25">
      <c r="A887" s="5" t="s">
        <v>6147</v>
      </c>
      <c r="B887" s="5" t="s">
        <v>6148</v>
      </c>
      <c r="C887" s="5" t="s">
        <v>3548</v>
      </c>
      <c r="D887" s="5" t="s">
        <v>5817</v>
      </c>
      <c r="E887" s="5" t="s">
        <v>4363</v>
      </c>
      <c r="F887" s="5" t="s">
        <v>4004</v>
      </c>
      <c r="G887" s="5" t="s">
        <v>3493</v>
      </c>
      <c r="H887" s="5"/>
      <c r="I887" s="5" t="s">
        <v>3448</v>
      </c>
      <c r="J887" s="5" t="s">
        <v>5818</v>
      </c>
      <c r="K887" s="5" t="s">
        <v>4363</v>
      </c>
      <c r="L887" s="5">
        <v>30</v>
      </c>
      <c r="M887" s="5">
        <v>2</v>
      </c>
      <c r="N887" s="5" t="s">
        <v>4005</v>
      </c>
      <c r="O887" s="5" t="s">
        <v>3494</v>
      </c>
      <c r="P887" s="5">
        <v>2</v>
      </c>
      <c r="Q887" s="5">
        <v>1</v>
      </c>
      <c r="R887" s="5"/>
      <c r="S887" s="5">
        <v>46</v>
      </c>
      <c r="T887" s="5">
        <v>46</v>
      </c>
      <c r="U887" s="5">
        <v>46</v>
      </c>
    </row>
    <row r="888" spans="1:21" x14ac:dyDescent="0.25">
      <c r="A888" s="5" t="s">
        <v>6149</v>
      </c>
      <c r="B888" s="5" t="s">
        <v>6150</v>
      </c>
      <c r="C888" s="5" t="s">
        <v>3548</v>
      </c>
      <c r="D888" s="5" t="s">
        <v>5817</v>
      </c>
      <c r="E888" s="5" t="s">
        <v>4363</v>
      </c>
      <c r="F888" s="5" t="s">
        <v>4004</v>
      </c>
      <c r="G888" s="5" t="s">
        <v>3501</v>
      </c>
      <c r="H888" s="5"/>
      <c r="I888" s="5" t="s">
        <v>3448</v>
      </c>
      <c r="J888" s="5" t="s">
        <v>5818</v>
      </c>
      <c r="K888" s="5" t="s">
        <v>4363</v>
      </c>
      <c r="L888" s="5">
        <v>30</v>
      </c>
      <c r="M888" s="5">
        <v>1</v>
      </c>
      <c r="N888" s="5" t="s">
        <v>4005</v>
      </c>
      <c r="O888" s="5" t="s">
        <v>3502</v>
      </c>
      <c r="P888" s="5">
        <v>2</v>
      </c>
      <c r="Q888" s="5">
        <v>1</v>
      </c>
      <c r="R888" s="5"/>
      <c r="S888" s="5">
        <v>30</v>
      </c>
      <c r="T888" s="5">
        <v>30</v>
      </c>
      <c r="U888" s="5">
        <v>30</v>
      </c>
    </row>
    <row r="889" spans="1:21" x14ac:dyDescent="0.25">
      <c r="A889" s="5" t="s">
        <v>6151</v>
      </c>
      <c r="B889" s="5" t="s">
        <v>6152</v>
      </c>
      <c r="C889" s="5" t="s">
        <v>3548</v>
      </c>
      <c r="D889" s="5" t="s">
        <v>5817</v>
      </c>
      <c r="E889" s="5" t="s">
        <v>4363</v>
      </c>
      <c r="F889" s="5" t="s">
        <v>4004</v>
      </c>
      <c r="G889" s="5" t="s">
        <v>3493</v>
      </c>
      <c r="H889" s="5"/>
      <c r="I889" s="5" t="s">
        <v>3448</v>
      </c>
      <c r="J889" s="5" t="s">
        <v>5818</v>
      </c>
      <c r="K889" s="5" t="s">
        <v>4363</v>
      </c>
      <c r="L889" s="5">
        <v>30</v>
      </c>
      <c r="M889" s="5">
        <v>1</v>
      </c>
      <c r="N889" s="5" t="s">
        <v>4005</v>
      </c>
      <c r="O889" s="5" t="s">
        <v>3494</v>
      </c>
      <c r="P889" s="5">
        <v>2</v>
      </c>
      <c r="Q889" s="5">
        <v>1</v>
      </c>
      <c r="R889" s="5"/>
      <c r="S889" s="5">
        <v>24</v>
      </c>
      <c r="T889" s="5">
        <v>24</v>
      </c>
      <c r="U889" s="5">
        <v>24</v>
      </c>
    </row>
    <row r="890" spans="1:21" x14ac:dyDescent="0.25">
      <c r="A890" s="5" t="s">
        <v>6153</v>
      </c>
      <c r="B890" s="5" t="s">
        <v>6154</v>
      </c>
      <c r="C890" s="5" t="s">
        <v>3548</v>
      </c>
      <c r="D890" s="5" t="s">
        <v>5817</v>
      </c>
      <c r="E890" s="5" t="s">
        <v>4363</v>
      </c>
      <c r="F890" s="5" t="s">
        <v>3584</v>
      </c>
      <c r="G890" s="5" t="s">
        <v>3493</v>
      </c>
      <c r="H890" s="5"/>
      <c r="I890" s="5" t="s">
        <v>3448</v>
      </c>
      <c r="J890" s="5" t="s">
        <v>5818</v>
      </c>
      <c r="K890" s="5" t="s">
        <v>4363</v>
      </c>
      <c r="L890" s="5">
        <v>30</v>
      </c>
      <c r="M890" s="5">
        <v>4</v>
      </c>
      <c r="N890" s="5" t="s">
        <v>3585</v>
      </c>
      <c r="O890" s="5" t="s">
        <v>3494</v>
      </c>
      <c r="P890" s="5">
        <v>2</v>
      </c>
      <c r="Q890" s="5">
        <v>1</v>
      </c>
      <c r="R890" s="5"/>
      <c r="S890" s="5">
        <v>94</v>
      </c>
      <c r="T890" s="5">
        <v>94</v>
      </c>
      <c r="U890" s="5">
        <v>94</v>
      </c>
    </row>
    <row r="891" spans="1:21" x14ac:dyDescent="0.25">
      <c r="A891" s="5" t="s">
        <v>6159</v>
      </c>
      <c r="B891" s="5" t="s">
        <v>6160</v>
      </c>
      <c r="C891" s="5" t="s">
        <v>3548</v>
      </c>
      <c r="D891" s="5" t="s">
        <v>5817</v>
      </c>
      <c r="E891" s="5" t="s">
        <v>4363</v>
      </c>
      <c r="F891" s="5" t="s">
        <v>4004</v>
      </c>
      <c r="G891" s="5" t="s">
        <v>3493</v>
      </c>
      <c r="H891" s="5"/>
      <c r="I891" s="5" t="s">
        <v>3448</v>
      </c>
      <c r="J891" s="5" t="s">
        <v>5818</v>
      </c>
      <c r="K891" s="5" t="s">
        <v>4363</v>
      </c>
      <c r="L891" s="5">
        <v>30</v>
      </c>
      <c r="M891" s="5">
        <v>4</v>
      </c>
      <c r="N891" s="5" t="s">
        <v>4005</v>
      </c>
      <c r="O891" s="5" t="s">
        <v>3494</v>
      </c>
      <c r="P891" s="5">
        <v>2</v>
      </c>
      <c r="Q891" s="5">
        <v>1</v>
      </c>
      <c r="R891" s="5"/>
      <c r="S891" s="5">
        <v>104</v>
      </c>
      <c r="T891" s="5">
        <v>104</v>
      </c>
      <c r="U891" s="5">
        <v>104</v>
      </c>
    </row>
    <row r="892" spans="1:21" x14ac:dyDescent="0.25">
      <c r="A892" s="5" t="s">
        <v>6165</v>
      </c>
      <c r="B892" s="5" t="s">
        <v>6166</v>
      </c>
      <c r="C892" s="5" t="s">
        <v>3548</v>
      </c>
      <c r="D892" s="5" t="s">
        <v>5817</v>
      </c>
      <c r="E892" s="5" t="s">
        <v>4363</v>
      </c>
      <c r="F892" s="5" t="s">
        <v>3584</v>
      </c>
      <c r="G892" s="5" t="s">
        <v>3501</v>
      </c>
      <c r="H892" s="5"/>
      <c r="I892" s="5" t="s">
        <v>3448</v>
      </c>
      <c r="J892" s="5" t="s">
        <v>5818</v>
      </c>
      <c r="K892" s="5" t="s">
        <v>4363</v>
      </c>
      <c r="L892" s="5">
        <v>32</v>
      </c>
      <c r="M892" s="5">
        <v>1</v>
      </c>
      <c r="N892" s="5" t="s">
        <v>3585</v>
      </c>
      <c r="O892" s="5" t="s">
        <v>3502</v>
      </c>
      <c r="P892" s="5">
        <v>2</v>
      </c>
      <c r="Q892" s="5">
        <v>1</v>
      </c>
      <c r="R892" s="5"/>
      <c r="S892" s="5">
        <v>35</v>
      </c>
      <c r="T892" s="5">
        <v>35</v>
      </c>
      <c r="U892" s="5">
        <v>35</v>
      </c>
    </row>
    <row r="893" spans="1:21" x14ac:dyDescent="0.25">
      <c r="A893" s="5" t="s">
        <v>6167</v>
      </c>
      <c r="B893" s="5" t="s">
        <v>6168</v>
      </c>
      <c r="C893" s="5" t="s">
        <v>3548</v>
      </c>
      <c r="D893" s="5" t="s">
        <v>5817</v>
      </c>
      <c r="E893" s="5" t="s">
        <v>4363</v>
      </c>
      <c r="F893" s="5" t="s">
        <v>3584</v>
      </c>
      <c r="G893" s="5" t="s">
        <v>3493</v>
      </c>
      <c r="H893" s="5"/>
      <c r="I893" s="5" t="s">
        <v>3448</v>
      </c>
      <c r="J893" s="5" t="s">
        <v>5818</v>
      </c>
      <c r="K893" s="5" t="s">
        <v>4363</v>
      </c>
      <c r="L893" s="5">
        <v>32</v>
      </c>
      <c r="M893" s="5">
        <v>1</v>
      </c>
      <c r="N893" s="5" t="s">
        <v>3585</v>
      </c>
      <c r="O893" s="5" t="s">
        <v>3494</v>
      </c>
      <c r="P893" s="5">
        <v>2</v>
      </c>
      <c r="Q893" s="5">
        <v>1</v>
      </c>
      <c r="R893" s="5"/>
      <c r="S893" s="5">
        <v>29</v>
      </c>
      <c r="T893" s="5">
        <v>29</v>
      </c>
      <c r="U893" s="5">
        <v>29</v>
      </c>
    </row>
    <row r="894" spans="1:21" x14ac:dyDescent="0.25">
      <c r="A894" s="5" t="s">
        <v>6173</v>
      </c>
      <c r="B894" s="5" t="s">
        <v>6174</v>
      </c>
      <c r="C894" s="5" t="s">
        <v>3548</v>
      </c>
      <c r="D894" s="5" t="s">
        <v>5817</v>
      </c>
      <c r="E894" s="5" t="s">
        <v>4363</v>
      </c>
      <c r="F894" s="5" t="s">
        <v>4390</v>
      </c>
      <c r="G894" s="5" t="s">
        <v>3501</v>
      </c>
      <c r="H894" s="5"/>
      <c r="I894" s="5" t="s">
        <v>3448</v>
      </c>
      <c r="J894" s="5" t="s">
        <v>5818</v>
      </c>
      <c r="K894" s="5" t="s">
        <v>4363</v>
      </c>
      <c r="L894" s="5">
        <v>32</v>
      </c>
      <c r="M894" s="5">
        <v>1</v>
      </c>
      <c r="N894" s="5" t="s">
        <v>4391</v>
      </c>
      <c r="O894" s="5" t="s">
        <v>3502</v>
      </c>
      <c r="P894" s="5">
        <v>2</v>
      </c>
      <c r="Q894" s="5">
        <v>1</v>
      </c>
      <c r="R894" s="5"/>
      <c r="S894" s="5">
        <v>34</v>
      </c>
      <c r="T894" s="5">
        <v>34</v>
      </c>
      <c r="U894" s="5">
        <v>34</v>
      </c>
    </row>
    <row r="895" spans="1:21" x14ac:dyDescent="0.25">
      <c r="A895" s="5" t="s">
        <v>6175</v>
      </c>
      <c r="B895" s="5" t="s">
        <v>6176</v>
      </c>
      <c r="C895" s="5" t="s">
        <v>3548</v>
      </c>
      <c r="D895" s="5" t="s">
        <v>5817</v>
      </c>
      <c r="E895" s="5" t="s">
        <v>4363</v>
      </c>
      <c r="F895" s="5" t="s">
        <v>4390</v>
      </c>
      <c r="G895" s="5" t="s">
        <v>3493</v>
      </c>
      <c r="H895" s="5"/>
      <c r="I895" s="5" t="s">
        <v>3448</v>
      </c>
      <c r="J895" s="5" t="s">
        <v>5818</v>
      </c>
      <c r="K895" s="5" t="s">
        <v>4363</v>
      </c>
      <c r="L895" s="5">
        <v>32</v>
      </c>
      <c r="M895" s="5">
        <v>1</v>
      </c>
      <c r="N895" s="5" t="s">
        <v>4391</v>
      </c>
      <c r="O895" s="5" t="s">
        <v>3494</v>
      </c>
      <c r="P895" s="5">
        <v>2</v>
      </c>
      <c r="Q895" s="5">
        <v>1</v>
      </c>
      <c r="R895" s="5"/>
      <c r="S895" s="5">
        <v>28</v>
      </c>
      <c r="T895" s="5">
        <v>28</v>
      </c>
      <c r="U895" s="5">
        <v>28</v>
      </c>
    </row>
    <row r="896" spans="1:21" x14ac:dyDescent="0.25">
      <c r="A896" s="5" t="s">
        <v>6179</v>
      </c>
      <c r="B896" s="5" t="s">
        <v>6180</v>
      </c>
      <c r="C896" s="5" t="s">
        <v>3548</v>
      </c>
      <c r="D896" s="5" t="s">
        <v>5817</v>
      </c>
      <c r="E896" s="5" t="s">
        <v>4363</v>
      </c>
      <c r="F896" s="5" t="s">
        <v>3584</v>
      </c>
      <c r="G896" s="5" t="s">
        <v>3501</v>
      </c>
      <c r="H896" s="5"/>
      <c r="I896" s="5" t="s">
        <v>3448</v>
      </c>
      <c r="J896" s="5" t="s">
        <v>5818</v>
      </c>
      <c r="K896" s="5" t="s">
        <v>4363</v>
      </c>
      <c r="L896" s="5">
        <v>32</v>
      </c>
      <c r="M896" s="5">
        <v>2</v>
      </c>
      <c r="N896" s="5" t="s">
        <v>3585</v>
      </c>
      <c r="O896" s="5" t="s">
        <v>3502</v>
      </c>
      <c r="P896" s="5">
        <v>2</v>
      </c>
      <c r="Q896" s="5">
        <v>1</v>
      </c>
      <c r="R896" s="5"/>
      <c r="S896" s="5">
        <v>65</v>
      </c>
      <c r="T896" s="5">
        <v>65</v>
      </c>
      <c r="U896" s="5">
        <v>65</v>
      </c>
    </row>
    <row r="897" spans="1:21" x14ac:dyDescent="0.25">
      <c r="A897" s="5" t="s">
        <v>6181</v>
      </c>
      <c r="B897" s="5" t="s">
        <v>6182</v>
      </c>
      <c r="C897" s="5" t="s">
        <v>3548</v>
      </c>
      <c r="D897" s="5" t="s">
        <v>5817</v>
      </c>
      <c r="E897" s="5" t="s">
        <v>4363</v>
      </c>
      <c r="F897" s="5" t="s">
        <v>3584</v>
      </c>
      <c r="G897" s="5" t="s">
        <v>3493</v>
      </c>
      <c r="H897" s="5"/>
      <c r="I897" s="5" t="s">
        <v>3448</v>
      </c>
      <c r="J897" s="5" t="s">
        <v>5818</v>
      </c>
      <c r="K897" s="5" t="s">
        <v>4363</v>
      </c>
      <c r="L897" s="5">
        <v>32</v>
      </c>
      <c r="M897" s="5">
        <v>2</v>
      </c>
      <c r="N897" s="5" t="s">
        <v>3585</v>
      </c>
      <c r="O897" s="5" t="s">
        <v>3494</v>
      </c>
      <c r="P897" s="5">
        <v>2</v>
      </c>
      <c r="Q897" s="5">
        <v>1</v>
      </c>
      <c r="R897" s="5"/>
      <c r="S897" s="5">
        <v>59</v>
      </c>
      <c r="T897" s="5">
        <v>59</v>
      </c>
      <c r="U897" s="5">
        <v>59</v>
      </c>
    </row>
    <row r="898" spans="1:21" x14ac:dyDescent="0.25">
      <c r="A898" s="5" t="s">
        <v>6195</v>
      </c>
      <c r="B898" s="5" t="s">
        <v>6196</v>
      </c>
      <c r="C898" s="5" t="s">
        <v>3548</v>
      </c>
      <c r="D898" s="5" t="s">
        <v>5817</v>
      </c>
      <c r="E898" s="5" t="s">
        <v>4363</v>
      </c>
      <c r="F898" s="5" t="s">
        <v>4390</v>
      </c>
      <c r="G898" s="5" t="s">
        <v>3501</v>
      </c>
      <c r="H898" s="5"/>
      <c r="I898" s="5" t="s">
        <v>3448</v>
      </c>
      <c r="J898" s="5" t="s">
        <v>5818</v>
      </c>
      <c r="K898" s="5" t="s">
        <v>4363</v>
      </c>
      <c r="L898" s="5">
        <v>32</v>
      </c>
      <c r="M898" s="5">
        <v>2</v>
      </c>
      <c r="N898" s="5" t="s">
        <v>4391</v>
      </c>
      <c r="O898" s="5" t="s">
        <v>3502</v>
      </c>
      <c r="P898" s="5">
        <v>2</v>
      </c>
      <c r="Q898" s="5">
        <v>1</v>
      </c>
      <c r="R898" s="5"/>
      <c r="S898" s="5">
        <v>62</v>
      </c>
      <c r="T898" s="5">
        <v>62</v>
      </c>
      <c r="U898" s="5">
        <v>62</v>
      </c>
    </row>
    <row r="899" spans="1:21" x14ac:dyDescent="0.25">
      <c r="A899" s="5" t="s">
        <v>6197</v>
      </c>
      <c r="B899" s="5" t="s">
        <v>6198</v>
      </c>
      <c r="C899" s="5" t="s">
        <v>3548</v>
      </c>
      <c r="D899" s="5" t="s">
        <v>5817</v>
      </c>
      <c r="E899" s="5" t="s">
        <v>4363</v>
      </c>
      <c r="F899" s="5" t="s">
        <v>4390</v>
      </c>
      <c r="G899" s="5" t="s">
        <v>3493</v>
      </c>
      <c r="H899" s="5"/>
      <c r="I899" s="5" t="s">
        <v>3448</v>
      </c>
      <c r="J899" s="5" t="s">
        <v>5818</v>
      </c>
      <c r="K899" s="5" t="s">
        <v>4363</v>
      </c>
      <c r="L899" s="5">
        <v>32</v>
      </c>
      <c r="M899" s="5">
        <v>2</v>
      </c>
      <c r="N899" s="5" t="s">
        <v>4391</v>
      </c>
      <c r="O899" s="5" t="s">
        <v>3494</v>
      </c>
      <c r="P899" s="5">
        <v>2</v>
      </c>
      <c r="Q899" s="5">
        <v>1</v>
      </c>
      <c r="R899" s="5"/>
      <c r="S899" s="5">
        <v>55</v>
      </c>
      <c r="T899" s="5">
        <v>55</v>
      </c>
      <c r="U899" s="5">
        <v>55</v>
      </c>
    </row>
    <row r="900" spans="1:21" x14ac:dyDescent="0.25">
      <c r="A900" s="5" t="s">
        <v>6201</v>
      </c>
      <c r="B900" s="5" t="s">
        <v>6202</v>
      </c>
      <c r="C900" s="5" t="s">
        <v>3548</v>
      </c>
      <c r="D900" s="5" t="s">
        <v>5817</v>
      </c>
      <c r="E900" s="5" t="s">
        <v>4363</v>
      </c>
      <c r="F900" s="5" t="s">
        <v>4004</v>
      </c>
      <c r="G900" s="5" t="s">
        <v>3501</v>
      </c>
      <c r="H900" s="5"/>
      <c r="I900" s="5" t="s">
        <v>3448</v>
      </c>
      <c r="J900" s="5" t="s">
        <v>5818</v>
      </c>
      <c r="K900" s="5" t="s">
        <v>4363</v>
      </c>
      <c r="L900" s="5">
        <v>32</v>
      </c>
      <c r="M900" s="5">
        <v>2</v>
      </c>
      <c r="N900" s="5" t="s">
        <v>4005</v>
      </c>
      <c r="O900" s="5" t="s">
        <v>3502</v>
      </c>
      <c r="P900" s="5">
        <v>2</v>
      </c>
      <c r="Q900" s="5">
        <v>1</v>
      </c>
      <c r="R900" s="5"/>
      <c r="S900" s="5">
        <v>63</v>
      </c>
      <c r="T900" s="5">
        <v>63</v>
      </c>
      <c r="U900" s="5">
        <v>63</v>
      </c>
    </row>
    <row r="901" spans="1:21" x14ac:dyDescent="0.25">
      <c r="A901" s="5" t="s">
        <v>6203</v>
      </c>
      <c r="B901" s="5" t="s">
        <v>6204</v>
      </c>
      <c r="C901" s="5" t="s">
        <v>3548</v>
      </c>
      <c r="D901" s="5" t="s">
        <v>5817</v>
      </c>
      <c r="E901" s="5" t="s">
        <v>4363</v>
      </c>
      <c r="F901" s="5" t="s">
        <v>4004</v>
      </c>
      <c r="G901" s="5" t="s">
        <v>3493</v>
      </c>
      <c r="H901" s="5"/>
      <c r="I901" s="5" t="s">
        <v>3448</v>
      </c>
      <c r="J901" s="5" t="s">
        <v>5818</v>
      </c>
      <c r="K901" s="5" t="s">
        <v>4363</v>
      </c>
      <c r="L901" s="5">
        <v>32</v>
      </c>
      <c r="M901" s="5">
        <v>2</v>
      </c>
      <c r="N901" s="5" t="s">
        <v>4005</v>
      </c>
      <c r="O901" s="5" t="s">
        <v>3494</v>
      </c>
      <c r="P901" s="5">
        <v>2</v>
      </c>
      <c r="Q901" s="5">
        <v>1</v>
      </c>
      <c r="R901" s="5"/>
      <c r="S901" s="5">
        <v>60</v>
      </c>
      <c r="T901" s="5">
        <v>60</v>
      </c>
      <c r="U901" s="5">
        <v>60</v>
      </c>
    </row>
    <row r="902" spans="1:21" x14ac:dyDescent="0.25">
      <c r="A902" s="5" t="s">
        <v>6209</v>
      </c>
      <c r="B902" s="5" t="s">
        <v>6210</v>
      </c>
      <c r="C902" s="5" t="s">
        <v>3548</v>
      </c>
      <c r="D902" s="5" t="s">
        <v>5817</v>
      </c>
      <c r="E902" s="5" t="s">
        <v>4363</v>
      </c>
      <c r="F902" s="5" t="s">
        <v>4421</v>
      </c>
      <c r="G902" s="5" t="s">
        <v>3493</v>
      </c>
      <c r="H902" s="5"/>
      <c r="I902" s="5" t="s">
        <v>3448</v>
      </c>
      <c r="J902" s="5" t="s">
        <v>5818</v>
      </c>
      <c r="K902" s="5" t="s">
        <v>4363</v>
      </c>
      <c r="L902" s="5">
        <v>32</v>
      </c>
      <c r="M902" s="5">
        <v>2</v>
      </c>
      <c r="N902" s="5" t="s">
        <v>4422</v>
      </c>
      <c r="O902" s="5" t="s">
        <v>3494</v>
      </c>
      <c r="P902" s="5">
        <v>2</v>
      </c>
      <c r="Q902" s="5">
        <v>1</v>
      </c>
      <c r="R902" s="5"/>
      <c r="S902" s="5">
        <v>58</v>
      </c>
      <c r="T902" s="5">
        <v>58</v>
      </c>
      <c r="U902" s="5">
        <v>58</v>
      </c>
    </row>
    <row r="903" spans="1:21" x14ac:dyDescent="0.25">
      <c r="A903" s="5" t="s">
        <v>6211</v>
      </c>
      <c r="B903" s="5" t="s">
        <v>6212</v>
      </c>
      <c r="C903" s="5" t="s">
        <v>3548</v>
      </c>
      <c r="D903" s="5" t="s">
        <v>5817</v>
      </c>
      <c r="E903" s="5" t="s">
        <v>4363</v>
      </c>
      <c r="F903" s="5" t="s">
        <v>4004</v>
      </c>
      <c r="G903" s="5" t="s">
        <v>3501</v>
      </c>
      <c r="H903" s="5"/>
      <c r="I903" s="5" t="s">
        <v>3448</v>
      </c>
      <c r="J903" s="5" t="s">
        <v>5818</v>
      </c>
      <c r="K903" s="5" t="s">
        <v>4363</v>
      </c>
      <c r="L903" s="5">
        <v>32</v>
      </c>
      <c r="M903" s="5">
        <v>1</v>
      </c>
      <c r="N903" s="5" t="s">
        <v>4005</v>
      </c>
      <c r="O903" s="5" t="s">
        <v>3502</v>
      </c>
      <c r="P903" s="5">
        <v>2</v>
      </c>
      <c r="Q903" s="5">
        <v>1</v>
      </c>
      <c r="R903" s="5"/>
      <c r="S903" s="5">
        <v>32</v>
      </c>
      <c r="T903" s="5">
        <v>32</v>
      </c>
      <c r="U903" s="5">
        <v>32</v>
      </c>
    </row>
    <row r="904" spans="1:21" x14ac:dyDescent="0.25">
      <c r="A904" s="5" t="s">
        <v>6213</v>
      </c>
      <c r="B904" s="5" t="s">
        <v>6214</v>
      </c>
      <c r="C904" s="5" t="s">
        <v>3548</v>
      </c>
      <c r="D904" s="5" t="s">
        <v>5817</v>
      </c>
      <c r="E904" s="5" t="s">
        <v>4363</v>
      </c>
      <c r="F904" s="5" t="s">
        <v>4004</v>
      </c>
      <c r="G904" s="5" t="s">
        <v>3493</v>
      </c>
      <c r="H904" s="5"/>
      <c r="I904" s="5" t="s">
        <v>3448</v>
      </c>
      <c r="J904" s="5" t="s">
        <v>5818</v>
      </c>
      <c r="K904" s="5" t="s">
        <v>4363</v>
      </c>
      <c r="L904" s="5">
        <v>32</v>
      </c>
      <c r="M904" s="5">
        <v>1</v>
      </c>
      <c r="N904" s="5" t="s">
        <v>4005</v>
      </c>
      <c r="O904" s="5" t="s">
        <v>3494</v>
      </c>
      <c r="P904" s="5">
        <v>2</v>
      </c>
      <c r="Q904" s="5">
        <v>1</v>
      </c>
      <c r="R904" s="5"/>
      <c r="S904" s="5">
        <v>30</v>
      </c>
      <c r="T904" s="5">
        <v>30</v>
      </c>
      <c r="U904" s="5">
        <v>30</v>
      </c>
    </row>
    <row r="905" spans="1:21" x14ac:dyDescent="0.25">
      <c r="A905" s="5" t="s">
        <v>6219</v>
      </c>
      <c r="B905" s="5" t="s">
        <v>6220</v>
      </c>
      <c r="C905" s="5" t="s">
        <v>3548</v>
      </c>
      <c r="D905" s="5" t="s">
        <v>5817</v>
      </c>
      <c r="E905" s="5" t="s">
        <v>4363</v>
      </c>
      <c r="F905" s="5" t="s">
        <v>4421</v>
      </c>
      <c r="G905" s="5" t="s">
        <v>3493</v>
      </c>
      <c r="H905" s="5"/>
      <c r="I905" s="5" t="s">
        <v>3448</v>
      </c>
      <c r="J905" s="5" t="s">
        <v>5818</v>
      </c>
      <c r="K905" s="5" t="s">
        <v>4363</v>
      </c>
      <c r="L905" s="5">
        <v>32</v>
      </c>
      <c r="M905" s="5">
        <v>1</v>
      </c>
      <c r="N905" s="5" t="s">
        <v>4422</v>
      </c>
      <c r="O905" s="5" t="s">
        <v>3494</v>
      </c>
      <c r="P905" s="5">
        <v>2</v>
      </c>
      <c r="Q905" s="5">
        <v>1</v>
      </c>
      <c r="R905" s="5"/>
      <c r="S905" s="5">
        <v>30</v>
      </c>
      <c r="T905" s="5">
        <v>30</v>
      </c>
      <c r="U905" s="5">
        <v>30</v>
      </c>
    </row>
    <row r="906" spans="1:21" x14ac:dyDescent="0.25">
      <c r="A906" s="5" t="s">
        <v>6221</v>
      </c>
      <c r="B906" s="5" t="s">
        <v>6222</v>
      </c>
      <c r="C906" s="5" t="s">
        <v>3548</v>
      </c>
      <c r="D906" s="5" t="s">
        <v>5817</v>
      </c>
      <c r="E906" s="5" t="s">
        <v>4363</v>
      </c>
      <c r="F906" s="5" t="s">
        <v>3584</v>
      </c>
      <c r="G906" s="5" t="s">
        <v>3501</v>
      </c>
      <c r="H906" s="5"/>
      <c r="I906" s="5" t="s">
        <v>3448</v>
      </c>
      <c r="J906" s="5" t="s">
        <v>5818</v>
      </c>
      <c r="K906" s="5" t="s">
        <v>4363</v>
      </c>
      <c r="L906" s="5">
        <v>32</v>
      </c>
      <c r="M906" s="5">
        <v>3</v>
      </c>
      <c r="N906" s="5" t="s">
        <v>3585</v>
      </c>
      <c r="O906" s="5" t="s">
        <v>3502</v>
      </c>
      <c r="P906" s="5">
        <v>2</v>
      </c>
      <c r="Q906" s="5">
        <v>1</v>
      </c>
      <c r="R906" s="5"/>
      <c r="S906" s="5">
        <v>90</v>
      </c>
      <c r="T906" s="5">
        <v>90</v>
      </c>
      <c r="U906" s="5">
        <v>90</v>
      </c>
    </row>
    <row r="907" spans="1:21" x14ac:dyDescent="0.25">
      <c r="A907" s="5" t="s">
        <v>6223</v>
      </c>
      <c r="B907" s="5" t="s">
        <v>6224</v>
      </c>
      <c r="C907" s="5" t="s">
        <v>3548</v>
      </c>
      <c r="D907" s="5" t="s">
        <v>5817</v>
      </c>
      <c r="E907" s="5" t="s">
        <v>4363</v>
      </c>
      <c r="F907" s="5" t="s">
        <v>3584</v>
      </c>
      <c r="G907" s="5" t="s">
        <v>3493</v>
      </c>
      <c r="H907" s="5"/>
      <c r="I907" s="5" t="s">
        <v>3448</v>
      </c>
      <c r="J907" s="5" t="s">
        <v>5818</v>
      </c>
      <c r="K907" s="5" t="s">
        <v>4363</v>
      </c>
      <c r="L907" s="5">
        <v>32</v>
      </c>
      <c r="M907" s="5">
        <v>3</v>
      </c>
      <c r="N907" s="5" t="s">
        <v>3585</v>
      </c>
      <c r="O907" s="5" t="s">
        <v>3494</v>
      </c>
      <c r="P907" s="5">
        <v>2</v>
      </c>
      <c r="Q907" s="5">
        <v>1</v>
      </c>
      <c r="R907" s="5"/>
      <c r="S907" s="5">
        <v>89</v>
      </c>
      <c r="T907" s="5">
        <v>89</v>
      </c>
      <c r="U907" s="5">
        <v>89</v>
      </c>
    </row>
    <row r="908" spans="1:21" x14ac:dyDescent="0.25">
      <c r="A908" s="5" t="s">
        <v>6229</v>
      </c>
      <c r="B908" s="5" t="s">
        <v>6230</v>
      </c>
      <c r="C908" s="5" t="s">
        <v>3548</v>
      </c>
      <c r="D908" s="5" t="s">
        <v>5817</v>
      </c>
      <c r="E908" s="5" t="s">
        <v>4363</v>
      </c>
      <c r="F908" s="5" t="s">
        <v>4390</v>
      </c>
      <c r="G908" s="5" t="s">
        <v>3493</v>
      </c>
      <c r="H908" s="5"/>
      <c r="I908" s="5" t="s">
        <v>3448</v>
      </c>
      <c r="J908" s="5" t="s">
        <v>5818</v>
      </c>
      <c r="K908" s="5" t="s">
        <v>4363</v>
      </c>
      <c r="L908" s="5">
        <v>32</v>
      </c>
      <c r="M908" s="5">
        <v>3</v>
      </c>
      <c r="N908" s="5" t="s">
        <v>4391</v>
      </c>
      <c r="O908" s="5" t="s">
        <v>3494</v>
      </c>
      <c r="P908" s="5">
        <v>2</v>
      </c>
      <c r="Q908" s="5">
        <v>1</v>
      </c>
      <c r="R908" s="5"/>
      <c r="S908" s="5">
        <v>83</v>
      </c>
      <c r="T908" s="5">
        <v>83</v>
      </c>
      <c r="U908" s="5">
        <v>83</v>
      </c>
    </row>
    <row r="909" spans="1:21" x14ac:dyDescent="0.25">
      <c r="A909" s="5" t="s">
        <v>6233</v>
      </c>
      <c r="B909" s="5" t="s">
        <v>6234</v>
      </c>
      <c r="C909" s="5" t="s">
        <v>3548</v>
      </c>
      <c r="D909" s="5" t="s">
        <v>5817</v>
      </c>
      <c r="E909" s="5" t="s">
        <v>4363</v>
      </c>
      <c r="F909" s="5" t="s">
        <v>4004</v>
      </c>
      <c r="G909" s="5" t="s">
        <v>3493</v>
      </c>
      <c r="H909" s="5"/>
      <c r="I909" s="5" t="s">
        <v>3448</v>
      </c>
      <c r="J909" s="5" t="s">
        <v>5818</v>
      </c>
      <c r="K909" s="5" t="s">
        <v>4363</v>
      </c>
      <c r="L909" s="5">
        <v>32</v>
      </c>
      <c r="M909" s="5">
        <v>3</v>
      </c>
      <c r="N909" s="5" t="s">
        <v>4005</v>
      </c>
      <c r="O909" s="5" t="s">
        <v>3494</v>
      </c>
      <c r="P909" s="5">
        <v>2</v>
      </c>
      <c r="Q909" s="5">
        <v>1</v>
      </c>
      <c r="R909" s="5"/>
      <c r="S909" s="5">
        <v>84</v>
      </c>
      <c r="T909" s="5">
        <v>84</v>
      </c>
      <c r="U909" s="5">
        <v>84</v>
      </c>
    </row>
    <row r="910" spans="1:21" x14ac:dyDescent="0.25">
      <c r="A910" s="5" t="s">
        <v>6237</v>
      </c>
      <c r="B910" s="5" t="s">
        <v>6238</v>
      </c>
      <c r="C910" s="5" t="s">
        <v>3548</v>
      </c>
      <c r="D910" s="5" t="s">
        <v>5817</v>
      </c>
      <c r="E910" s="5" t="s">
        <v>4363</v>
      </c>
      <c r="F910" s="5" t="s">
        <v>3584</v>
      </c>
      <c r="G910" s="5" t="s">
        <v>3501</v>
      </c>
      <c r="H910" s="5"/>
      <c r="I910" s="5" t="s">
        <v>3448</v>
      </c>
      <c r="J910" s="5" t="s">
        <v>5818</v>
      </c>
      <c r="K910" s="5" t="s">
        <v>4363</v>
      </c>
      <c r="L910" s="5">
        <v>32</v>
      </c>
      <c r="M910" s="5">
        <v>4</v>
      </c>
      <c r="N910" s="5" t="s">
        <v>3585</v>
      </c>
      <c r="O910" s="5" t="s">
        <v>3502</v>
      </c>
      <c r="P910" s="5">
        <v>2</v>
      </c>
      <c r="Q910" s="5">
        <v>1</v>
      </c>
      <c r="R910" s="5"/>
      <c r="S910" s="5">
        <v>121</v>
      </c>
      <c r="T910" s="5">
        <v>121</v>
      </c>
      <c r="U910" s="5">
        <v>121</v>
      </c>
    </row>
    <row r="911" spans="1:21" x14ac:dyDescent="0.25">
      <c r="A911" s="5" t="s">
        <v>6239</v>
      </c>
      <c r="B911" s="5" t="s">
        <v>6240</v>
      </c>
      <c r="C911" s="5" t="s">
        <v>3548</v>
      </c>
      <c r="D911" s="5" t="s">
        <v>5817</v>
      </c>
      <c r="E911" s="5" t="s">
        <v>4363</v>
      </c>
      <c r="F911" s="5" t="s">
        <v>3584</v>
      </c>
      <c r="G911" s="5" t="s">
        <v>3493</v>
      </c>
      <c r="H911" s="5"/>
      <c r="I911" s="5" t="s">
        <v>3448</v>
      </c>
      <c r="J911" s="5" t="s">
        <v>5818</v>
      </c>
      <c r="K911" s="5" t="s">
        <v>4363</v>
      </c>
      <c r="L911" s="5">
        <v>32</v>
      </c>
      <c r="M911" s="5">
        <v>4</v>
      </c>
      <c r="N911" s="5" t="s">
        <v>3585</v>
      </c>
      <c r="O911" s="5" t="s">
        <v>3494</v>
      </c>
      <c r="P911" s="5">
        <v>2</v>
      </c>
      <c r="Q911" s="5">
        <v>1</v>
      </c>
      <c r="R911" s="5"/>
      <c r="S911" s="5">
        <v>108</v>
      </c>
      <c r="T911" s="5">
        <v>108</v>
      </c>
      <c r="U911" s="5">
        <v>108</v>
      </c>
    </row>
    <row r="912" spans="1:21" x14ac:dyDescent="0.25">
      <c r="A912" s="5" t="s">
        <v>6245</v>
      </c>
      <c r="B912" s="5" t="s">
        <v>6246</v>
      </c>
      <c r="C912" s="5" t="s">
        <v>3548</v>
      </c>
      <c r="D912" s="5" t="s">
        <v>5817</v>
      </c>
      <c r="E912" s="5" t="s">
        <v>4363</v>
      </c>
      <c r="F912" s="5" t="s">
        <v>4004</v>
      </c>
      <c r="G912" s="5" t="s">
        <v>3493</v>
      </c>
      <c r="H912" s="5"/>
      <c r="I912" s="5" t="s">
        <v>3448</v>
      </c>
      <c r="J912" s="5" t="s">
        <v>5818</v>
      </c>
      <c r="K912" s="5" t="s">
        <v>4363</v>
      </c>
      <c r="L912" s="5">
        <v>32</v>
      </c>
      <c r="M912" s="5">
        <v>4</v>
      </c>
      <c r="N912" s="5" t="s">
        <v>4005</v>
      </c>
      <c r="O912" s="5" t="s">
        <v>3494</v>
      </c>
      <c r="P912" s="5">
        <v>2</v>
      </c>
      <c r="Q912" s="5">
        <v>1</v>
      </c>
      <c r="R912" s="5"/>
      <c r="S912" s="5">
        <v>112</v>
      </c>
      <c r="T912" s="5">
        <v>112</v>
      </c>
      <c r="U912" s="5">
        <v>112</v>
      </c>
    </row>
    <row r="913" spans="1:21" x14ac:dyDescent="0.25">
      <c r="A913" s="5" t="s">
        <v>6251</v>
      </c>
      <c r="B913" s="5" t="s">
        <v>6252</v>
      </c>
      <c r="C913" s="5"/>
      <c r="D913" s="5" t="s">
        <v>6253</v>
      </c>
      <c r="E913" s="5"/>
      <c r="F913" s="5"/>
      <c r="G913" s="5"/>
      <c r="H913" s="5"/>
      <c r="I913" s="5" t="s">
        <v>3483</v>
      </c>
      <c r="J913" s="5" t="s">
        <v>6254</v>
      </c>
      <c r="K913" s="5" t="s">
        <v>3485</v>
      </c>
      <c r="L913" s="5">
        <v>1000</v>
      </c>
      <c r="M913" s="5">
        <v>1</v>
      </c>
      <c r="N913" s="5"/>
      <c r="O913" s="5"/>
      <c r="P913" s="5"/>
      <c r="Q913" s="5"/>
      <c r="R913" s="5"/>
      <c r="S913" s="5">
        <v>1100</v>
      </c>
      <c r="T913" s="5">
        <v>1100</v>
      </c>
      <c r="U913" s="5">
        <v>1100</v>
      </c>
    </row>
    <row r="914" spans="1:21" x14ac:dyDescent="0.25">
      <c r="A914" s="5" t="s">
        <v>6255</v>
      </c>
      <c r="B914" s="5" t="s">
        <v>6256</v>
      </c>
      <c r="C914" s="5"/>
      <c r="D914" s="5" t="s">
        <v>6253</v>
      </c>
      <c r="E914" s="5"/>
      <c r="F914" s="5"/>
      <c r="G914" s="5"/>
      <c r="H914" s="5"/>
      <c r="I914" s="5" t="s">
        <v>3483</v>
      </c>
      <c r="J914" s="5" t="s">
        <v>6254</v>
      </c>
      <c r="K914" s="5" t="s">
        <v>3485</v>
      </c>
      <c r="L914" s="5">
        <v>100</v>
      </c>
      <c r="M914" s="5">
        <v>1</v>
      </c>
      <c r="N914" s="5"/>
      <c r="O914" s="5"/>
      <c r="P914" s="5"/>
      <c r="Q914" s="5"/>
      <c r="R914" s="5"/>
      <c r="S914" s="5">
        <v>130</v>
      </c>
      <c r="T914" s="5">
        <v>130</v>
      </c>
      <c r="U914" s="5">
        <v>130</v>
      </c>
    </row>
    <row r="915" spans="1:21" x14ac:dyDescent="0.25">
      <c r="A915" s="5" t="s">
        <v>6257</v>
      </c>
      <c r="B915" s="5" t="s">
        <v>6258</v>
      </c>
      <c r="C915" s="5"/>
      <c r="D915" s="5" t="s">
        <v>6253</v>
      </c>
      <c r="E915" s="5"/>
      <c r="F915" s="5"/>
      <c r="G915" s="5"/>
      <c r="H915" s="5"/>
      <c r="I915" s="5" t="s">
        <v>3483</v>
      </c>
      <c r="J915" s="5" t="s">
        <v>6254</v>
      </c>
      <c r="K915" s="5" t="s">
        <v>3485</v>
      </c>
      <c r="L915" s="5">
        <v>150</v>
      </c>
      <c r="M915" s="5">
        <v>1</v>
      </c>
      <c r="N915" s="5"/>
      <c r="O915" s="5"/>
      <c r="P915" s="5"/>
      <c r="Q915" s="5"/>
      <c r="R915" s="5"/>
      <c r="S915" s="5">
        <v>188</v>
      </c>
      <c r="T915" s="5">
        <v>188</v>
      </c>
      <c r="U915" s="5">
        <v>188</v>
      </c>
    </row>
    <row r="916" spans="1:21" x14ac:dyDescent="0.25">
      <c r="A916" s="5" t="s">
        <v>6259</v>
      </c>
      <c r="B916" s="5" t="s">
        <v>6260</v>
      </c>
      <c r="C916" s="5"/>
      <c r="D916" s="5" t="s">
        <v>6253</v>
      </c>
      <c r="E916" s="5"/>
      <c r="F916" s="5"/>
      <c r="G916" s="5"/>
      <c r="H916" s="5"/>
      <c r="I916" s="5" t="s">
        <v>3483</v>
      </c>
      <c r="J916" s="5" t="s">
        <v>6254</v>
      </c>
      <c r="K916" s="5" t="s">
        <v>3485</v>
      </c>
      <c r="L916" s="5">
        <v>200</v>
      </c>
      <c r="M916" s="5">
        <v>1</v>
      </c>
      <c r="N916" s="5"/>
      <c r="O916" s="5"/>
      <c r="P916" s="5"/>
      <c r="Q916" s="5"/>
      <c r="R916" s="5"/>
      <c r="S916" s="5">
        <v>250</v>
      </c>
      <c r="T916" s="5">
        <v>250</v>
      </c>
      <c r="U916" s="5">
        <v>250</v>
      </c>
    </row>
    <row r="917" spans="1:21" x14ac:dyDescent="0.25">
      <c r="A917" s="5" t="s">
        <v>3456</v>
      </c>
      <c r="B917" s="5" t="s">
        <v>6261</v>
      </c>
      <c r="C917" s="5"/>
      <c r="D917" s="5" t="s">
        <v>6253</v>
      </c>
      <c r="E917" s="5"/>
      <c r="F917" s="5"/>
      <c r="G917" s="5"/>
      <c r="H917" s="5"/>
      <c r="I917" s="5" t="s">
        <v>3483</v>
      </c>
      <c r="J917" s="5" t="s">
        <v>6254</v>
      </c>
      <c r="K917" s="5" t="s">
        <v>3485</v>
      </c>
      <c r="L917" s="5">
        <v>250</v>
      </c>
      <c r="M917" s="5">
        <v>1</v>
      </c>
      <c r="N917" s="5"/>
      <c r="O917" s="5"/>
      <c r="P917" s="5"/>
      <c r="Q917" s="5"/>
      <c r="R917" s="5"/>
      <c r="S917" s="5">
        <v>295</v>
      </c>
      <c r="T917" s="5">
        <v>295</v>
      </c>
      <c r="U917" s="5">
        <v>295</v>
      </c>
    </row>
    <row r="918" spans="1:21" x14ac:dyDescent="0.25">
      <c r="A918" s="5" t="s">
        <v>6262</v>
      </c>
      <c r="B918" s="5" t="s">
        <v>6263</v>
      </c>
      <c r="C918" s="5"/>
      <c r="D918" s="5" t="s">
        <v>6253</v>
      </c>
      <c r="E918" s="5"/>
      <c r="F918" s="5"/>
      <c r="G918" s="5"/>
      <c r="H918" s="5"/>
      <c r="I918" s="5" t="s">
        <v>3483</v>
      </c>
      <c r="J918" s="5" t="s">
        <v>6254</v>
      </c>
      <c r="K918" s="5" t="s">
        <v>3485</v>
      </c>
      <c r="L918" s="5">
        <v>310</v>
      </c>
      <c r="M918" s="5">
        <v>1</v>
      </c>
      <c r="N918" s="5"/>
      <c r="O918" s="5"/>
      <c r="P918" s="5"/>
      <c r="Q918" s="5"/>
      <c r="R918" s="5"/>
      <c r="S918" s="5">
        <v>365</v>
      </c>
      <c r="T918" s="5">
        <v>365</v>
      </c>
      <c r="U918" s="5">
        <v>365</v>
      </c>
    </row>
    <row r="919" spans="1:21" x14ac:dyDescent="0.25">
      <c r="A919" s="5" t="s">
        <v>6264</v>
      </c>
      <c r="B919" s="5" t="s">
        <v>6265</v>
      </c>
      <c r="C919" s="5"/>
      <c r="D919" s="5" t="s">
        <v>6253</v>
      </c>
      <c r="E919" s="5"/>
      <c r="F919" s="5"/>
      <c r="G919" s="5"/>
      <c r="H919" s="5"/>
      <c r="I919" s="5" t="s">
        <v>3483</v>
      </c>
      <c r="J919" s="5" t="s">
        <v>6254</v>
      </c>
      <c r="K919" s="5" t="s">
        <v>3485</v>
      </c>
      <c r="L919" s="5">
        <v>350</v>
      </c>
      <c r="M919" s="5">
        <v>1</v>
      </c>
      <c r="N919" s="5"/>
      <c r="O919" s="5"/>
      <c r="P919" s="5"/>
      <c r="Q919" s="5"/>
      <c r="R919" s="5"/>
      <c r="S919" s="5">
        <v>405</v>
      </c>
      <c r="T919" s="5">
        <v>405</v>
      </c>
      <c r="U919" s="5">
        <v>405</v>
      </c>
    </row>
    <row r="920" spans="1:21" x14ac:dyDescent="0.25">
      <c r="A920" s="5" t="s">
        <v>6266</v>
      </c>
      <c r="B920" s="5" t="s">
        <v>6267</v>
      </c>
      <c r="C920" s="5"/>
      <c r="D920" s="5" t="s">
        <v>6253</v>
      </c>
      <c r="E920" s="5"/>
      <c r="F920" s="5"/>
      <c r="G920" s="5"/>
      <c r="H920" s="5"/>
      <c r="I920" s="5" t="s">
        <v>3483</v>
      </c>
      <c r="J920" s="5" t="s">
        <v>6254</v>
      </c>
      <c r="K920" s="5" t="s">
        <v>3485</v>
      </c>
      <c r="L920" s="5">
        <v>35</v>
      </c>
      <c r="M920" s="5">
        <v>1</v>
      </c>
      <c r="N920" s="5"/>
      <c r="O920" s="5"/>
      <c r="P920" s="5"/>
      <c r="Q920" s="5"/>
      <c r="R920" s="5"/>
      <c r="S920" s="5">
        <v>46</v>
      </c>
      <c r="T920" s="5">
        <v>46</v>
      </c>
      <c r="U920" s="5">
        <v>46</v>
      </c>
    </row>
    <row r="921" spans="1:21" x14ac:dyDescent="0.25">
      <c r="A921" s="5" t="s">
        <v>6268</v>
      </c>
      <c r="B921" s="5" t="s">
        <v>6269</v>
      </c>
      <c r="C921" s="5"/>
      <c r="D921" s="5" t="s">
        <v>6253</v>
      </c>
      <c r="E921" s="5"/>
      <c r="F921" s="5"/>
      <c r="G921" s="5"/>
      <c r="H921" s="5"/>
      <c r="I921" s="5" t="s">
        <v>3483</v>
      </c>
      <c r="J921" s="5" t="s">
        <v>6254</v>
      </c>
      <c r="K921" s="5" t="s">
        <v>3485</v>
      </c>
      <c r="L921" s="5">
        <v>360</v>
      </c>
      <c r="M921" s="5">
        <v>1</v>
      </c>
      <c r="N921" s="5"/>
      <c r="O921" s="5"/>
      <c r="P921" s="5"/>
      <c r="Q921" s="5"/>
      <c r="R921" s="5"/>
      <c r="S921" s="5">
        <v>414</v>
      </c>
      <c r="T921" s="5">
        <v>414</v>
      </c>
      <c r="U921" s="5">
        <v>414</v>
      </c>
    </row>
    <row r="922" spans="1:21" x14ac:dyDescent="0.25">
      <c r="A922" s="5" t="s">
        <v>6270</v>
      </c>
      <c r="B922" s="5" t="s">
        <v>6271</v>
      </c>
      <c r="C922" s="5"/>
      <c r="D922" s="5" t="s">
        <v>6253</v>
      </c>
      <c r="E922" s="5"/>
      <c r="F922" s="5"/>
      <c r="G922" s="5"/>
      <c r="H922" s="5"/>
      <c r="I922" s="5" t="s">
        <v>3483</v>
      </c>
      <c r="J922" s="5" t="s">
        <v>6254</v>
      </c>
      <c r="K922" s="5" t="s">
        <v>3485</v>
      </c>
      <c r="L922" s="5">
        <v>400</v>
      </c>
      <c r="M922" s="5">
        <v>1</v>
      </c>
      <c r="N922" s="5"/>
      <c r="O922" s="5"/>
      <c r="P922" s="5"/>
      <c r="Q922" s="5"/>
      <c r="R922" s="5"/>
      <c r="S922" s="5">
        <v>465</v>
      </c>
      <c r="T922" s="5">
        <v>465</v>
      </c>
      <c r="U922" s="5">
        <v>465</v>
      </c>
    </row>
    <row r="923" spans="1:21" x14ac:dyDescent="0.25">
      <c r="A923" s="5" t="s">
        <v>6272</v>
      </c>
      <c r="B923" s="5" t="s">
        <v>6273</v>
      </c>
      <c r="C923" s="5"/>
      <c r="D923" s="5" t="s">
        <v>6253</v>
      </c>
      <c r="E923" s="5"/>
      <c r="F923" s="5"/>
      <c r="G923" s="5"/>
      <c r="H923" s="5"/>
      <c r="I923" s="5" t="s">
        <v>3483</v>
      </c>
      <c r="J923" s="5" t="s">
        <v>6254</v>
      </c>
      <c r="K923" s="5" t="s">
        <v>3485</v>
      </c>
      <c r="L923" s="5">
        <v>50</v>
      </c>
      <c r="M923" s="5">
        <v>1</v>
      </c>
      <c r="N923" s="5"/>
      <c r="O923" s="5"/>
      <c r="P923" s="5"/>
      <c r="Q923" s="5"/>
      <c r="R923" s="5"/>
      <c r="S923" s="5">
        <v>66</v>
      </c>
      <c r="T923" s="5">
        <v>66</v>
      </c>
      <c r="U923" s="5">
        <v>66</v>
      </c>
    </row>
    <row r="924" spans="1:21" x14ac:dyDescent="0.25">
      <c r="A924" s="5" t="s">
        <v>6274</v>
      </c>
      <c r="B924" s="5" t="s">
        <v>6275</v>
      </c>
      <c r="C924" s="5"/>
      <c r="D924" s="5" t="s">
        <v>6253</v>
      </c>
      <c r="E924" s="5"/>
      <c r="F924" s="5"/>
      <c r="G924" s="5"/>
      <c r="H924" s="5"/>
      <c r="I924" s="5" t="s">
        <v>3483</v>
      </c>
      <c r="J924" s="5" t="s">
        <v>6254</v>
      </c>
      <c r="K924" s="5" t="s">
        <v>3485</v>
      </c>
      <c r="L924" s="5">
        <v>70</v>
      </c>
      <c r="M924" s="5">
        <v>1</v>
      </c>
      <c r="N924" s="5"/>
      <c r="O924" s="5"/>
      <c r="P924" s="5"/>
      <c r="Q924" s="5"/>
      <c r="R924" s="5"/>
      <c r="S924" s="5">
        <v>95</v>
      </c>
      <c r="T924" s="5">
        <v>95</v>
      </c>
      <c r="U924" s="5">
        <v>95</v>
      </c>
    </row>
    <row r="925" spans="1:21" x14ac:dyDescent="0.25">
      <c r="A925" s="5" t="s">
        <v>6276</v>
      </c>
      <c r="B925" s="5" t="s">
        <v>6277</v>
      </c>
      <c r="C925" s="5"/>
      <c r="D925" s="5" t="s">
        <v>6253</v>
      </c>
      <c r="E925" s="5"/>
      <c r="F925" s="5"/>
      <c r="G925" s="5"/>
      <c r="H925" s="5"/>
      <c r="I925" s="5" t="s">
        <v>3483</v>
      </c>
      <c r="J925" s="5" t="s">
        <v>6254</v>
      </c>
      <c r="K925" s="5" t="s">
        <v>3485</v>
      </c>
      <c r="L925" s="5">
        <v>750</v>
      </c>
      <c r="M925" s="5">
        <v>1</v>
      </c>
      <c r="N925" s="5"/>
      <c r="O925" s="5"/>
      <c r="P925" s="5"/>
      <c r="Q925" s="5"/>
      <c r="R925" s="5"/>
      <c r="S925" s="5">
        <v>840</v>
      </c>
      <c r="T925" s="5">
        <v>840</v>
      </c>
      <c r="U925" s="5">
        <v>840</v>
      </c>
    </row>
    <row r="926" spans="1:21" x14ac:dyDescent="0.25">
      <c r="A926" s="5" t="s">
        <v>6278</v>
      </c>
      <c r="B926" s="5" t="s">
        <v>6279</v>
      </c>
      <c r="C926" s="5" t="s">
        <v>6280</v>
      </c>
      <c r="D926" s="5" t="s">
        <v>3501</v>
      </c>
      <c r="E926" s="5"/>
      <c r="F926" s="5"/>
      <c r="G926" s="5"/>
      <c r="H926" s="5"/>
      <c r="I926" s="5" t="s">
        <v>6281</v>
      </c>
      <c r="J926" s="5" t="s">
        <v>6282</v>
      </c>
      <c r="K926" s="5" t="s">
        <v>3485</v>
      </c>
      <c r="L926" s="5">
        <v>100</v>
      </c>
      <c r="M926" s="5">
        <v>1</v>
      </c>
      <c r="N926" s="5"/>
      <c r="O926" s="5"/>
      <c r="P926" s="5"/>
      <c r="Q926" s="5"/>
      <c r="R926" s="5"/>
      <c r="S926" s="5">
        <v>100</v>
      </c>
      <c r="T926" s="5">
        <v>100</v>
      </c>
      <c r="U926" s="5">
        <v>100</v>
      </c>
    </row>
    <row r="927" spans="1:21" x14ac:dyDescent="0.25">
      <c r="A927" s="5" t="s">
        <v>6283</v>
      </c>
      <c r="B927" s="5" t="s">
        <v>6284</v>
      </c>
      <c r="C927" s="5" t="s">
        <v>6280</v>
      </c>
      <c r="D927" s="5" t="s">
        <v>3501</v>
      </c>
      <c r="E927" s="5"/>
      <c r="F927" s="5"/>
      <c r="G927" s="5"/>
      <c r="H927" s="5"/>
      <c r="I927" s="5" t="s">
        <v>6281</v>
      </c>
      <c r="J927" s="5" t="s">
        <v>6282</v>
      </c>
      <c r="K927" s="5" t="s">
        <v>3485</v>
      </c>
      <c r="L927" s="5">
        <v>150</v>
      </c>
      <c r="M927" s="5">
        <v>1</v>
      </c>
      <c r="N927" s="5"/>
      <c r="O927" s="5"/>
      <c r="P927" s="5"/>
      <c r="Q927" s="5"/>
      <c r="R927" s="5"/>
      <c r="S927" s="5">
        <v>150</v>
      </c>
      <c r="T927" s="5">
        <v>150</v>
      </c>
      <c r="U927" s="5">
        <v>150</v>
      </c>
    </row>
    <row r="928" spans="1:21" x14ac:dyDescent="0.25">
      <c r="A928" s="5" t="s">
        <v>7110</v>
      </c>
      <c r="B928" s="5" t="s">
        <v>6285</v>
      </c>
      <c r="C928" s="5" t="s">
        <v>6280</v>
      </c>
      <c r="D928" s="5" t="s">
        <v>3501</v>
      </c>
      <c r="E928" s="5"/>
      <c r="F928" s="5"/>
      <c r="G928" s="5"/>
      <c r="H928" s="5"/>
      <c r="I928" s="5" t="s">
        <v>6281</v>
      </c>
      <c r="J928" s="5" t="s">
        <v>6282</v>
      </c>
      <c r="K928" s="5" t="s">
        <v>6286</v>
      </c>
      <c r="L928" s="5">
        <v>150</v>
      </c>
      <c r="M928" s="5">
        <v>2</v>
      </c>
      <c r="N928" s="5"/>
      <c r="O928" s="5"/>
      <c r="P928" s="5"/>
      <c r="Q928" s="5"/>
      <c r="R928" s="5"/>
      <c r="S928" s="5">
        <v>300</v>
      </c>
      <c r="T928" s="5">
        <v>300</v>
      </c>
      <c r="U928" s="5">
        <v>300</v>
      </c>
    </row>
    <row r="929" spans="1:21" x14ac:dyDescent="0.25">
      <c r="A929" s="5" t="s">
        <v>7111</v>
      </c>
      <c r="B929" s="5" t="s">
        <v>6287</v>
      </c>
      <c r="C929" s="5" t="s">
        <v>6280</v>
      </c>
      <c r="D929" s="5" t="s">
        <v>3501</v>
      </c>
      <c r="E929" s="5"/>
      <c r="F929" s="5"/>
      <c r="G929" s="5"/>
      <c r="H929" s="5"/>
      <c r="I929" s="5" t="s">
        <v>6281</v>
      </c>
      <c r="J929" s="5" t="s">
        <v>6282</v>
      </c>
      <c r="K929" s="5" t="s">
        <v>6286</v>
      </c>
      <c r="L929" s="5">
        <v>250</v>
      </c>
      <c r="M929" s="5">
        <v>1</v>
      </c>
      <c r="N929" s="5"/>
      <c r="O929" s="5"/>
      <c r="P929" s="5"/>
      <c r="Q929" s="5"/>
      <c r="R929" s="5"/>
      <c r="S929" s="5">
        <v>250</v>
      </c>
      <c r="T929" s="5">
        <v>250</v>
      </c>
      <c r="U929" s="5">
        <v>250</v>
      </c>
    </row>
    <row r="930" spans="1:21" x14ac:dyDescent="0.25">
      <c r="A930" s="5" t="s">
        <v>7112</v>
      </c>
      <c r="B930" s="5" t="s">
        <v>6288</v>
      </c>
      <c r="C930" s="5" t="s">
        <v>6280</v>
      </c>
      <c r="D930" s="5" t="s">
        <v>3501</v>
      </c>
      <c r="E930" s="5"/>
      <c r="F930" s="5"/>
      <c r="G930" s="5"/>
      <c r="H930" s="5"/>
      <c r="I930" s="5" t="s">
        <v>6281</v>
      </c>
      <c r="J930" s="5" t="s">
        <v>6282</v>
      </c>
      <c r="K930" s="5" t="s">
        <v>6286</v>
      </c>
      <c r="L930" s="5">
        <v>300</v>
      </c>
      <c r="M930" s="5">
        <v>1</v>
      </c>
      <c r="N930" s="5"/>
      <c r="O930" s="5"/>
      <c r="P930" s="5"/>
      <c r="Q930" s="5"/>
      <c r="R930" s="5"/>
      <c r="S930" s="5">
        <v>300</v>
      </c>
      <c r="T930" s="5">
        <v>300</v>
      </c>
      <c r="U930" s="5">
        <v>300</v>
      </c>
    </row>
    <row r="931" spans="1:21" x14ac:dyDescent="0.25">
      <c r="A931" s="5" t="s">
        <v>6289</v>
      </c>
      <c r="B931" s="5" t="s">
        <v>6290</v>
      </c>
      <c r="C931" s="5" t="s">
        <v>6280</v>
      </c>
      <c r="D931" s="5" t="s">
        <v>3501</v>
      </c>
      <c r="E931" s="5"/>
      <c r="F931" s="5"/>
      <c r="G931" s="5"/>
      <c r="H931" s="5"/>
      <c r="I931" s="5" t="s">
        <v>6281</v>
      </c>
      <c r="J931" s="5" t="s">
        <v>6282</v>
      </c>
      <c r="K931" s="5" t="s">
        <v>3485</v>
      </c>
      <c r="L931" s="5">
        <v>35</v>
      </c>
      <c r="M931" s="5">
        <v>1</v>
      </c>
      <c r="N931" s="5"/>
      <c r="O931" s="5"/>
      <c r="P931" s="5"/>
      <c r="Q931" s="5"/>
      <c r="R931" s="5"/>
      <c r="S931" s="5">
        <v>35</v>
      </c>
      <c r="T931" s="5">
        <v>35</v>
      </c>
      <c r="U931" s="5">
        <v>35</v>
      </c>
    </row>
    <row r="932" spans="1:21" x14ac:dyDescent="0.25">
      <c r="A932" s="5" t="s">
        <v>6291</v>
      </c>
      <c r="B932" s="5" t="s">
        <v>6292</v>
      </c>
      <c r="C932" s="5" t="s">
        <v>6280</v>
      </c>
      <c r="D932" s="5" t="s">
        <v>3501</v>
      </c>
      <c r="E932" s="5"/>
      <c r="F932" s="5"/>
      <c r="G932" s="5"/>
      <c r="H932" s="5"/>
      <c r="I932" s="5" t="s">
        <v>6281</v>
      </c>
      <c r="J932" s="5" t="s">
        <v>6282</v>
      </c>
      <c r="K932" s="5" t="s">
        <v>3485</v>
      </c>
      <c r="L932" s="5">
        <v>42</v>
      </c>
      <c r="M932" s="5">
        <v>1</v>
      </c>
      <c r="N932" s="5"/>
      <c r="O932" s="5"/>
      <c r="P932" s="5"/>
      <c r="Q932" s="5"/>
      <c r="R932" s="5"/>
      <c r="S932" s="5">
        <v>42</v>
      </c>
      <c r="T932" s="5">
        <v>42</v>
      </c>
      <c r="U932" s="5">
        <v>42</v>
      </c>
    </row>
    <row r="933" spans="1:21" x14ac:dyDescent="0.25">
      <c r="A933" s="5" t="s">
        <v>6293</v>
      </c>
      <c r="B933" s="5" t="s">
        <v>6294</v>
      </c>
      <c r="C933" s="5" t="s">
        <v>6280</v>
      </c>
      <c r="D933" s="5" t="s">
        <v>3501</v>
      </c>
      <c r="E933" s="5"/>
      <c r="F933" s="5"/>
      <c r="G933" s="5"/>
      <c r="H933" s="5"/>
      <c r="I933" s="5" t="s">
        <v>6281</v>
      </c>
      <c r="J933" s="5" t="s">
        <v>6282</v>
      </c>
      <c r="K933" s="5" t="s">
        <v>3485</v>
      </c>
      <c r="L933" s="5">
        <v>45</v>
      </c>
      <c r="M933" s="5">
        <v>1</v>
      </c>
      <c r="N933" s="5"/>
      <c r="O933" s="5"/>
      <c r="P933" s="5"/>
      <c r="Q933" s="5"/>
      <c r="R933" s="5"/>
      <c r="S933" s="5">
        <v>45</v>
      </c>
      <c r="T933" s="5">
        <v>45</v>
      </c>
      <c r="U933" s="5">
        <v>45</v>
      </c>
    </row>
    <row r="934" spans="1:21" x14ac:dyDescent="0.25">
      <c r="A934" s="5" t="s">
        <v>6295</v>
      </c>
      <c r="B934" s="5" t="s">
        <v>6296</v>
      </c>
      <c r="C934" s="5" t="s">
        <v>6280</v>
      </c>
      <c r="D934" s="5" t="s">
        <v>3501</v>
      </c>
      <c r="E934" s="5"/>
      <c r="F934" s="5"/>
      <c r="G934" s="5"/>
      <c r="H934" s="5"/>
      <c r="I934" s="5" t="s">
        <v>6281</v>
      </c>
      <c r="J934" s="5" t="s">
        <v>6282</v>
      </c>
      <c r="K934" s="5" t="s">
        <v>3485</v>
      </c>
      <c r="L934" s="5">
        <v>45</v>
      </c>
      <c r="M934" s="5">
        <v>2</v>
      </c>
      <c r="N934" s="5"/>
      <c r="O934" s="5"/>
      <c r="P934" s="5"/>
      <c r="Q934" s="5"/>
      <c r="R934" s="5"/>
      <c r="S934" s="5">
        <v>90</v>
      </c>
      <c r="T934" s="5">
        <v>90</v>
      </c>
      <c r="U934" s="5">
        <v>90</v>
      </c>
    </row>
    <row r="935" spans="1:21" x14ac:dyDescent="0.25">
      <c r="A935" s="5" t="s">
        <v>7113</v>
      </c>
      <c r="B935" s="5" t="s">
        <v>6297</v>
      </c>
      <c r="C935" s="5" t="s">
        <v>6280</v>
      </c>
      <c r="D935" s="5" t="s">
        <v>3501</v>
      </c>
      <c r="E935" s="5"/>
      <c r="F935" s="5"/>
      <c r="G935" s="5"/>
      <c r="H935" s="5"/>
      <c r="I935" s="5" t="s">
        <v>6281</v>
      </c>
      <c r="J935" s="5" t="s">
        <v>6282</v>
      </c>
      <c r="K935" s="5" t="s">
        <v>6286</v>
      </c>
      <c r="L935" s="5">
        <v>500</v>
      </c>
      <c r="M935" s="5">
        <v>1</v>
      </c>
      <c r="N935" s="5"/>
      <c r="O935" s="5"/>
      <c r="P935" s="5"/>
      <c r="Q935" s="5"/>
      <c r="R935" s="5"/>
      <c r="S935" s="5">
        <v>500</v>
      </c>
      <c r="T935" s="5">
        <v>500</v>
      </c>
      <c r="U935" s="5">
        <v>500</v>
      </c>
    </row>
    <row r="936" spans="1:21" x14ac:dyDescent="0.25">
      <c r="A936" s="5" t="s">
        <v>6298</v>
      </c>
      <c r="B936" s="5" t="s">
        <v>6299</v>
      </c>
      <c r="C936" s="5" t="s">
        <v>6280</v>
      </c>
      <c r="D936" s="5" t="s">
        <v>3501</v>
      </c>
      <c r="E936" s="5"/>
      <c r="F936" s="5"/>
      <c r="G936" s="5"/>
      <c r="H936" s="5"/>
      <c r="I936" s="5" t="s">
        <v>6281</v>
      </c>
      <c r="J936" s="5" t="s">
        <v>6282</v>
      </c>
      <c r="K936" s="5" t="s">
        <v>3485</v>
      </c>
      <c r="L936" s="5">
        <v>50</v>
      </c>
      <c r="M936" s="5">
        <v>1</v>
      </c>
      <c r="N936" s="5"/>
      <c r="O936" s="5"/>
      <c r="P936" s="5"/>
      <c r="Q936" s="5"/>
      <c r="R936" s="5"/>
      <c r="S936" s="5">
        <v>50</v>
      </c>
      <c r="T936" s="5">
        <v>50</v>
      </c>
      <c r="U936" s="5">
        <v>50</v>
      </c>
    </row>
    <row r="937" spans="1:21" x14ac:dyDescent="0.25">
      <c r="A937" s="5" t="s">
        <v>6300</v>
      </c>
      <c r="B937" s="5" t="s">
        <v>6301</v>
      </c>
      <c r="C937" s="5" t="s">
        <v>6280</v>
      </c>
      <c r="D937" s="5" t="s">
        <v>3501</v>
      </c>
      <c r="E937" s="5"/>
      <c r="F937" s="5"/>
      <c r="G937" s="5"/>
      <c r="H937" s="5"/>
      <c r="I937" s="5" t="s">
        <v>6281</v>
      </c>
      <c r="J937" s="5" t="s">
        <v>6282</v>
      </c>
      <c r="K937" s="5" t="s">
        <v>3485</v>
      </c>
      <c r="L937" s="5">
        <v>50</v>
      </c>
      <c r="M937" s="5">
        <v>2</v>
      </c>
      <c r="N937" s="5"/>
      <c r="O937" s="5"/>
      <c r="P937" s="5"/>
      <c r="Q937" s="5"/>
      <c r="R937" s="5"/>
      <c r="S937" s="5">
        <v>100</v>
      </c>
      <c r="T937" s="5">
        <v>100</v>
      </c>
      <c r="U937" s="5">
        <v>100</v>
      </c>
    </row>
    <row r="938" spans="1:21" x14ac:dyDescent="0.25">
      <c r="A938" s="5" t="s">
        <v>6302</v>
      </c>
      <c r="B938" s="5" t="s">
        <v>6303</v>
      </c>
      <c r="C938" s="5" t="s">
        <v>6280</v>
      </c>
      <c r="D938" s="5" t="s">
        <v>3501</v>
      </c>
      <c r="E938" s="5"/>
      <c r="F938" s="5"/>
      <c r="G938" s="5"/>
      <c r="H938" s="5"/>
      <c r="I938" s="5" t="s">
        <v>6281</v>
      </c>
      <c r="J938" s="5" t="s">
        <v>6282</v>
      </c>
      <c r="K938" s="5" t="s">
        <v>3485</v>
      </c>
      <c r="L938" s="5">
        <v>52</v>
      </c>
      <c r="M938" s="5">
        <v>1</v>
      </c>
      <c r="N938" s="5"/>
      <c r="O938" s="5"/>
      <c r="P938" s="5"/>
      <c r="Q938" s="5"/>
      <c r="R938" s="5"/>
      <c r="S938" s="5">
        <v>52</v>
      </c>
      <c r="T938" s="5">
        <v>52</v>
      </c>
      <c r="U938" s="5">
        <v>52</v>
      </c>
    </row>
    <row r="939" spans="1:21" x14ac:dyDescent="0.25">
      <c r="A939" s="5" t="s">
        <v>6304</v>
      </c>
      <c r="B939" s="5" t="s">
        <v>6305</v>
      </c>
      <c r="C939" s="5" t="s">
        <v>6280</v>
      </c>
      <c r="D939" s="5" t="s">
        <v>3501</v>
      </c>
      <c r="E939" s="5"/>
      <c r="F939" s="5"/>
      <c r="G939" s="5"/>
      <c r="H939" s="5"/>
      <c r="I939" s="5" t="s">
        <v>6281</v>
      </c>
      <c r="J939" s="5" t="s">
        <v>6282</v>
      </c>
      <c r="K939" s="5" t="s">
        <v>3485</v>
      </c>
      <c r="L939" s="5">
        <v>55</v>
      </c>
      <c r="M939" s="5">
        <v>1</v>
      </c>
      <c r="N939" s="5"/>
      <c r="O939" s="5"/>
      <c r="P939" s="5"/>
      <c r="Q939" s="5"/>
      <c r="R939" s="5"/>
      <c r="S939" s="5">
        <v>55</v>
      </c>
      <c r="T939" s="5">
        <v>55</v>
      </c>
      <c r="U939" s="5">
        <v>55</v>
      </c>
    </row>
    <row r="940" spans="1:21" x14ac:dyDescent="0.25">
      <c r="A940" s="5" t="s">
        <v>6306</v>
      </c>
      <c r="B940" s="5" t="s">
        <v>6307</v>
      </c>
      <c r="C940" s="5" t="s">
        <v>6280</v>
      </c>
      <c r="D940" s="5" t="s">
        <v>3501</v>
      </c>
      <c r="E940" s="5"/>
      <c r="F940" s="5"/>
      <c r="G940" s="5"/>
      <c r="H940" s="5"/>
      <c r="I940" s="5" t="s">
        <v>6281</v>
      </c>
      <c r="J940" s="5" t="s">
        <v>6282</v>
      </c>
      <c r="K940" s="5" t="s">
        <v>3485</v>
      </c>
      <c r="L940" s="5">
        <v>55</v>
      </c>
      <c r="M940" s="5">
        <v>2</v>
      </c>
      <c r="N940" s="5"/>
      <c r="O940" s="5"/>
      <c r="P940" s="5"/>
      <c r="Q940" s="5"/>
      <c r="R940" s="5"/>
      <c r="S940" s="5">
        <v>110</v>
      </c>
      <c r="T940" s="5">
        <v>110</v>
      </c>
      <c r="U940" s="5">
        <v>110</v>
      </c>
    </row>
    <row r="941" spans="1:21" x14ac:dyDescent="0.25">
      <c r="A941" s="5" t="s">
        <v>6308</v>
      </c>
      <c r="B941" s="5" t="s">
        <v>6309</v>
      </c>
      <c r="C941" s="5" t="s">
        <v>6280</v>
      </c>
      <c r="D941" s="5" t="s">
        <v>3501</v>
      </c>
      <c r="E941" s="5"/>
      <c r="F941" s="5"/>
      <c r="G941" s="5"/>
      <c r="H941" s="5"/>
      <c r="I941" s="5" t="s">
        <v>6281</v>
      </c>
      <c r="J941" s="5" t="s">
        <v>6282</v>
      </c>
      <c r="K941" s="5" t="s">
        <v>3485</v>
      </c>
      <c r="L941" s="5">
        <v>60</v>
      </c>
      <c r="M941" s="5">
        <v>1</v>
      </c>
      <c r="N941" s="5"/>
      <c r="O941" s="5"/>
      <c r="P941" s="5"/>
      <c r="Q941" s="5"/>
      <c r="R941" s="5"/>
      <c r="S941" s="5">
        <v>60</v>
      </c>
      <c r="T941" s="5">
        <v>60</v>
      </c>
      <c r="U941" s="5">
        <v>60</v>
      </c>
    </row>
    <row r="942" spans="1:21" x14ac:dyDescent="0.25">
      <c r="A942" s="5" t="s">
        <v>6310</v>
      </c>
      <c r="B942" s="5" t="s">
        <v>6311</v>
      </c>
      <c r="C942" s="5" t="s">
        <v>6280</v>
      </c>
      <c r="D942" s="5" t="s">
        <v>3501</v>
      </c>
      <c r="E942" s="5"/>
      <c r="F942" s="5"/>
      <c r="G942" s="5"/>
      <c r="H942" s="5"/>
      <c r="I942" s="5" t="s">
        <v>6281</v>
      </c>
      <c r="J942" s="5" t="s">
        <v>6282</v>
      </c>
      <c r="K942" s="5" t="s">
        <v>3485</v>
      </c>
      <c r="L942" s="5">
        <v>72</v>
      </c>
      <c r="M942" s="5">
        <v>1</v>
      </c>
      <c r="N942" s="5"/>
      <c r="O942" s="5"/>
      <c r="P942" s="5"/>
      <c r="Q942" s="5"/>
      <c r="R942" s="5"/>
      <c r="S942" s="5">
        <v>72</v>
      </c>
      <c r="T942" s="5">
        <v>72</v>
      </c>
      <c r="U942" s="5">
        <v>72</v>
      </c>
    </row>
    <row r="943" spans="1:21" x14ac:dyDescent="0.25">
      <c r="A943" s="5" t="s">
        <v>6312</v>
      </c>
      <c r="B943" s="5" t="s">
        <v>6313</v>
      </c>
      <c r="C943" s="5" t="s">
        <v>6280</v>
      </c>
      <c r="D943" s="5" t="s">
        <v>3501</v>
      </c>
      <c r="E943" s="5"/>
      <c r="F943" s="5"/>
      <c r="G943" s="5"/>
      <c r="H943" s="5"/>
      <c r="I943" s="5" t="s">
        <v>6281</v>
      </c>
      <c r="J943" s="5" t="s">
        <v>6282</v>
      </c>
      <c r="K943" s="5" t="s">
        <v>3485</v>
      </c>
      <c r="L943" s="5">
        <v>75</v>
      </c>
      <c r="M943" s="5">
        <v>1</v>
      </c>
      <c r="N943" s="5"/>
      <c r="O943" s="5"/>
      <c r="P943" s="5"/>
      <c r="Q943" s="5"/>
      <c r="R943" s="5"/>
      <c r="S943" s="5">
        <v>75</v>
      </c>
      <c r="T943" s="5">
        <v>75</v>
      </c>
      <c r="U943" s="5">
        <v>75</v>
      </c>
    </row>
    <row r="944" spans="1:21" x14ac:dyDescent="0.25">
      <c r="A944" s="5" t="s">
        <v>6314</v>
      </c>
      <c r="B944" s="5" t="s">
        <v>6315</v>
      </c>
      <c r="C944" s="5" t="s">
        <v>6280</v>
      </c>
      <c r="D944" s="5" t="s">
        <v>3501</v>
      </c>
      <c r="E944" s="5"/>
      <c r="F944" s="5"/>
      <c r="G944" s="5"/>
      <c r="H944" s="5"/>
      <c r="I944" s="5" t="s">
        <v>6281</v>
      </c>
      <c r="J944" s="5" t="s">
        <v>6282</v>
      </c>
      <c r="K944" s="5" t="s">
        <v>3485</v>
      </c>
      <c r="L944" s="5">
        <v>75</v>
      </c>
      <c r="M944" s="5">
        <v>2</v>
      </c>
      <c r="N944" s="5"/>
      <c r="O944" s="5"/>
      <c r="P944" s="5"/>
      <c r="Q944" s="5"/>
      <c r="R944" s="5"/>
      <c r="S944" s="5">
        <v>150</v>
      </c>
      <c r="T944" s="5">
        <v>150</v>
      </c>
      <c r="U944" s="5">
        <v>150</v>
      </c>
    </row>
    <row r="945" spans="1:21" x14ac:dyDescent="0.25">
      <c r="A945" s="5" t="s">
        <v>6316</v>
      </c>
      <c r="B945" s="5" t="s">
        <v>6317</v>
      </c>
      <c r="C945" s="5" t="s">
        <v>6280</v>
      </c>
      <c r="D945" s="5" t="s">
        <v>3501</v>
      </c>
      <c r="E945" s="5"/>
      <c r="F945" s="5"/>
      <c r="G945" s="5"/>
      <c r="H945" s="5"/>
      <c r="I945" s="5" t="s">
        <v>6281</v>
      </c>
      <c r="J945" s="5" t="s">
        <v>6282</v>
      </c>
      <c r="K945" s="5" t="s">
        <v>3485</v>
      </c>
      <c r="L945" s="5">
        <v>90</v>
      </c>
      <c r="M945" s="5">
        <v>1</v>
      </c>
      <c r="N945" s="5"/>
      <c r="O945" s="5"/>
      <c r="P945" s="5"/>
      <c r="Q945" s="5"/>
      <c r="R945" s="5"/>
      <c r="S945" s="5">
        <v>90</v>
      </c>
      <c r="T945" s="5">
        <v>90</v>
      </c>
      <c r="U945" s="5">
        <v>90</v>
      </c>
    </row>
    <row r="946" spans="1:21" x14ac:dyDescent="0.25">
      <c r="A946" s="5" t="s">
        <v>6318</v>
      </c>
      <c r="B946" s="5" t="s">
        <v>6319</v>
      </c>
      <c r="C946" s="5" t="s">
        <v>6280</v>
      </c>
      <c r="D946" s="5" t="s">
        <v>3501</v>
      </c>
      <c r="E946" s="5"/>
      <c r="F946" s="5"/>
      <c r="G946" s="5"/>
      <c r="H946" s="5"/>
      <c r="I946" s="5" t="s">
        <v>6281</v>
      </c>
      <c r="J946" s="5" t="s">
        <v>6282</v>
      </c>
      <c r="K946" s="5" t="s">
        <v>3485</v>
      </c>
      <c r="L946" s="5">
        <v>90</v>
      </c>
      <c r="M946" s="5">
        <v>2</v>
      </c>
      <c r="N946" s="5"/>
      <c r="O946" s="5"/>
      <c r="P946" s="5"/>
      <c r="Q946" s="5"/>
      <c r="R946" s="5"/>
      <c r="S946" s="5">
        <v>180</v>
      </c>
      <c r="T946" s="5">
        <v>180</v>
      </c>
      <c r="U946" s="5">
        <v>180</v>
      </c>
    </row>
    <row r="947" spans="1:21" x14ac:dyDescent="0.25">
      <c r="A947" s="5" t="s">
        <v>6320</v>
      </c>
      <c r="B947" s="5" t="s">
        <v>6321</v>
      </c>
      <c r="C947" s="5" t="s">
        <v>6280</v>
      </c>
      <c r="D947" s="5"/>
      <c r="E947" s="5" t="s">
        <v>6322</v>
      </c>
      <c r="F947" s="5"/>
      <c r="G947" s="5"/>
      <c r="H947" s="5"/>
      <c r="I947" s="5" t="s">
        <v>6281</v>
      </c>
      <c r="J947" s="5" t="s">
        <v>6323</v>
      </c>
      <c r="K947" s="5" t="s">
        <v>6324</v>
      </c>
      <c r="L947" s="5">
        <v>100</v>
      </c>
      <c r="M947" s="5">
        <v>1</v>
      </c>
      <c r="N947" s="5"/>
      <c r="O947" s="5"/>
      <c r="P947" s="5"/>
      <c r="Q947" s="5"/>
      <c r="R947" s="5"/>
      <c r="S947" s="5">
        <v>100</v>
      </c>
      <c r="T947" s="5">
        <v>100</v>
      </c>
      <c r="U947" s="5">
        <v>100</v>
      </c>
    </row>
    <row r="948" spans="1:21" x14ac:dyDescent="0.25">
      <c r="A948" s="5" t="s">
        <v>6325</v>
      </c>
      <c r="B948" s="5" t="s">
        <v>6326</v>
      </c>
      <c r="C948" s="5" t="s">
        <v>6280</v>
      </c>
      <c r="D948" s="5"/>
      <c r="E948" s="5" t="s">
        <v>6322</v>
      </c>
      <c r="F948" s="5"/>
      <c r="G948" s="5"/>
      <c r="H948" s="5"/>
      <c r="I948" s="5" t="s">
        <v>6281</v>
      </c>
      <c r="J948" s="5" t="s">
        <v>6323</v>
      </c>
      <c r="K948" s="5" t="s">
        <v>6324</v>
      </c>
      <c r="L948" s="5">
        <v>100</v>
      </c>
      <c r="M948" s="5">
        <v>2</v>
      </c>
      <c r="N948" s="5"/>
      <c r="O948" s="5"/>
      <c r="P948" s="5"/>
      <c r="Q948" s="5"/>
      <c r="R948" s="5"/>
      <c r="S948" s="5">
        <v>200</v>
      </c>
      <c r="T948" s="5">
        <v>200</v>
      </c>
      <c r="U948" s="5">
        <v>200</v>
      </c>
    </row>
    <row r="949" spans="1:21" x14ac:dyDescent="0.25">
      <c r="A949" s="5" t="s">
        <v>6327</v>
      </c>
      <c r="B949" s="5" t="s">
        <v>6328</v>
      </c>
      <c r="C949" s="5" t="s">
        <v>6280</v>
      </c>
      <c r="D949" s="5"/>
      <c r="E949" s="5" t="s">
        <v>6322</v>
      </c>
      <c r="F949" s="5"/>
      <c r="G949" s="5"/>
      <c r="H949" s="5"/>
      <c r="I949" s="5" t="s">
        <v>6281</v>
      </c>
      <c r="J949" s="5" t="s">
        <v>6323</v>
      </c>
      <c r="K949" s="5" t="s">
        <v>6324</v>
      </c>
      <c r="L949" s="5">
        <v>110</v>
      </c>
      <c r="M949" s="5">
        <v>1</v>
      </c>
      <c r="N949" s="5"/>
      <c r="O949" s="5"/>
      <c r="P949" s="5"/>
      <c r="Q949" s="5"/>
      <c r="R949" s="5"/>
      <c r="S949" s="5">
        <v>110</v>
      </c>
      <c r="T949" s="5">
        <v>110</v>
      </c>
      <c r="U949" s="5">
        <v>110</v>
      </c>
    </row>
    <row r="950" spans="1:21" x14ac:dyDescent="0.25">
      <c r="A950" s="5" t="s">
        <v>6329</v>
      </c>
      <c r="B950" s="5" t="s">
        <v>6330</v>
      </c>
      <c r="C950" s="5" t="s">
        <v>6280</v>
      </c>
      <c r="D950" s="5"/>
      <c r="E950" s="5" t="s">
        <v>6322</v>
      </c>
      <c r="F950" s="5"/>
      <c r="G950" s="5"/>
      <c r="H950" s="5"/>
      <c r="I950" s="5" t="s">
        <v>6281</v>
      </c>
      <c r="J950" s="5" t="s">
        <v>6323</v>
      </c>
      <c r="K950" s="5" t="s">
        <v>6324</v>
      </c>
      <c r="L950" s="5">
        <v>116</v>
      </c>
      <c r="M950" s="5">
        <v>1</v>
      </c>
      <c r="N950" s="5"/>
      <c r="O950" s="5"/>
      <c r="P950" s="5"/>
      <c r="Q950" s="5"/>
      <c r="R950" s="5"/>
      <c r="S950" s="5">
        <v>116</v>
      </c>
      <c r="T950" s="5">
        <v>116</v>
      </c>
      <c r="U950" s="5">
        <v>116</v>
      </c>
    </row>
    <row r="951" spans="1:21" x14ac:dyDescent="0.25">
      <c r="A951" s="5" t="s">
        <v>6331</v>
      </c>
      <c r="B951" s="5" t="s">
        <v>6332</v>
      </c>
      <c r="C951" s="5" t="s">
        <v>6280</v>
      </c>
      <c r="D951" s="5"/>
      <c r="E951" s="5" t="s">
        <v>6322</v>
      </c>
      <c r="F951" s="5"/>
      <c r="G951" s="5"/>
      <c r="H951" s="5"/>
      <c r="I951" s="5" t="s">
        <v>6281</v>
      </c>
      <c r="J951" s="5" t="s">
        <v>6323</v>
      </c>
      <c r="K951" s="5" t="s">
        <v>6324</v>
      </c>
      <c r="L951" s="5">
        <v>120</v>
      </c>
      <c r="M951" s="5">
        <v>1</v>
      </c>
      <c r="N951" s="5"/>
      <c r="O951" s="5"/>
      <c r="P951" s="5"/>
      <c r="Q951" s="5"/>
      <c r="R951" s="5"/>
      <c r="S951" s="5">
        <v>120</v>
      </c>
      <c r="T951" s="5">
        <v>120</v>
      </c>
      <c r="U951" s="5">
        <v>120</v>
      </c>
    </row>
    <row r="952" spans="1:21" x14ac:dyDescent="0.25">
      <c r="A952" s="5" t="s">
        <v>6333</v>
      </c>
      <c r="B952" s="5" t="s">
        <v>6334</v>
      </c>
      <c r="C952" s="5" t="s">
        <v>6280</v>
      </c>
      <c r="D952" s="5"/>
      <c r="E952" s="5" t="s">
        <v>6322</v>
      </c>
      <c r="F952" s="5"/>
      <c r="G952" s="5"/>
      <c r="H952" s="5"/>
      <c r="I952" s="5" t="s">
        <v>6281</v>
      </c>
      <c r="J952" s="5" t="s">
        <v>6323</v>
      </c>
      <c r="K952" s="5" t="s">
        <v>6324</v>
      </c>
      <c r="L952" s="5">
        <v>125</v>
      </c>
      <c r="M952" s="5">
        <v>1</v>
      </c>
      <c r="N952" s="5"/>
      <c r="O952" s="5"/>
      <c r="P952" s="5"/>
      <c r="Q952" s="5"/>
      <c r="R952" s="5"/>
      <c r="S952" s="5">
        <v>125</v>
      </c>
      <c r="T952" s="5">
        <v>125</v>
      </c>
      <c r="U952" s="5">
        <v>125</v>
      </c>
    </row>
    <row r="953" spans="1:21" x14ac:dyDescent="0.25">
      <c r="A953" s="5" t="s">
        <v>6335</v>
      </c>
      <c r="B953" s="5" t="s">
        <v>6336</v>
      </c>
      <c r="C953" s="5" t="s">
        <v>6280</v>
      </c>
      <c r="D953" s="5"/>
      <c r="E953" s="5" t="s">
        <v>6322</v>
      </c>
      <c r="F953" s="5"/>
      <c r="G953" s="5"/>
      <c r="H953" s="5"/>
      <c r="I953" s="5" t="s">
        <v>6281</v>
      </c>
      <c r="J953" s="5" t="s">
        <v>6323</v>
      </c>
      <c r="K953" s="5" t="s">
        <v>6324</v>
      </c>
      <c r="L953" s="5">
        <v>130</v>
      </c>
      <c r="M953" s="5">
        <v>1</v>
      </c>
      <c r="N953" s="5"/>
      <c r="O953" s="5"/>
      <c r="P953" s="5"/>
      <c r="Q953" s="5"/>
      <c r="R953" s="5"/>
      <c r="S953" s="5">
        <v>130</v>
      </c>
      <c r="T953" s="5">
        <v>130</v>
      </c>
      <c r="U953" s="5">
        <v>130</v>
      </c>
    </row>
    <row r="954" spans="1:21" x14ac:dyDescent="0.25">
      <c r="A954" s="5" t="s">
        <v>6337</v>
      </c>
      <c r="B954" s="5" t="s">
        <v>6338</v>
      </c>
      <c r="C954" s="5" t="s">
        <v>6280</v>
      </c>
      <c r="D954" s="5"/>
      <c r="E954" s="5" t="s">
        <v>6322</v>
      </c>
      <c r="F954" s="5"/>
      <c r="G954" s="5"/>
      <c r="H954" s="5"/>
      <c r="I954" s="5" t="s">
        <v>6281</v>
      </c>
      <c r="J954" s="5" t="s">
        <v>6323</v>
      </c>
      <c r="K954" s="5" t="s">
        <v>6324</v>
      </c>
      <c r="L954" s="5">
        <v>135</v>
      </c>
      <c r="M954" s="5">
        <v>1</v>
      </c>
      <c r="N954" s="5"/>
      <c r="O954" s="5"/>
      <c r="P954" s="5"/>
      <c r="Q954" s="5"/>
      <c r="R954" s="5"/>
      <c r="S954" s="5">
        <v>135</v>
      </c>
      <c r="T954" s="5">
        <v>135</v>
      </c>
      <c r="U954" s="5">
        <v>135</v>
      </c>
    </row>
    <row r="955" spans="1:21" x14ac:dyDescent="0.25">
      <c r="A955" s="5" t="s">
        <v>6339</v>
      </c>
      <c r="B955" s="5" t="s">
        <v>6340</v>
      </c>
      <c r="C955" s="5" t="s">
        <v>6280</v>
      </c>
      <c r="D955" s="5"/>
      <c r="E955" s="5" t="s">
        <v>6322</v>
      </c>
      <c r="F955" s="5"/>
      <c r="G955" s="5"/>
      <c r="H955" s="5"/>
      <c r="I955" s="5" t="s">
        <v>6281</v>
      </c>
      <c r="J955" s="5" t="s">
        <v>6323</v>
      </c>
      <c r="K955" s="5" t="s">
        <v>6324</v>
      </c>
      <c r="L955" s="5">
        <v>150</v>
      </c>
      <c r="M955" s="5">
        <v>1</v>
      </c>
      <c r="N955" s="5"/>
      <c r="O955" s="5"/>
      <c r="P955" s="5"/>
      <c r="Q955" s="5"/>
      <c r="R955" s="5"/>
      <c r="S955" s="5">
        <v>150</v>
      </c>
      <c r="T955" s="5">
        <v>150</v>
      </c>
      <c r="U955" s="5">
        <v>150</v>
      </c>
    </row>
    <row r="956" spans="1:21" x14ac:dyDescent="0.25">
      <c r="A956" s="5" t="s">
        <v>6341</v>
      </c>
      <c r="B956" s="5" t="s">
        <v>6342</v>
      </c>
      <c r="C956" s="5" t="s">
        <v>6280</v>
      </c>
      <c r="D956" s="5"/>
      <c r="E956" s="5" t="s">
        <v>6322</v>
      </c>
      <c r="F956" s="5"/>
      <c r="G956" s="5"/>
      <c r="H956" s="5"/>
      <c r="I956" s="5" t="s">
        <v>6281</v>
      </c>
      <c r="J956" s="5" t="s">
        <v>6323</v>
      </c>
      <c r="K956" s="5" t="s">
        <v>6324</v>
      </c>
      <c r="L956" s="5">
        <v>15</v>
      </c>
      <c r="M956" s="5">
        <v>1</v>
      </c>
      <c r="N956" s="5"/>
      <c r="O956" s="5"/>
      <c r="P956" s="5"/>
      <c r="Q956" s="5"/>
      <c r="R956" s="5"/>
      <c r="S956" s="5">
        <v>15</v>
      </c>
      <c r="T956" s="5">
        <v>15</v>
      </c>
      <c r="U956" s="5">
        <v>15</v>
      </c>
    </row>
    <row r="957" spans="1:21" x14ac:dyDescent="0.25">
      <c r="A957" s="5" t="s">
        <v>6343</v>
      </c>
      <c r="B957" s="5" t="s">
        <v>6344</v>
      </c>
      <c r="C957" s="5" t="s">
        <v>6280</v>
      </c>
      <c r="D957" s="5"/>
      <c r="E957" s="5" t="s">
        <v>6322</v>
      </c>
      <c r="F957" s="5"/>
      <c r="G957" s="5"/>
      <c r="H957" s="5"/>
      <c r="I957" s="5" t="s">
        <v>6281</v>
      </c>
      <c r="J957" s="5" t="s">
        <v>6323</v>
      </c>
      <c r="K957" s="5" t="s">
        <v>6324</v>
      </c>
      <c r="L957" s="5">
        <v>15</v>
      </c>
      <c r="M957" s="5">
        <v>2</v>
      </c>
      <c r="N957" s="5"/>
      <c r="O957" s="5"/>
      <c r="P957" s="5"/>
      <c r="Q957" s="5"/>
      <c r="R957" s="5"/>
      <c r="S957" s="5">
        <v>30</v>
      </c>
      <c r="T957" s="5">
        <v>30</v>
      </c>
      <c r="U957" s="5">
        <v>30</v>
      </c>
    </row>
    <row r="958" spans="1:21" x14ac:dyDescent="0.25">
      <c r="A958" s="5" t="s">
        <v>6345</v>
      </c>
      <c r="B958" s="5" t="s">
        <v>6346</v>
      </c>
      <c r="C958" s="5" t="s">
        <v>6280</v>
      </c>
      <c r="D958" s="5"/>
      <c r="E958" s="5" t="s">
        <v>6322</v>
      </c>
      <c r="F958" s="5"/>
      <c r="G958" s="5"/>
      <c r="H958" s="5"/>
      <c r="I958" s="5" t="s">
        <v>6281</v>
      </c>
      <c r="J958" s="5" t="s">
        <v>6323</v>
      </c>
      <c r="K958" s="5" t="s">
        <v>6324</v>
      </c>
      <c r="L958" s="5">
        <v>160</v>
      </c>
      <c r="M958" s="5">
        <v>1</v>
      </c>
      <c r="N958" s="5"/>
      <c r="O958" s="5"/>
      <c r="P958" s="5"/>
      <c r="Q958" s="5"/>
      <c r="R958" s="5"/>
      <c r="S958" s="5">
        <v>160</v>
      </c>
      <c r="T958" s="5">
        <v>160</v>
      </c>
      <c r="U958" s="5">
        <v>160</v>
      </c>
    </row>
    <row r="959" spans="1:21" x14ac:dyDescent="0.25">
      <c r="A959" s="5" t="s">
        <v>6347</v>
      </c>
      <c r="B959" s="5" t="s">
        <v>6348</v>
      </c>
      <c r="C959" s="5" t="s">
        <v>6280</v>
      </c>
      <c r="D959" s="5"/>
      <c r="E959" s="5" t="s">
        <v>6322</v>
      </c>
      <c r="F959" s="5"/>
      <c r="G959" s="5"/>
      <c r="H959" s="5"/>
      <c r="I959" s="5" t="s">
        <v>6281</v>
      </c>
      <c r="J959" s="5" t="s">
        <v>6323</v>
      </c>
      <c r="K959" s="5" t="s">
        <v>6324</v>
      </c>
      <c r="L959" s="5">
        <v>170</v>
      </c>
      <c r="M959" s="5">
        <v>1</v>
      </c>
      <c r="N959" s="5"/>
      <c r="O959" s="5"/>
      <c r="P959" s="5"/>
      <c r="Q959" s="5"/>
      <c r="R959" s="5"/>
      <c r="S959" s="5">
        <v>170</v>
      </c>
      <c r="T959" s="5">
        <v>170</v>
      </c>
      <c r="U959" s="5">
        <v>170</v>
      </c>
    </row>
    <row r="960" spans="1:21" x14ac:dyDescent="0.25">
      <c r="A960" s="5" t="s">
        <v>6349</v>
      </c>
      <c r="B960" s="5" t="s">
        <v>6350</v>
      </c>
      <c r="C960" s="5" t="s">
        <v>6280</v>
      </c>
      <c r="D960" s="5"/>
      <c r="E960" s="5" t="s">
        <v>6322</v>
      </c>
      <c r="F960" s="5"/>
      <c r="G960" s="5"/>
      <c r="H960" s="5"/>
      <c r="I960" s="5" t="s">
        <v>6281</v>
      </c>
      <c r="J960" s="5" t="s">
        <v>6323</v>
      </c>
      <c r="K960" s="5" t="s">
        <v>6324</v>
      </c>
      <c r="L960" s="5">
        <v>200</v>
      </c>
      <c r="M960" s="5">
        <v>1</v>
      </c>
      <c r="N960" s="5"/>
      <c r="O960" s="5"/>
      <c r="P960" s="5"/>
      <c r="Q960" s="5"/>
      <c r="R960" s="5"/>
      <c r="S960" s="5">
        <v>200</v>
      </c>
      <c r="T960" s="5">
        <v>200</v>
      </c>
      <c r="U960" s="5">
        <v>200</v>
      </c>
    </row>
    <row r="961" spans="1:21" x14ac:dyDescent="0.25">
      <c r="A961" s="5" t="s">
        <v>6351</v>
      </c>
      <c r="B961" s="5" t="s">
        <v>6352</v>
      </c>
      <c r="C961" s="5" t="s">
        <v>6280</v>
      </c>
      <c r="D961" s="5"/>
      <c r="E961" s="5" t="s">
        <v>6322</v>
      </c>
      <c r="F961" s="5"/>
      <c r="G961" s="5"/>
      <c r="H961" s="5"/>
      <c r="I961" s="5" t="s">
        <v>6281</v>
      </c>
      <c r="J961" s="5" t="s">
        <v>6323</v>
      </c>
      <c r="K961" s="5" t="s">
        <v>6324</v>
      </c>
      <c r="L961" s="5">
        <v>20</v>
      </c>
      <c r="M961" s="5">
        <v>1</v>
      </c>
      <c r="N961" s="5"/>
      <c r="O961" s="5"/>
      <c r="P961" s="5"/>
      <c r="Q961" s="5"/>
      <c r="R961" s="5"/>
      <c r="S961" s="5">
        <v>20</v>
      </c>
      <c r="T961" s="5">
        <v>20</v>
      </c>
      <c r="U961" s="5">
        <v>20</v>
      </c>
    </row>
    <row r="962" spans="1:21" x14ac:dyDescent="0.25">
      <c r="A962" s="5" t="s">
        <v>6353</v>
      </c>
      <c r="B962" s="5" t="s">
        <v>6354</v>
      </c>
      <c r="C962" s="5" t="s">
        <v>6280</v>
      </c>
      <c r="D962" s="5"/>
      <c r="E962" s="5" t="s">
        <v>6322</v>
      </c>
      <c r="F962" s="5"/>
      <c r="G962" s="5"/>
      <c r="H962" s="5"/>
      <c r="I962" s="5" t="s">
        <v>6281</v>
      </c>
      <c r="J962" s="5" t="s">
        <v>6323</v>
      </c>
      <c r="K962" s="5" t="s">
        <v>6324</v>
      </c>
      <c r="L962" s="5">
        <v>20</v>
      </c>
      <c r="M962" s="5">
        <v>2</v>
      </c>
      <c r="N962" s="5"/>
      <c r="O962" s="5"/>
      <c r="P962" s="5"/>
      <c r="Q962" s="5"/>
      <c r="R962" s="5"/>
      <c r="S962" s="5">
        <v>40</v>
      </c>
      <c r="T962" s="5">
        <v>40</v>
      </c>
      <c r="U962" s="5">
        <v>40</v>
      </c>
    </row>
    <row r="963" spans="1:21" x14ac:dyDescent="0.25">
      <c r="A963" s="5" t="s">
        <v>6355</v>
      </c>
      <c r="B963" s="5" t="s">
        <v>6356</v>
      </c>
      <c r="C963" s="5" t="s">
        <v>6280</v>
      </c>
      <c r="D963" s="5"/>
      <c r="E963" s="5" t="s">
        <v>6322</v>
      </c>
      <c r="F963" s="5"/>
      <c r="G963" s="5"/>
      <c r="H963" s="5"/>
      <c r="I963" s="5" t="s">
        <v>6281</v>
      </c>
      <c r="J963" s="5" t="s">
        <v>6323</v>
      </c>
      <c r="K963" s="5" t="s">
        <v>6324</v>
      </c>
      <c r="L963" s="5">
        <v>25</v>
      </c>
      <c r="M963" s="5">
        <v>1</v>
      </c>
      <c r="N963" s="5"/>
      <c r="O963" s="5"/>
      <c r="P963" s="5"/>
      <c r="Q963" s="5"/>
      <c r="R963" s="5"/>
      <c r="S963" s="5">
        <v>25</v>
      </c>
      <c r="T963" s="5">
        <v>25</v>
      </c>
      <c r="U963" s="5">
        <v>25</v>
      </c>
    </row>
    <row r="964" spans="1:21" x14ac:dyDescent="0.25">
      <c r="A964" s="5" t="s">
        <v>6357</v>
      </c>
      <c r="B964" s="5" t="s">
        <v>6358</v>
      </c>
      <c r="C964" s="5" t="s">
        <v>6280</v>
      </c>
      <c r="D964" s="5"/>
      <c r="E964" s="5" t="s">
        <v>6322</v>
      </c>
      <c r="F964" s="5"/>
      <c r="G964" s="5"/>
      <c r="H964" s="5"/>
      <c r="I964" s="5" t="s">
        <v>6281</v>
      </c>
      <c r="J964" s="5" t="s">
        <v>6323</v>
      </c>
      <c r="K964" s="5" t="s">
        <v>6324</v>
      </c>
      <c r="L964" s="5">
        <v>25</v>
      </c>
      <c r="M964" s="5">
        <v>2</v>
      </c>
      <c r="N964" s="5"/>
      <c r="O964" s="5"/>
      <c r="P964" s="5"/>
      <c r="Q964" s="5"/>
      <c r="R964" s="5"/>
      <c r="S964" s="5">
        <v>50</v>
      </c>
      <c r="T964" s="5">
        <v>50</v>
      </c>
      <c r="U964" s="5">
        <v>50</v>
      </c>
    </row>
    <row r="965" spans="1:21" x14ac:dyDescent="0.25">
      <c r="A965" s="5" t="s">
        <v>6359</v>
      </c>
      <c r="B965" s="5" t="s">
        <v>6360</v>
      </c>
      <c r="C965" s="5" t="s">
        <v>6280</v>
      </c>
      <c r="D965" s="5"/>
      <c r="E965" s="5" t="s">
        <v>6322</v>
      </c>
      <c r="F965" s="5"/>
      <c r="G965" s="5"/>
      <c r="H965" s="5"/>
      <c r="I965" s="5" t="s">
        <v>6281</v>
      </c>
      <c r="J965" s="5" t="s">
        <v>6323</v>
      </c>
      <c r="K965" s="5" t="s">
        <v>6324</v>
      </c>
      <c r="L965" s="5">
        <v>25</v>
      </c>
      <c r="M965" s="5">
        <v>4</v>
      </c>
      <c r="N965" s="5"/>
      <c r="O965" s="5"/>
      <c r="P965" s="5"/>
      <c r="Q965" s="5"/>
      <c r="R965" s="5"/>
      <c r="S965" s="5">
        <v>100</v>
      </c>
      <c r="T965" s="5">
        <v>100</v>
      </c>
      <c r="U965" s="5">
        <v>100</v>
      </c>
    </row>
    <row r="966" spans="1:21" x14ac:dyDescent="0.25">
      <c r="A966" s="5" t="s">
        <v>6361</v>
      </c>
      <c r="B966" s="5" t="s">
        <v>6362</v>
      </c>
      <c r="C966" s="5" t="s">
        <v>6280</v>
      </c>
      <c r="D966" s="5"/>
      <c r="E966" s="5" t="s">
        <v>6322</v>
      </c>
      <c r="F966" s="5"/>
      <c r="G966" s="5"/>
      <c r="H966" s="5"/>
      <c r="I966" s="5" t="s">
        <v>6281</v>
      </c>
      <c r="J966" s="5" t="s">
        <v>6323</v>
      </c>
      <c r="K966" s="5" t="s">
        <v>6324</v>
      </c>
      <c r="L966" s="5">
        <v>25</v>
      </c>
      <c r="M966" s="5">
        <v>6</v>
      </c>
      <c r="N966" s="5"/>
      <c r="O966" s="5"/>
      <c r="P966" s="5"/>
      <c r="Q966" s="5"/>
      <c r="R966" s="5"/>
      <c r="S966" s="5">
        <v>150</v>
      </c>
      <c r="T966" s="5">
        <v>150</v>
      </c>
      <c r="U966" s="5">
        <v>150</v>
      </c>
    </row>
    <row r="967" spans="1:21" x14ac:dyDescent="0.25">
      <c r="A967" s="5" t="s">
        <v>6363</v>
      </c>
      <c r="B967" s="5" t="s">
        <v>6364</v>
      </c>
      <c r="C967" s="5" t="s">
        <v>6280</v>
      </c>
      <c r="D967" s="5"/>
      <c r="E967" s="5" t="s">
        <v>6322</v>
      </c>
      <c r="F967" s="5"/>
      <c r="G967" s="5"/>
      <c r="H967" s="5"/>
      <c r="I967" s="5" t="s">
        <v>6281</v>
      </c>
      <c r="J967" s="5" t="s">
        <v>6323</v>
      </c>
      <c r="K967" s="5" t="s">
        <v>6324</v>
      </c>
      <c r="L967" s="5">
        <v>30</v>
      </c>
      <c r="M967" s="5">
        <v>1</v>
      </c>
      <c r="N967" s="5"/>
      <c r="O967" s="5"/>
      <c r="P967" s="5"/>
      <c r="Q967" s="5"/>
      <c r="R967" s="5"/>
      <c r="S967" s="5">
        <v>30</v>
      </c>
      <c r="T967" s="5">
        <v>30</v>
      </c>
      <c r="U967" s="5">
        <v>30</v>
      </c>
    </row>
    <row r="968" spans="1:21" x14ac:dyDescent="0.25">
      <c r="A968" s="5" t="s">
        <v>6365</v>
      </c>
      <c r="B968" s="5" t="s">
        <v>6366</v>
      </c>
      <c r="C968" s="5" t="s">
        <v>6280</v>
      </c>
      <c r="D968" s="5"/>
      <c r="E968" s="5" t="s">
        <v>6322</v>
      </c>
      <c r="F968" s="5"/>
      <c r="G968" s="5"/>
      <c r="H968" s="5"/>
      <c r="I968" s="5" t="s">
        <v>6281</v>
      </c>
      <c r="J968" s="5" t="s">
        <v>6323</v>
      </c>
      <c r="K968" s="5" t="s">
        <v>6324</v>
      </c>
      <c r="L968" s="5">
        <v>34</v>
      </c>
      <c r="M968" s="5">
        <v>1</v>
      </c>
      <c r="N968" s="5"/>
      <c r="O968" s="5"/>
      <c r="P968" s="5"/>
      <c r="Q968" s="5"/>
      <c r="R968" s="5"/>
      <c r="S968" s="5">
        <v>34</v>
      </c>
      <c r="T968" s="5">
        <v>34</v>
      </c>
      <c r="U968" s="5">
        <v>34</v>
      </c>
    </row>
    <row r="969" spans="1:21" x14ac:dyDescent="0.25">
      <c r="A969" s="5" t="s">
        <v>6367</v>
      </c>
      <c r="B969" s="5" t="s">
        <v>6368</v>
      </c>
      <c r="C969" s="5" t="s">
        <v>6280</v>
      </c>
      <c r="D969" s="5"/>
      <c r="E969" s="5" t="s">
        <v>6322</v>
      </c>
      <c r="F969" s="5"/>
      <c r="G969" s="5"/>
      <c r="H969" s="5"/>
      <c r="I969" s="5" t="s">
        <v>6281</v>
      </c>
      <c r="J969" s="5" t="s">
        <v>6323</v>
      </c>
      <c r="K969" s="5" t="s">
        <v>6324</v>
      </c>
      <c r="L969" s="5">
        <v>34</v>
      </c>
      <c r="M969" s="5">
        <v>2</v>
      </c>
      <c r="N969" s="5"/>
      <c r="O969" s="5"/>
      <c r="P969" s="5"/>
      <c r="Q969" s="5"/>
      <c r="R969" s="5"/>
      <c r="S969" s="5">
        <v>68</v>
      </c>
      <c r="T969" s="5">
        <v>68</v>
      </c>
      <c r="U969" s="5">
        <v>68</v>
      </c>
    </row>
    <row r="970" spans="1:21" x14ac:dyDescent="0.25">
      <c r="A970" s="5" t="s">
        <v>6369</v>
      </c>
      <c r="B970" s="5" t="s">
        <v>6370</v>
      </c>
      <c r="C970" s="5" t="s">
        <v>6280</v>
      </c>
      <c r="D970" s="5"/>
      <c r="E970" s="5" t="s">
        <v>6322</v>
      </c>
      <c r="F970" s="5"/>
      <c r="G970" s="5"/>
      <c r="H970" s="5"/>
      <c r="I970" s="5" t="s">
        <v>6281</v>
      </c>
      <c r="J970" s="5" t="s">
        <v>6323</v>
      </c>
      <c r="K970" s="5" t="s">
        <v>6324</v>
      </c>
      <c r="L970" s="5">
        <v>36</v>
      </c>
      <c r="M970" s="5">
        <v>1</v>
      </c>
      <c r="N970" s="5"/>
      <c r="O970" s="5"/>
      <c r="P970" s="5"/>
      <c r="Q970" s="5"/>
      <c r="R970" s="5"/>
      <c r="S970" s="5">
        <v>36</v>
      </c>
      <c r="T970" s="5">
        <v>36</v>
      </c>
      <c r="U970" s="5">
        <v>36</v>
      </c>
    </row>
    <row r="971" spans="1:21" x14ac:dyDescent="0.25">
      <c r="A971" s="5" t="s">
        <v>6371</v>
      </c>
      <c r="B971" s="5" t="s">
        <v>6372</v>
      </c>
      <c r="C971" s="5" t="s">
        <v>6280</v>
      </c>
      <c r="D971" s="5"/>
      <c r="E971" s="5" t="s">
        <v>6322</v>
      </c>
      <c r="F971" s="5"/>
      <c r="G971" s="5"/>
      <c r="H971" s="5"/>
      <c r="I971" s="5" t="s">
        <v>6281</v>
      </c>
      <c r="J971" s="5" t="s">
        <v>6323</v>
      </c>
      <c r="K971" s="5" t="s">
        <v>6324</v>
      </c>
      <c r="L971" s="5">
        <v>40</v>
      </c>
      <c r="M971" s="5">
        <v>1</v>
      </c>
      <c r="N971" s="5"/>
      <c r="O971" s="5"/>
      <c r="P971" s="5"/>
      <c r="Q971" s="5"/>
      <c r="R971" s="5"/>
      <c r="S971" s="5">
        <v>40</v>
      </c>
      <c r="T971" s="5">
        <v>40</v>
      </c>
      <c r="U971" s="5">
        <v>40</v>
      </c>
    </row>
    <row r="972" spans="1:21" x14ac:dyDescent="0.25">
      <c r="A972" s="5" t="s">
        <v>6373</v>
      </c>
      <c r="B972" s="5" t="s">
        <v>6374</v>
      </c>
      <c r="C972" s="5" t="s">
        <v>6280</v>
      </c>
      <c r="D972" s="5"/>
      <c r="E972" s="5" t="s">
        <v>6322</v>
      </c>
      <c r="F972" s="5"/>
      <c r="G972" s="5"/>
      <c r="H972" s="5"/>
      <c r="I972" s="5" t="s">
        <v>6281</v>
      </c>
      <c r="J972" s="5" t="s">
        <v>6323</v>
      </c>
      <c r="K972" s="5" t="s">
        <v>6324</v>
      </c>
      <c r="L972" s="5">
        <v>40</v>
      </c>
      <c r="M972" s="5">
        <v>2</v>
      </c>
      <c r="N972" s="5"/>
      <c r="O972" s="5"/>
      <c r="P972" s="5"/>
      <c r="Q972" s="5"/>
      <c r="R972" s="5"/>
      <c r="S972" s="5">
        <v>80</v>
      </c>
      <c r="T972" s="5">
        <v>80</v>
      </c>
      <c r="U972" s="5">
        <v>80</v>
      </c>
    </row>
    <row r="973" spans="1:21" x14ac:dyDescent="0.25">
      <c r="A973" s="5" t="s">
        <v>6375</v>
      </c>
      <c r="B973" s="5" t="s">
        <v>6376</v>
      </c>
      <c r="C973" s="5" t="s">
        <v>6280</v>
      </c>
      <c r="D973" s="5"/>
      <c r="E973" s="5" t="s">
        <v>6322</v>
      </c>
      <c r="F973" s="5"/>
      <c r="G973" s="5"/>
      <c r="H973" s="5"/>
      <c r="I973" s="5" t="s">
        <v>6281</v>
      </c>
      <c r="J973" s="5" t="s">
        <v>6323</v>
      </c>
      <c r="K973" s="5" t="s">
        <v>6324</v>
      </c>
      <c r="L973" s="5">
        <v>42</v>
      </c>
      <c r="M973" s="5">
        <v>1</v>
      </c>
      <c r="N973" s="5"/>
      <c r="O973" s="5"/>
      <c r="P973" s="5"/>
      <c r="Q973" s="5"/>
      <c r="R973" s="5"/>
      <c r="S973" s="5">
        <v>42</v>
      </c>
      <c r="T973" s="5">
        <v>42</v>
      </c>
      <c r="U973" s="5">
        <v>42</v>
      </c>
    </row>
    <row r="974" spans="1:21" x14ac:dyDescent="0.25">
      <c r="A974" s="5" t="s">
        <v>6377</v>
      </c>
      <c r="B974" s="5" t="s">
        <v>6378</v>
      </c>
      <c r="C974" s="5" t="s">
        <v>6280</v>
      </c>
      <c r="D974" s="5"/>
      <c r="E974" s="5" t="s">
        <v>6322</v>
      </c>
      <c r="F974" s="5"/>
      <c r="G974" s="5"/>
      <c r="H974" s="5"/>
      <c r="I974" s="5" t="s">
        <v>6281</v>
      </c>
      <c r="J974" s="5" t="s">
        <v>6323</v>
      </c>
      <c r="K974" s="5" t="s">
        <v>6324</v>
      </c>
      <c r="L974" s="5">
        <v>45</v>
      </c>
      <c r="M974" s="5">
        <v>1</v>
      </c>
      <c r="N974" s="5"/>
      <c r="O974" s="5"/>
      <c r="P974" s="5"/>
      <c r="Q974" s="5"/>
      <c r="R974" s="5"/>
      <c r="S974" s="5">
        <v>45</v>
      </c>
      <c r="T974" s="5">
        <v>45</v>
      </c>
      <c r="U974" s="5">
        <v>45</v>
      </c>
    </row>
    <row r="975" spans="1:21" x14ac:dyDescent="0.25">
      <c r="A975" s="5" t="s">
        <v>6379</v>
      </c>
      <c r="B975" s="5" t="s">
        <v>6380</v>
      </c>
      <c r="C975" s="5" t="s">
        <v>6280</v>
      </c>
      <c r="D975" s="5"/>
      <c r="E975" s="5" t="s">
        <v>6322</v>
      </c>
      <c r="F975" s="5"/>
      <c r="G975" s="5"/>
      <c r="H975" s="5"/>
      <c r="I975" s="5" t="s">
        <v>6281</v>
      </c>
      <c r="J975" s="5" t="s">
        <v>6323</v>
      </c>
      <c r="K975" s="5" t="s">
        <v>6324</v>
      </c>
      <c r="L975" s="5">
        <v>50</v>
      </c>
      <c r="M975" s="5">
        <v>1</v>
      </c>
      <c r="N975" s="5"/>
      <c r="O975" s="5"/>
      <c r="P975" s="5"/>
      <c r="Q975" s="5"/>
      <c r="R975" s="5"/>
      <c r="S975" s="5">
        <v>50</v>
      </c>
      <c r="T975" s="5">
        <v>50</v>
      </c>
      <c r="U975" s="5">
        <v>50</v>
      </c>
    </row>
    <row r="976" spans="1:21" x14ac:dyDescent="0.25">
      <c r="A976" s="5" t="s">
        <v>6381</v>
      </c>
      <c r="B976" s="5" t="s">
        <v>6382</v>
      </c>
      <c r="C976" s="5" t="s">
        <v>6280</v>
      </c>
      <c r="D976" s="5"/>
      <c r="E976" s="5" t="s">
        <v>6322</v>
      </c>
      <c r="F976" s="5"/>
      <c r="G976" s="5"/>
      <c r="H976" s="5"/>
      <c r="I976" s="5" t="s">
        <v>6281</v>
      </c>
      <c r="J976" s="5" t="s">
        <v>6323</v>
      </c>
      <c r="K976" s="5" t="s">
        <v>6324</v>
      </c>
      <c r="L976" s="5">
        <v>50</v>
      </c>
      <c r="M976" s="5">
        <v>2</v>
      </c>
      <c r="N976" s="5"/>
      <c r="O976" s="5"/>
      <c r="P976" s="5"/>
      <c r="Q976" s="5"/>
      <c r="R976" s="5"/>
      <c r="S976" s="5">
        <v>100</v>
      </c>
      <c r="T976" s="5">
        <v>100</v>
      </c>
      <c r="U976" s="5">
        <v>100</v>
      </c>
    </row>
    <row r="977" spans="1:21" x14ac:dyDescent="0.25">
      <c r="A977" s="5" t="s">
        <v>6383</v>
      </c>
      <c r="B977" s="5" t="s">
        <v>6384</v>
      </c>
      <c r="C977" s="5" t="s">
        <v>6280</v>
      </c>
      <c r="D977" s="5"/>
      <c r="E977" s="5" t="s">
        <v>6322</v>
      </c>
      <c r="F977" s="5"/>
      <c r="G977" s="5"/>
      <c r="H977" s="5"/>
      <c r="I977" s="5" t="s">
        <v>6281</v>
      </c>
      <c r="J977" s="5" t="s">
        <v>6323</v>
      </c>
      <c r="K977" s="5" t="s">
        <v>6324</v>
      </c>
      <c r="L977" s="5">
        <v>52</v>
      </c>
      <c r="M977" s="5">
        <v>1</v>
      </c>
      <c r="N977" s="5"/>
      <c r="O977" s="5"/>
      <c r="P977" s="5"/>
      <c r="Q977" s="5"/>
      <c r="R977" s="5"/>
      <c r="S977" s="5">
        <v>52</v>
      </c>
      <c r="T977" s="5">
        <v>52</v>
      </c>
      <c r="U977" s="5">
        <v>52</v>
      </c>
    </row>
    <row r="978" spans="1:21" x14ac:dyDescent="0.25">
      <c r="A978" s="5" t="s">
        <v>6385</v>
      </c>
      <c r="B978" s="5" t="s">
        <v>6386</v>
      </c>
      <c r="C978" s="5" t="s">
        <v>6280</v>
      </c>
      <c r="D978" s="5"/>
      <c r="E978" s="5" t="s">
        <v>6322</v>
      </c>
      <c r="F978" s="5"/>
      <c r="G978" s="5"/>
      <c r="H978" s="5"/>
      <c r="I978" s="5" t="s">
        <v>6281</v>
      </c>
      <c r="J978" s="5" t="s">
        <v>6323</v>
      </c>
      <c r="K978" s="5" t="s">
        <v>6324</v>
      </c>
      <c r="L978" s="5">
        <v>52</v>
      </c>
      <c r="M978" s="5">
        <v>2</v>
      </c>
      <c r="N978" s="5"/>
      <c r="O978" s="5"/>
      <c r="P978" s="5"/>
      <c r="Q978" s="5"/>
      <c r="R978" s="5"/>
      <c r="S978" s="5">
        <v>104</v>
      </c>
      <c r="T978" s="5">
        <v>104</v>
      </c>
      <c r="U978" s="5">
        <v>104</v>
      </c>
    </row>
    <row r="979" spans="1:21" x14ac:dyDescent="0.25">
      <c r="A979" s="5" t="s">
        <v>6387</v>
      </c>
      <c r="B979" s="5" t="s">
        <v>6388</v>
      </c>
      <c r="C979" s="5" t="s">
        <v>6280</v>
      </c>
      <c r="D979" s="5"/>
      <c r="E979" s="5" t="s">
        <v>6322</v>
      </c>
      <c r="F979" s="5"/>
      <c r="G979" s="5"/>
      <c r="H979" s="5"/>
      <c r="I979" s="5" t="s">
        <v>6281</v>
      </c>
      <c r="J979" s="5" t="s">
        <v>6323</v>
      </c>
      <c r="K979" s="5" t="s">
        <v>6324</v>
      </c>
      <c r="L979" s="5">
        <v>54</v>
      </c>
      <c r="M979" s="5">
        <v>1</v>
      </c>
      <c r="N979" s="5"/>
      <c r="O979" s="5"/>
      <c r="P979" s="5"/>
      <c r="Q979" s="5"/>
      <c r="R979" s="5"/>
      <c r="S979" s="5">
        <v>54</v>
      </c>
      <c r="T979" s="5">
        <v>54</v>
      </c>
      <c r="U979" s="5">
        <v>54</v>
      </c>
    </row>
    <row r="980" spans="1:21" x14ac:dyDescent="0.25">
      <c r="A980" s="5" t="s">
        <v>6389</v>
      </c>
      <c r="B980" s="5" t="s">
        <v>6390</v>
      </c>
      <c r="C980" s="5" t="s">
        <v>6280</v>
      </c>
      <c r="D980" s="5"/>
      <c r="E980" s="5" t="s">
        <v>6322</v>
      </c>
      <c r="F980" s="5"/>
      <c r="G980" s="5"/>
      <c r="H980" s="5"/>
      <c r="I980" s="5" t="s">
        <v>6281</v>
      </c>
      <c r="J980" s="5" t="s">
        <v>6323</v>
      </c>
      <c r="K980" s="5" t="s">
        <v>6324</v>
      </c>
      <c r="L980" s="5">
        <v>54</v>
      </c>
      <c r="M980" s="5">
        <v>2</v>
      </c>
      <c r="N980" s="5"/>
      <c r="O980" s="5"/>
      <c r="P980" s="5"/>
      <c r="Q980" s="5"/>
      <c r="R980" s="5"/>
      <c r="S980" s="5">
        <v>108</v>
      </c>
      <c r="T980" s="5">
        <v>108</v>
      </c>
      <c r="U980" s="5">
        <v>108</v>
      </c>
    </row>
    <row r="981" spans="1:21" x14ac:dyDescent="0.25">
      <c r="A981" s="5" t="s">
        <v>6391</v>
      </c>
      <c r="B981" s="5" t="s">
        <v>6392</v>
      </c>
      <c r="C981" s="5" t="s">
        <v>6280</v>
      </c>
      <c r="D981" s="5"/>
      <c r="E981" s="5" t="s">
        <v>6322</v>
      </c>
      <c r="F981" s="5"/>
      <c r="G981" s="5"/>
      <c r="H981" s="5"/>
      <c r="I981" s="5" t="s">
        <v>6281</v>
      </c>
      <c r="J981" s="5" t="s">
        <v>6323</v>
      </c>
      <c r="K981" s="5" t="s">
        <v>6324</v>
      </c>
      <c r="L981" s="5">
        <v>55</v>
      </c>
      <c r="M981" s="5">
        <v>1</v>
      </c>
      <c r="N981" s="5"/>
      <c r="O981" s="5"/>
      <c r="P981" s="5"/>
      <c r="Q981" s="5"/>
      <c r="R981" s="5"/>
      <c r="S981" s="5">
        <v>55</v>
      </c>
      <c r="T981" s="5">
        <v>55</v>
      </c>
      <c r="U981" s="5">
        <v>55</v>
      </c>
    </row>
    <row r="982" spans="1:21" x14ac:dyDescent="0.25">
      <c r="A982" s="5" t="s">
        <v>6393</v>
      </c>
      <c r="B982" s="5" t="s">
        <v>6394</v>
      </c>
      <c r="C982" s="5" t="s">
        <v>6280</v>
      </c>
      <c r="D982" s="5"/>
      <c r="E982" s="5" t="s">
        <v>6322</v>
      </c>
      <c r="F982" s="5"/>
      <c r="G982" s="5"/>
      <c r="H982" s="5"/>
      <c r="I982" s="5" t="s">
        <v>6281</v>
      </c>
      <c r="J982" s="5" t="s">
        <v>6323</v>
      </c>
      <c r="K982" s="5" t="s">
        <v>6324</v>
      </c>
      <c r="L982" s="5">
        <v>55</v>
      </c>
      <c r="M982" s="5">
        <v>2</v>
      </c>
      <c r="N982" s="5"/>
      <c r="O982" s="5"/>
      <c r="P982" s="5"/>
      <c r="Q982" s="5"/>
      <c r="R982" s="5"/>
      <c r="S982" s="5">
        <v>110</v>
      </c>
      <c r="T982" s="5">
        <v>110</v>
      </c>
      <c r="U982" s="5">
        <v>110</v>
      </c>
    </row>
    <row r="983" spans="1:21" x14ac:dyDescent="0.25">
      <c r="A983" s="5" t="s">
        <v>6395</v>
      </c>
      <c r="B983" s="5" t="s">
        <v>6396</v>
      </c>
      <c r="C983" s="5" t="s">
        <v>6280</v>
      </c>
      <c r="D983" s="5"/>
      <c r="E983" s="5" t="s">
        <v>6322</v>
      </c>
      <c r="F983" s="5"/>
      <c r="G983" s="5"/>
      <c r="H983" s="5"/>
      <c r="I983" s="5" t="s">
        <v>6281</v>
      </c>
      <c r="J983" s="5" t="s">
        <v>6323</v>
      </c>
      <c r="K983" s="5" t="s">
        <v>6324</v>
      </c>
      <c r="L983" s="5">
        <v>60</v>
      </c>
      <c r="M983" s="5">
        <v>1</v>
      </c>
      <c r="N983" s="5"/>
      <c r="O983" s="5"/>
      <c r="P983" s="5"/>
      <c r="Q983" s="5"/>
      <c r="R983" s="5"/>
      <c r="S983" s="5">
        <v>60</v>
      </c>
      <c r="T983" s="5">
        <v>60</v>
      </c>
      <c r="U983" s="5">
        <v>60</v>
      </c>
    </row>
    <row r="984" spans="1:21" x14ac:dyDescent="0.25">
      <c r="A984" s="5" t="s">
        <v>6397</v>
      </c>
      <c r="B984" s="5" t="s">
        <v>6398</v>
      </c>
      <c r="C984" s="5" t="s">
        <v>6280</v>
      </c>
      <c r="D984" s="5"/>
      <c r="E984" s="5" t="s">
        <v>6322</v>
      </c>
      <c r="F984" s="5"/>
      <c r="G984" s="5"/>
      <c r="H984" s="5"/>
      <c r="I984" s="5" t="s">
        <v>6281</v>
      </c>
      <c r="J984" s="5" t="s">
        <v>6323</v>
      </c>
      <c r="K984" s="5" t="s">
        <v>6324</v>
      </c>
      <c r="L984" s="5">
        <v>60</v>
      </c>
      <c r="M984" s="5">
        <v>2</v>
      </c>
      <c r="N984" s="5"/>
      <c r="O984" s="5"/>
      <c r="P984" s="5"/>
      <c r="Q984" s="5"/>
      <c r="R984" s="5"/>
      <c r="S984" s="5">
        <v>120</v>
      </c>
      <c r="T984" s="5">
        <v>120</v>
      </c>
      <c r="U984" s="5">
        <v>120</v>
      </c>
    </row>
    <row r="985" spans="1:21" x14ac:dyDescent="0.25">
      <c r="A985" s="5" t="s">
        <v>6399</v>
      </c>
      <c r="B985" s="5" t="s">
        <v>6400</v>
      </c>
      <c r="C985" s="5" t="s">
        <v>6280</v>
      </c>
      <c r="D985" s="5"/>
      <c r="E985" s="5" t="s">
        <v>6322</v>
      </c>
      <c r="F985" s="5"/>
      <c r="G985" s="5"/>
      <c r="H985" s="5"/>
      <c r="I985" s="5" t="s">
        <v>6281</v>
      </c>
      <c r="J985" s="5" t="s">
        <v>6323</v>
      </c>
      <c r="K985" s="5" t="s">
        <v>6324</v>
      </c>
      <c r="L985" s="5">
        <v>60</v>
      </c>
      <c r="M985" s="5">
        <v>3</v>
      </c>
      <c r="N985" s="5"/>
      <c r="O985" s="5"/>
      <c r="P985" s="5"/>
      <c r="Q985" s="5"/>
      <c r="R985" s="5"/>
      <c r="S985" s="5">
        <v>180</v>
      </c>
      <c r="T985" s="5">
        <v>180</v>
      </c>
      <c r="U985" s="5">
        <v>180</v>
      </c>
    </row>
    <row r="986" spans="1:21" x14ac:dyDescent="0.25">
      <c r="A986" s="5" t="s">
        <v>6401</v>
      </c>
      <c r="B986" s="5" t="s">
        <v>6402</v>
      </c>
      <c r="C986" s="5" t="s">
        <v>6280</v>
      </c>
      <c r="D986" s="5"/>
      <c r="E986" s="5" t="s">
        <v>6322</v>
      </c>
      <c r="F986" s="5"/>
      <c r="G986" s="5"/>
      <c r="H986" s="5"/>
      <c r="I986" s="5" t="s">
        <v>6281</v>
      </c>
      <c r="J986" s="5" t="s">
        <v>6323</v>
      </c>
      <c r="K986" s="5" t="s">
        <v>6324</v>
      </c>
      <c r="L986" s="5">
        <v>65</v>
      </c>
      <c r="M986" s="5">
        <v>1</v>
      </c>
      <c r="N986" s="5"/>
      <c r="O986" s="5"/>
      <c r="P986" s="5"/>
      <c r="Q986" s="5"/>
      <c r="R986" s="5"/>
      <c r="S986" s="5">
        <v>65</v>
      </c>
      <c r="T986" s="5">
        <v>65</v>
      </c>
      <c r="U986" s="5">
        <v>65</v>
      </c>
    </row>
    <row r="987" spans="1:21" x14ac:dyDescent="0.25">
      <c r="A987" s="5" t="s">
        <v>6403</v>
      </c>
      <c r="B987" s="5" t="s">
        <v>6404</v>
      </c>
      <c r="C987" s="5" t="s">
        <v>6280</v>
      </c>
      <c r="D987" s="5"/>
      <c r="E987" s="5" t="s">
        <v>6322</v>
      </c>
      <c r="F987" s="5"/>
      <c r="G987" s="5"/>
      <c r="H987" s="5"/>
      <c r="I987" s="5" t="s">
        <v>6281</v>
      </c>
      <c r="J987" s="5" t="s">
        <v>6323</v>
      </c>
      <c r="K987" s="5" t="s">
        <v>6324</v>
      </c>
      <c r="L987" s="5">
        <v>65</v>
      </c>
      <c r="M987" s="5">
        <v>2</v>
      </c>
      <c r="N987" s="5"/>
      <c r="O987" s="5"/>
      <c r="P987" s="5"/>
      <c r="Q987" s="5"/>
      <c r="R987" s="5"/>
      <c r="S987" s="5">
        <v>130</v>
      </c>
      <c r="T987" s="5">
        <v>130</v>
      </c>
      <c r="U987" s="5">
        <v>130</v>
      </c>
    </row>
    <row r="988" spans="1:21" x14ac:dyDescent="0.25">
      <c r="A988" s="5" t="s">
        <v>6405</v>
      </c>
      <c r="B988" s="5" t="s">
        <v>6406</v>
      </c>
      <c r="C988" s="5" t="s">
        <v>6280</v>
      </c>
      <c r="D988" s="5"/>
      <c r="E988" s="5" t="s">
        <v>6322</v>
      </c>
      <c r="F988" s="5"/>
      <c r="G988" s="5"/>
      <c r="H988" s="5"/>
      <c r="I988" s="5" t="s">
        <v>6281</v>
      </c>
      <c r="J988" s="5" t="s">
        <v>6323</v>
      </c>
      <c r="K988" s="5" t="s">
        <v>6324</v>
      </c>
      <c r="L988" s="5">
        <v>67</v>
      </c>
      <c r="M988" s="5">
        <v>1</v>
      </c>
      <c r="N988" s="5"/>
      <c r="O988" s="5"/>
      <c r="P988" s="5"/>
      <c r="Q988" s="5"/>
      <c r="R988" s="5"/>
      <c r="S988" s="5">
        <v>67</v>
      </c>
      <c r="T988" s="5">
        <v>67</v>
      </c>
      <c r="U988" s="5">
        <v>67</v>
      </c>
    </row>
    <row r="989" spans="1:21" x14ac:dyDescent="0.25">
      <c r="A989" s="5" t="s">
        <v>6407</v>
      </c>
      <c r="B989" s="5" t="s">
        <v>6408</v>
      </c>
      <c r="C989" s="5" t="s">
        <v>6280</v>
      </c>
      <c r="D989" s="5"/>
      <c r="E989" s="5" t="s">
        <v>6322</v>
      </c>
      <c r="F989" s="5"/>
      <c r="G989" s="5"/>
      <c r="H989" s="5"/>
      <c r="I989" s="5" t="s">
        <v>6281</v>
      </c>
      <c r="J989" s="5" t="s">
        <v>6323</v>
      </c>
      <c r="K989" s="5" t="s">
        <v>6324</v>
      </c>
      <c r="L989" s="5">
        <v>67</v>
      </c>
      <c r="M989" s="5">
        <v>2</v>
      </c>
      <c r="N989" s="5"/>
      <c r="O989" s="5"/>
      <c r="P989" s="5"/>
      <c r="Q989" s="5"/>
      <c r="R989" s="5"/>
      <c r="S989" s="5">
        <v>134</v>
      </c>
      <c r="T989" s="5">
        <v>134</v>
      </c>
      <c r="U989" s="5">
        <v>134</v>
      </c>
    </row>
    <row r="990" spans="1:21" x14ac:dyDescent="0.25">
      <c r="A990" s="5" t="s">
        <v>7114</v>
      </c>
      <c r="B990" s="5" t="s">
        <v>6409</v>
      </c>
      <c r="C990" s="5" t="s">
        <v>6280</v>
      </c>
      <c r="D990" s="5"/>
      <c r="E990" s="5" t="s">
        <v>7115</v>
      </c>
      <c r="F990" s="5"/>
      <c r="G990" s="5"/>
      <c r="H990" s="5"/>
      <c r="I990" s="5" t="s">
        <v>6281</v>
      </c>
      <c r="J990" s="5" t="s">
        <v>6323</v>
      </c>
      <c r="K990" s="5" t="s">
        <v>6324</v>
      </c>
      <c r="L990" s="5">
        <v>69</v>
      </c>
      <c r="M990" s="5">
        <v>1</v>
      </c>
      <c r="N990" s="5"/>
      <c r="O990" s="5"/>
      <c r="P990" s="5"/>
      <c r="Q990" s="5"/>
      <c r="R990" s="5"/>
      <c r="S990" s="5">
        <v>69</v>
      </c>
      <c r="T990" s="5">
        <v>69</v>
      </c>
      <c r="U990" s="5">
        <v>69</v>
      </c>
    </row>
    <row r="991" spans="1:21" x14ac:dyDescent="0.25">
      <c r="A991" s="5" t="s">
        <v>6410</v>
      </c>
      <c r="B991" s="5" t="s">
        <v>6411</v>
      </c>
      <c r="C991" s="5" t="s">
        <v>6280</v>
      </c>
      <c r="D991" s="5"/>
      <c r="E991" s="5" t="s">
        <v>6322</v>
      </c>
      <c r="F991" s="5"/>
      <c r="G991" s="5"/>
      <c r="H991" s="5"/>
      <c r="I991" s="5" t="s">
        <v>6281</v>
      </c>
      <c r="J991" s="5" t="s">
        <v>6323</v>
      </c>
      <c r="K991" s="5" t="s">
        <v>6324</v>
      </c>
      <c r="L991" s="5">
        <v>72</v>
      </c>
      <c r="M991" s="5">
        <v>1</v>
      </c>
      <c r="N991" s="5"/>
      <c r="O991" s="5"/>
      <c r="P991" s="5"/>
      <c r="Q991" s="5"/>
      <c r="R991" s="5"/>
      <c r="S991" s="5">
        <v>72</v>
      </c>
      <c r="T991" s="5">
        <v>72</v>
      </c>
      <c r="U991" s="5">
        <v>72</v>
      </c>
    </row>
    <row r="992" spans="1:21" x14ac:dyDescent="0.25">
      <c r="A992" s="5" t="s">
        <v>6412</v>
      </c>
      <c r="B992" s="5" t="s">
        <v>6413</v>
      </c>
      <c r="C992" s="5" t="s">
        <v>6280</v>
      </c>
      <c r="D992" s="5"/>
      <c r="E992" s="5" t="s">
        <v>6322</v>
      </c>
      <c r="F992" s="5"/>
      <c r="G992" s="5"/>
      <c r="H992" s="5"/>
      <c r="I992" s="5" t="s">
        <v>6281</v>
      </c>
      <c r="J992" s="5" t="s">
        <v>6323</v>
      </c>
      <c r="K992" s="5" t="s">
        <v>6324</v>
      </c>
      <c r="L992" s="5">
        <v>75</v>
      </c>
      <c r="M992" s="5">
        <v>1</v>
      </c>
      <c r="N992" s="5"/>
      <c r="O992" s="5"/>
      <c r="P992" s="5"/>
      <c r="Q992" s="5"/>
      <c r="R992" s="5"/>
      <c r="S992" s="5">
        <v>75</v>
      </c>
      <c r="T992" s="5">
        <v>75</v>
      </c>
      <c r="U992" s="5">
        <v>75</v>
      </c>
    </row>
    <row r="993" spans="1:21" x14ac:dyDescent="0.25">
      <c r="A993" s="5" t="s">
        <v>6414</v>
      </c>
      <c r="B993" s="5" t="s">
        <v>6415</v>
      </c>
      <c r="C993" s="5" t="s">
        <v>6280</v>
      </c>
      <c r="D993" s="5"/>
      <c r="E993" s="5" t="s">
        <v>6322</v>
      </c>
      <c r="F993" s="5"/>
      <c r="G993" s="5"/>
      <c r="H993" s="5"/>
      <c r="I993" s="5" t="s">
        <v>6281</v>
      </c>
      <c r="J993" s="5" t="s">
        <v>6323</v>
      </c>
      <c r="K993" s="5" t="s">
        <v>6324</v>
      </c>
      <c r="L993" s="5">
        <v>75</v>
      </c>
      <c r="M993" s="5">
        <v>2</v>
      </c>
      <c r="N993" s="5"/>
      <c r="O993" s="5"/>
      <c r="P993" s="5"/>
      <c r="Q993" s="5"/>
      <c r="R993" s="5"/>
      <c r="S993" s="5">
        <v>150</v>
      </c>
      <c r="T993" s="5">
        <v>150</v>
      </c>
      <c r="U993" s="5">
        <v>150</v>
      </c>
    </row>
    <row r="994" spans="1:21" x14ac:dyDescent="0.25">
      <c r="A994" s="5" t="s">
        <v>6416</v>
      </c>
      <c r="B994" s="5" t="s">
        <v>6417</v>
      </c>
      <c r="C994" s="5" t="s">
        <v>6280</v>
      </c>
      <c r="D994" s="5"/>
      <c r="E994" s="5" t="s">
        <v>6322</v>
      </c>
      <c r="F994" s="5"/>
      <c r="G994" s="5"/>
      <c r="H994" s="5"/>
      <c r="I994" s="5" t="s">
        <v>6281</v>
      </c>
      <c r="J994" s="5" t="s">
        <v>6323</v>
      </c>
      <c r="K994" s="5" t="s">
        <v>6324</v>
      </c>
      <c r="L994" s="5">
        <v>80</v>
      </c>
      <c r="M994" s="5">
        <v>1</v>
      </c>
      <c r="N994" s="5"/>
      <c r="O994" s="5"/>
      <c r="P994" s="5"/>
      <c r="Q994" s="5"/>
      <c r="R994" s="5"/>
      <c r="S994" s="5">
        <v>80</v>
      </c>
      <c r="T994" s="5">
        <v>80</v>
      </c>
      <c r="U994" s="5">
        <v>80</v>
      </c>
    </row>
    <row r="995" spans="1:21" x14ac:dyDescent="0.25">
      <c r="A995" s="5" t="s">
        <v>6418</v>
      </c>
      <c r="B995" s="5" t="s">
        <v>6419</v>
      </c>
      <c r="C995" s="5" t="s">
        <v>6280</v>
      </c>
      <c r="D995" s="5"/>
      <c r="E995" s="5" t="s">
        <v>6322</v>
      </c>
      <c r="F995" s="5"/>
      <c r="G995" s="5"/>
      <c r="H995" s="5"/>
      <c r="I995" s="5" t="s">
        <v>6281</v>
      </c>
      <c r="J995" s="5" t="s">
        <v>6323</v>
      </c>
      <c r="K995" s="5" t="s">
        <v>6324</v>
      </c>
      <c r="L995" s="5">
        <v>85</v>
      </c>
      <c r="M995" s="5">
        <v>1</v>
      </c>
      <c r="N995" s="5"/>
      <c r="O995" s="5"/>
      <c r="P995" s="5"/>
      <c r="Q995" s="5"/>
      <c r="R995" s="5"/>
      <c r="S995" s="5">
        <v>85</v>
      </c>
      <c r="T995" s="5">
        <v>85</v>
      </c>
      <c r="U995" s="5">
        <v>85</v>
      </c>
    </row>
    <row r="996" spans="1:21" x14ac:dyDescent="0.25">
      <c r="A996" s="5" t="s">
        <v>6420</v>
      </c>
      <c r="B996" s="5" t="s">
        <v>6421</v>
      </c>
      <c r="C996" s="5" t="s">
        <v>6280</v>
      </c>
      <c r="D996" s="5"/>
      <c r="E996" s="5" t="s">
        <v>6322</v>
      </c>
      <c r="F996" s="5"/>
      <c r="G996" s="5"/>
      <c r="H996" s="5"/>
      <c r="I996" s="5" t="s">
        <v>6281</v>
      </c>
      <c r="J996" s="5" t="s">
        <v>6323</v>
      </c>
      <c r="K996" s="5" t="s">
        <v>6324</v>
      </c>
      <c r="L996" s="5">
        <v>8</v>
      </c>
      <c r="M996" s="5">
        <v>1</v>
      </c>
      <c r="N996" s="5"/>
      <c r="O996" s="5"/>
      <c r="P996" s="5"/>
      <c r="Q996" s="5"/>
      <c r="R996" s="5"/>
      <c r="S996" s="5">
        <v>8</v>
      </c>
      <c r="T996" s="5">
        <v>8</v>
      </c>
      <c r="U996" s="5">
        <v>8</v>
      </c>
    </row>
    <row r="997" spans="1:21" x14ac:dyDescent="0.25">
      <c r="A997" s="5" t="s">
        <v>6422</v>
      </c>
      <c r="B997" s="5" t="s">
        <v>6423</v>
      </c>
      <c r="C997" s="5" t="s">
        <v>6280</v>
      </c>
      <c r="D997" s="5"/>
      <c r="E997" s="5" t="s">
        <v>6322</v>
      </c>
      <c r="F997" s="5"/>
      <c r="G997" s="5"/>
      <c r="H997" s="5"/>
      <c r="I997" s="5" t="s">
        <v>6281</v>
      </c>
      <c r="J997" s="5" t="s">
        <v>6323</v>
      </c>
      <c r="K997" s="5" t="s">
        <v>6324</v>
      </c>
      <c r="L997" s="5">
        <v>8</v>
      </c>
      <c r="M997" s="5">
        <v>2</v>
      </c>
      <c r="N997" s="5"/>
      <c r="O997" s="5"/>
      <c r="P997" s="5"/>
      <c r="Q997" s="5"/>
      <c r="R997" s="5"/>
      <c r="S997" s="5">
        <v>15</v>
      </c>
      <c r="T997" s="5">
        <v>15</v>
      </c>
      <c r="U997" s="5">
        <v>15</v>
      </c>
    </row>
    <row r="998" spans="1:21" x14ac:dyDescent="0.25">
      <c r="A998" s="5" t="s">
        <v>6424</v>
      </c>
      <c r="B998" s="5" t="s">
        <v>6425</v>
      </c>
      <c r="C998" s="5" t="s">
        <v>6280</v>
      </c>
      <c r="D998" s="5"/>
      <c r="E998" s="5" t="s">
        <v>6322</v>
      </c>
      <c r="F998" s="5"/>
      <c r="G998" s="5"/>
      <c r="H998" s="5"/>
      <c r="I998" s="5" t="s">
        <v>6281</v>
      </c>
      <c r="J998" s="5" t="s">
        <v>6323</v>
      </c>
      <c r="K998" s="5" t="s">
        <v>6324</v>
      </c>
      <c r="L998" s="5">
        <v>90</v>
      </c>
      <c r="M998" s="5">
        <v>1</v>
      </c>
      <c r="N998" s="5"/>
      <c r="O998" s="5"/>
      <c r="P998" s="5"/>
      <c r="Q998" s="5"/>
      <c r="R998" s="5"/>
      <c r="S998" s="5">
        <v>90</v>
      </c>
      <c r="T998" s="5">
        <v>90</v>
      </c>
      <c r="U998" s="5">
        <v>90</v>
      </c>
    </row>
    <row r="999" spans="1:21" x14ac:dyDescent="0.25">
      <c r="A999" s="5" t="s">
        <v>6426</v>
      </c>
      <c r="B999" s="5" t="s">
        <v>6427</v>
      </c>
      <c r="C999" s="5" t="s">
        <v>6280</v>
      </c>
      <c r="D999" s="5"/>
      <c r="E999" s="5" t="s">
        <v>6322</v>
      </c>
      <c r="F999" s="5"/>
      <c r="G999" s="5"/>
      <c r="H999" s="5"/>
      <c r="I999" s="5" t="s">
        <v>6281</v>
      </c>
      <c r="J999" s="5" t="s">
        <v>6323</v>
      </c>
      <c r="K999" s="5" t="s">
        <v>6324</v>
      </c>
      <c r="L999" s="5">
        <v>90</v>
      </c>
      <c r="M999" s="5">
        <v>2</v>
      </c>
      <c r="N999" s="5"/>
      <c r="O999" s="5"/>
      <c r="P999" s="5"/>
      <c r="Q999" s="5"/>
      <c r="R999" s="5"/>
      <c r="S999" s="5">
        <v>180</v>
      </c>
      <c r="T999" s="5">
        <v>180</v>
      </c>
      <c r="U999" s="5">
        <v>180</v>
      </c>
    </row>
    <row r="1000" spans="1:21" x14ac:dyDescent="0.25">
      <c r="A1000" s="5" t="s">
        <v>6428</v>
      </c>
      <c r="B1000" s="5" t="s">
        <v>6429</v>
      </c>
      <c r="C1000" s="5" t="s">
        <v>6280</v>
      </c>
      <c r="D1000" s="5"/>
      <c r="E1000" s="5" t="s">
        <v>6322</v>
      </c>
      <c r="F1000" s="5"/>
      <c r="G1000" s="5"/>
      <c r="H1000" s="5"/>
      <c r="I1000" s="5" t="s">
        <v>6281</v>
      </c>
      <c r="J1000" s="5" t="s">
        <v>6323</v>
      </c>
      <c r="K1000" s="5" t="s">
        <v>6324</v>
      </c>
      <c r="L1000" s="5">
        <v>93</v>
      </c>
      <c r="M1000" s="5">
        <v>1</v>
      </c>
      <c r="N1000" s="5"/>
      <c r="O1000" s="5"/>
      <c r="P1000" s="5"/>
      <c r="Q1000" s="5"/>
      <c r="R1000" s="5"/>
      <c r="S1000" s="5">
        <v>93</v>
      </c>
      <c r="T1000" s="5">
        <v>93</v>
      </c>
      <c r="U1000" s="5">
        <v>93</v>
      </c>
    </row>
    <row r="1001" spans="1:21" x14ac:dyDescent="0.25">
      <c r="A1001" s="5" t="s">
        <v>6430</v>
      </c>
      <c r="B1001" s="5" t="s">
        <v>6431</v>
      </c>
      <c r="C1001" s="5" t="s">
        <v>6280</v>
      </c>
      <c r="D1001" s="5"/>
      <c r="E1001" s="5" t="s">
        <v>6322</v>
      </c>
      <c r="F1001" s="5"/>
      <c r="G1001" s="5"/>
      <c r="H1001" s="5"/>
      <c r="I1001" s="5" t="s">
        <v>6281</v>
      </c>
      <c r="J1001" s="5" t="s">
        <v>6323</v>
      </c>
      <c r="K1001" s="5" t="s">
        <v>6324</v>
      </c>
      <c r="L1001" s="5">
        <v>95</v>
      </c>
      <c r="M1001" s="5">
        <v>1</v>
      </c>
      <c r="N1001" s="5"/>
      <c r="O1001" s="5"/>
      <c r="P1001" s="5"/>
      <c r="Q1001" s="5"/>
      <c r="R1001" s="5"/>
      <c r="S1001" s="5">
        <v>95</v>
      </c>
      <c r="T1001" s="5">
        <v>95</v>
      </c>
      <c r="U1001" s="5">
        <v>95</v>
      </c>
    </row>
    <row r="1002" spans="1:21" x14ac:dyDescent="0.25">
      <c r="A1002" s="5" t="s">
        <v>6432</v>
      </c>
      <c r="B1002" s="5" t="s">
        <v>6433</v>
      </c>
      <c r="C1002" s="5" t="s">
        <v>6280</v>
      </c>
      <c r="D1002" s="5"/>
      <c r="E1002" s="5" t="s">
        <v>6322</v>
      </c>
      <c r="F1002" s="5"/>
      <c r="G1002" s="5"/>
      <c r="H1002" s="5"/>
      <c r="I1002" s="5" t="s">
        <v>6281</v>
      </c>
      <c r="J1002" s="5" t="s">
        <v>6323</v>
      </c>
      <c r="K1002" s="5" t="s">
        <v>6324</v>
      </c>
      <c r="L1002" s="5">
        <v>95</v>
      </c>
      <c r="M1002" s="5">
        <v>2</v>
      </c>
      <c r="N1002" s="5"/>
      <c r="O1002" s="5"/>
      <c r="P1002" s="5"/>
      <c r="Q1002" s="5"/>
      <c r="R1002" s="5"/>
      <c r="S1002" s="5">
        <v>190</v>
      </c>
      <c r="T1002" s="5">
        <v>190</v>
      </c>
      <c r="U1002" s="5">
        <v>190</v>
      </c>
    </row>
    <row r="1003" spans="1:21" x14ac:dyDescent="0.25">
      <c r="A1003" s="5" t="s">
        <v>6434</v>
      </c>
      <c r="B1003" s="5" t="s">
        <v>6435</v>
      </c>
      <c r="C1003" s="5" t="s">
        <v>6280</v>
      </c>
      <c r="D1003" s="5"/>
      <c r="E1003" s="5" t="s">
        <v>3564</v>
      </c>
      <c r="F1003" s="5"/>
      <c r="G1003" s="5"/>
      <c r="H1003" s="5"/>
      <c r="I1003" s="5" t="s">
        <v>6281</v>
      </c>
      <c r="J1003" s="5" t="s">
        <v>6323</v>
      </c>
      <c r="K1003" s="5" t="s">
        <v>6286</v>
      </c>
      <c r="L1003" s="5">
        <v>1000</v>
      </c>
      <c r="M1003" s="5">
        <v>1</v>
      </c>
      <c r="N1003" s="5"/>
      <c r="O1003" s="5"/>
      <c r="P1003" s="5"/>
      <c r="Q1003" s="5"/>
      <c r="R1003" s="5"/>
      <c r="S1003" s="5">
        <v>1000</v>
      </c>
      <c r="T1003" s="5">
        <v>1000</v>
      </c>
      <c r="U1003" s="5">
        <v>1000</v>
      </c>
    </row>
    <row r="1004" spans="1:21" x14ac:dyDescent="0.25">
      <c r="A1004" s="5" t="s">
        <v>6436</v>
      </c>
      <c r="B1004" s="5" t="s">
        <v>6437</v>
      </c>
      <c r="C1004" s="5" t="s">
        <v>6280</v>
      </c>
      <c r="D1004" s="5"/>
      <c r="E1004" s="5" t="s">
        <v>3564</v>
      </c>
      <c r="F1004" s="5"/>
      <c r="G1004" s="5"/>
      <c r="H1004" s="5"/>
      <c r="I1004" s="5" t="s">
        <v>6281</v>
      </c>
      <c r="J1004" s="5" t="s">
        <v>6323</v>
      </c>
      <c r="K1004" s="5" t="s">
        <v>6286</v>
      </c>
      <c r="L1004" s="5">
        <v>100</v>
      </c>
      <c r="M1004" s="5">
        <v>3</v>
      </c>
      <c r="N1004" s="5"/>
      <c r="O1004" s="5"/>
      <c r="P1004" s="5"/>
      <c r="Q1004" s="5"/>
      <c r="R1004" s="5"/>
      <c r="S1004" s="5">
        <v>300</v>
      </c>
      <c r="T1004" s="5">
        <v>300</v>
      </c>
      <c r="U1004" s="5">
        <v>300</v>
      </c>
    </row>
    <row r="1005" spans="1:21" x14ac:dyDescent="0.25">
      <c r="A1005" s="5" t="s">
        <v>6438</v>
      </c>
      <c r="B1005" s="5" t="s">
        <v>6439</v>
      </c>
      <c r="C1005" s="5" t="s">
        <v>6280</v>
      </c>
      <c r="D1005" s="5"/>
      <c r="E1005" s="5" t="s">
        <v>3564</v>
      </c>
      <c r="F1005" s="5"/>
      <c r="G1005" s="5"/>
      <c r="H1005" s="5"/>
      <c r="I1005" s="5" t="s">
        <v>6281</v>
      </c>
      <c r="J1005" s="5" t="s">
        <v>6323</v>
      </c>
      <c r="K1005" s="5" t="s">
        <v>6286</v>
      </c>
      <c r="L1005" s="5">
        <v>100</v>
      </c>
      <c r="M1005" s="5">
        <v>4</v>
      </c>
      <c r="N1005" s="5"/>
      <c r="O1005" s="5"/>
      <c r="P1005" s="5"/>
      <c r="Q1005" s="5"/>
      <c r="R1005" s="5"/>
      <c r="S1005" s="5">
        <v>400</v>
      </c>
      <c r="T1005" s="5">
        <v>400</v>
      </c>
      <c r="U1005" s="5">
        <v>400</v>
      </c>
    </row>
    <row r="1006" spans="1:21" x14ac:dyDescent="0.25">
      <c r="A1006" s="5" t="s">
        <v>6440</v>
      </c>
      <c r="B1006" s="5" t="s">
        <v>6441</v>
      </c>
      <c r="C1006" s="5" t="s">
        <v>6280</v>
      </c>
      <c r="D1006" s="5"/>
      <c r="E1006" s="5" t="s">
        <v>3564</v>
      </c>
      <c r="F1006" s="5"/>
      <c r="G1006" s="5"/>
      <c r="H1006" s="5"/>
      <c r="I1006" s="5" t="s">
        <v>6281</v>
      </c>
      <c r="J1006" s="5" t="s">
        <v>6323</v>
      </c>
      <c r="K1006" s="5" t="s">
        <v>6286</v>
      </c>
      <c r="L1006" s="5">
        <v>100</v>
      </c>
      <c r="M1006" s="5">
        <v>5</v>
      </c>
      <c r="N1006" s="5"/>
      <c r="O1006" s="5"/>
      <c r="P1006" s="5"/>
      <c r="Q1006" s="5"/>
      <c r="R1006" s="5"/>
      <c r="S1006" s="5">
        <v>500</v>
      </c>
      <c r="T1006" s="5">
        <v>500</v>
      </c>
      <c r="U1006" s="5">
        <v>500</v>
      </c>
    </row>
    <row r="1007" spans="1:21" x14ac:dyDescent="0.25">
      <c r="A1007" s="5" t="s">
        <v>6442</v>
      </c>
      <c r="B1007" s="5" t="s">
        <v>6443</v>
      </c>
      <c r="C1007" s="5" t="s">
        <v>6280</v>
      </c>
      <c r="D1007" s="5"/>
      <c r="E1007" s="5" t="s">
        <v>3564</v>
      </c>
      <c r="F1007" s="5"/>
      <c r="G1007" s="5"/>
      <c r="H1007" s="5"/>
      <c r="I1007" s="5" t="s">
        <v>6281</v>
      </c>
      <c r="J1007" s="5" t="s">
        <v>6323</v>
      </c>
      <c r="K1007" s="5" t="s">
        <v>6286</v>
      </c>
      <c r="L1007" s="5">
        <v>120</v>
      </c>
      <c r="M1007" s="5">
        <v>2</v>
      </c>
      <c r="N1007" s="5"/>
      <c r="O1007" s="5"/>
      <c r="P1007" s="5"/>
      <c r="Q1007" s="5"/>
      <c r="R1007" s="5"/>
      <c r="S1007" s="5">
        <v>240</v>
      </c>
      <c r="T1007" s="5">
        <v>240</v>
      </c>
      <c r="U1007" s="5">
        <v>240</v>
      </c>
    </row>
    <row r="1008" spans="1:21" x14ac:dyDescent="0.25">
      <c r="A1008" s="5" t="s">
        <v>6444</v>
      </c>
      <c r="B1008" s="5" t="s">
        <v>6445</v>
      </c>
      <c r="C1008" s="5" t="s">
        <v>6280</v>
      </c>
      <c r="D1008" s="5"/>
      <c r="E1008" s="5" t="s">
        <v>3564</v>
      </c>
      <c r="F1008" s="5"/>
      <c r="G1008" s="5"/>
      <c r="H1008" s="5"/>
      <c r="I1008" s="5" t="s">
        <v>6281</v>
      </c>
      <c r="J1008" s="5" t="s">
        <v>6323</v>
      </c>
      <c r="K1008" s="5" t="s">
        <v>6286</v>
      </c>
      <c r="L1008" s="5">
        <v>135</v>
      </c>
      <c r="M1008" s="5">
        <v>2</v>
      </c>
      <c r="N1008" s="5"/>
      <c r="O1008" s="5"/>
      <c r="P1008" s="5"/>
      <c r="Q1008" s="5"/>
      <c r="R1008" s="5"/>
      <c r="S1008" s="5">
        <v>270</v>
      </c>
      <c r="T1008" s="5">
        <v>270</v>
      </c>
      <c r="U1008" s="5">
        <v>270</v>
      </c>
    </row>
    <row r="1009" spans="1:21" x14ac:dyDescent="0.25">
      <c r="A1009" s="5" t="s">
        <v>6446</v>
      </c>
      <c r="B1009" s="5" t="s">
        <v>6447</v>
      </c>
      <c r="C1009" s="5" t="s">
        <v>6280</v>
      </c>
      <c r="D1009" s="5"/>
      <c r="E1009" s="5" t="s">
        <v>3564</v>
      </c>
      <c r="F1009" s="5"/>
      <c r="G1009" s="5"/>
      <c r="H1009" s="5"/>
      <c r="I1009" s="5" t="s">
        <v>6281</v>
      </c>
      <c r="J1009" s="5" t="s">
        <v>6323</v>
      </c>
      <c r="K1009" s="5" t="s">
        <v>6286</v>
      </c>
      <c r="L1009" s="5">
        <v>1500</v>
      </c>
      <c r="M1009" s="5">
        <v>1</v>
      </c>
      <c r="N1009" s="5"/>
      <c r="O1009" s="5"/>
      <c r="P1009" s="5"/>
      <c r="Q1009" s="5"/>
      <c r="R1009" s="5"/>
      <c r="S1009" s="5">
        <v>1500</v>
      </c>
      <c r="T1009" s="5">
        <v>1500</v>
      </c>
      <c r="U1009" s="5">
        <v>1500</v>
      </c>
    </row>
    <row r="1010" spans="1:21" x14ac:dyDescent="0.25">
      <c r="A1010" s="5" t="s">
        <v>6448</v>
      </c>
      <c r="B1010" s="5" t="s">
        <v>6449</v>
      </c>
      <c r="C1010" s="5" t="s">
        <v>6280</v>
      </c>
      <c r="D1010" s="5"/>
      <c r="E1010" s="5" t="s">
        <v>3564</v>
      </c>
      <c r="F1010" s="5"/>
      <c r="G1010" s="5"/>
      <c r="H1010" s="5"/>
      <c r="I1010" s="5" t="s">
        <v>6281</v>
      </c>
      <c r="J1010" s="5" t="s">
        <v>6323</v>
      </c>
      <c r="K1010" s="5" t="s">
        <v>6286</v>
      </c>
      <c r="L1010" s="5">
        <v>150</v>
      </c>
      <c r="M1010" s="5">
        <v>2</v>
      </c>
      <c r="N1010" s="5"/>
      <c r="O1010" s="5"/>
      <c r="P1010" s="5"/>
      <c r="Q1010" s="5"/>
      <c r="R1010" s="5"/>
      <c r="S1010" s="5">
        <v>300</v>
      </c>
      <c r="T1010" s="5">
        <v>300</v>
      </c>
      <c r="U1010" s="5">
        <v>300</v>
      </c>
    </row>
    <row r="1011" spans="1:21" x14ac:dyDescent="0.25">
      <c r="A1011" s="5" t="s">
        <v>6450</v>
      </c>
      <c r="B1011" s="5" t="s">
        <v>6451</v>
      </c>
      <c r="C1011" s="5" t="s">
        <v>6280</v>
      </c>
      <c r="D1011" s="5"/>
      <c r="E1011" s="5" t="s">
        <v>3564</v>
      </c>
      <c r="F1011" s="5"/>
      <c r="G1011" s="5"/>
      <c r="H1011" s="5"/>
      <c r="I1011" s="5" t="s">
        <v>6281</v>
      </c>
      <c r="J1011" s="5" t="s">
        <v>6323</v>
      </c>
      <c r="K1011" s="5" t="s">
        <v>6286</v>
      </c>
      <c r="L1011" s="5">
        <v>150</v>
      </c>
      <c r="M1011" s="5">
        <v>3</v>
      </c>
      <c r="N1011" s="5"/>
      <c r="O1011" s="5"/>
      <c r="P1011" s="5"/>
      <c r="Q1011" s="5"/>
      <c r="R1011" s="5"/>
      <c r="S1011" s="5">
        <v>450</v>
      </c>
      <c r="T1011" s="5">
        <v>450</v>
      </c>
      <c r="U1011" s="5">
        <v>450</v>
      </c>
    </row>
    <row r="1012" spans="1:21" x14ac:dyDescent="0.25">
      <c r="A1012" s="5" t="s">
        <v>6452</v>
      </c>
      <c r="B1012" s="5" t="s">
        <v>6453</v>
      </c>
      <c r="C1012" s="5" t="s">
        <v>6280</v>
      </c>
      <c r="D1012" s="5"/>
      <c r="E1012" s="5" t="s">
        <v>3564</v>
      </c>
      <c r="F1012" s="5"/>
      <c r="G1012" s="5"/>
      <c r="H1012" s="5"/>
      <c r="I1012" s="5" t="s">
        <v>6281</v>
      </c>
      <c r="J1012" s="5" t="s">
        <v>6323</v>
      </c>
      <c r="K1012" s="5" t="s">
        <v>6286</v>
      </c>
      <c r="L1012" s="5">
        <v>2000</v>
      </c>
      <c r="M1012" s="5">
        <v>1</v>
      </c>
      <c r="N1012" s="5"/>
      <c r="O1012" s="5"/>
      <c r="P1012" s="5"/>
      <c r="Q1012" s="5"/>
      <c r="R1012" s="5"/>
      <c r="S1012" s="5">
        <v>2000</v>
      </c>
      <c r="T1012" s="5">
        <v>2000</v>
      </c>
      <c r="U1012" s="5">
        <v>2000</v>
      </c>
    </row>
    <row r="1013" spans="1:21" x14ac:dyDescent="0.25">
      <c r="A1013" s="5" t="s">
        <v>6454</v>
      </c>
      <c r="B1013" s="5" t="s">
        <v>6455</v>
      </c>
      <c r="C1013" s="5" t="s">
        <v>6280</v>
      </c>
      <c r="D1013" s="5"/>
      <c r="E1013" s="5" t="s">
        <v>3564</v>
      </c>
      <c r="F1013" s="5"/>
      <c r="G1013" s="5"/>
      <c r="H1013" s="5"/>
      <c r="I1013" s="5" t="s">
        <v>6281</v>
      </c>
      <c r="J1013" s="5" t="s">
        <v>6323</v>
      </c>
      <c r="K1013" s="5" t="s">
        <v>6286</v>
      </c>
      <c r="L1013" s="5">
        <v>200</v>
      </c>
      <c r="M1013" s="5">
        <v>2</v>
      </c>
      <c r="N1013" s="5"/>
      <c r="O1013" s="5"/>
      <c r="P1013" s="5"/>
      <c r="Q1013" s="5"/>
      <c r="R1013" s="5"/>
      <c r="S1013" s="5">
        <v>400</v>
      </c>
      <c r="T1013" s="5">
        <v>400</v>
      </c>
      <c r="U1013" s="5">
        <v>400</v>
      </c>
    </row>
    <row r="1014" spans="1:21" x14ac:dyDescent="0.25">
      <c r="A1014" s="5" t="s">
        <v>6456</v>
      </c>
      <c r="B1014" s="5" t="s">
        <v>6457</v>
      </c>
      <c r="C1014" s="5" t="s">
        <v>6280</v>
      </c>
      <c r="D1014" s="5"/>
      <c r="E1014" s="5" t="s">
        <v>3564</v>
      </c>
      <c r="F1014" s="5"/>
      <c r="G1014" s="5"/>
      <c r="H1014" s="5"/>
      <c r="I1014" s="5" t="s">
        <v>6281</v>
      </c>
      <c r="J1014" s="5" t="s">
        <v>6323</v>
      </c>
      <c r="K1014" s="5" t="s">
        <v>6286</v>
      </c>
      <c r="L1014" s="5">
        <v>250</v>
      </c>
      <c r="M1014" s="5">
        <v>1</v>
      </c>
      <c r="N1014" s="5"/>
      <c r="O1014" s="5"/>
      <c r="P1014" s="5"/>
      <c r="Q1014" s="5"/>
      <c r="R1014" s="5"/>
      <c r="S1014" s="5">
        <v>250</v>
      </c>
      <c r="T1014" s="5">
        <v>250</v>
      </c>
      <c r="U1014" s="5">
        <v>250</v>
      </c>
    </row>
    <row r="1015" spans="1:21" x14ac:dyDescent="0.25">
      <c r="A1015" s="5" t="s">
        <v>6458</v>
      </c>
      <c r="B1015" s="5" t="s">
        <v>6459</v>
      </c>
      <c r="C1015" s="5" t="s">
        <v>6280</v>
      </c>
      <c r="D1015" s="5"/>
      <c r="E1015" s="5" t="s">
        <v>3564</v>
      </c>
      <c r="F1015" s="5"/>
      <c r="G1015" s="5"/>
      <c r="H1015" s="5"/>
      <c r="I1015" s="5" t="s">
        <v>6281</v>
      </c>
      <c r="J1015" s="5" t="s">
        <v>6323</v>
      </c>
      <c r="K1015" s="5" t="s">
        <v>6286</v>
      </c>
      <c r="L1015" s="5">
        <v>300</v>
      </c>
      <c r="M1015" s="5">
        <v>1</v>
      </c>
      <c r="N1015" s="5"/>
      <c r="O1015" s="5"/>
      <c r="P1015" s="5"/>
      <c r="Q1015" s="5"/>
      <c r="R1015" s="5"/>
      <c r="S1015" s="5">
        <v>300</v>
      </c>
      <c r="T1015" s="5">
        <v>300</v>
      </c>
      <c r="U1015" s="5">
        <v>300</v>
      </c>
    </row>
    <row r="1016" spans="1:21" x14ac:dyDescent="0.25">
      <c r="A1016" s="5" t="s">
        <v>6460</v>
      </c>
      <c r="B1016" s="5" t="s">
        <v>6461</v>
      </c>
      <c r="C1016" s="5" t="s">
        <v>6280</v>
      </c>
      <c r="D1016" s="5"/>
      <c r="E1016" s="5" t="s">
        <v>3564</v>
      </c>
      <c r="F1016" s="5"/>
      <c r="G1016" s="5"/>
      <c r="H1016" s="5"/>
      <c r="I1016" s="5" t="s">
        <v>6281</v>
      </c>
      <c r="J1016" s="5" t="s">
        <v>6323</v>
      </c>
      <c r="K1016" s="5" t="s">
        <v>6286</v>
      </c>
      <c r="L1016" s="5">
        <v>300</v>
      </c>
      <c r="M1016" s="5">
        <v>4</v>
      </c>
      <c r="N1016" s="5"/>
      <c r="O1016" s="5"/>
      <c r="P1016" s="5"/>
      <c r="Q1016" s="5"/>
      <c r="R1016" s="5"/>
      <c r="S1016" s="5">
        <v>1200</v>
      </c>
      <c r="T1016" s="5">
        <v>1200</v>
      </c>
      <c r="U1016" s="5">
        <v>1200</v>
      </c>
    </row>
    <row r="1017" spans="1:21" x14ac:dyDescent="0.25">
      <c r="A1017" s="5" t="s">
        <v>6462</v>
      </c>
      <c r="B1017" s="5" t="s">
        <v>6463</v>
      </c>
      <c r="C1017" s="5" t="s">
        <v>6280</v>
      </c>
      <c r="D1017" s="5"/>
      <c r="E1017" s="5" t="s">
        <v>3564</v>
      </c>
      <c r="F1017" s="5"/>
      <c r="G1017" s="5"/>
      <c r="H1017" s="5"/>
      <c r="I1017" s="5" t="s">
        <v>6281</v>
      </c>
      <c r="J1017" s="5" t="s">
        <v>6323</v>
      </c>
      <c r="K1017" s="5" t="s">
        <v>6286</v>
      </c>
      <c r="L1017" s="5">
        <v>400</v>
      </c>
      <c r="M1017" s="5">
        <v>1</v>
      </c>
      <c r="N1017" s="5"/>
      <c r="O1017" s="5"/>
      <c r="P1017" s="5"/>
      <c r="Q1017" s="5"/>
      <c r="R1017" s="5"/>
      <c r="S1017" s="5">
        <v>400</v>
      </c>
      <c r="T1017" s="5">
        <v>400</v>
      </c>
      <c r="U1017" s="5">
        <v>400</v>
      </c>
    </row>
    <row r="1018" spans="1:21" x14ac:dyDescent="0.25">
      <c r="A1018" s="5" t="s">
        <v>6464</v>
      </c>
      <c r="B1018" s="5" t="s">
        <v>6465</v>
      </c>
      <c r="C1018" s="5" t="s">
        <v>6280</v>
      </c>
      <c r="D1018" s="5"/>
      <c r="E1018" s="5" t="s">
        <v>3564</v>
      </c>
      <c r="F1018" s="5"/>
      <c r="G1018" s="5"/>
      <c r="H1018" s="5"/>
      <c r="I1018" s="5" t="s">
        <v>6281</v>
      </c>
      <c r="J1018" s="5" t="s">
        <v>6323</v>
      </c>
      <c r="K1018" s="5" t="s">
        <v>6286</v>
      </c>
      <c r="L1018" s="5">
        <v>448</v>
      </c>
      <c r="M1018" s="5">
        <v>1</v>
      </c>
      <c r="N1018" s="5"/>
      <c r="O1018" s="5"/>
      <c r="P1018" s="5"/>
      <c r="Q1018" s="5"/>
      <c r="R1018" s="5"/>
      <c r="S1018" s="5">
        <v>448</v>
      </c>
      <c r="T1018" s="5">
        <v>448</v>
      </c>
      <c r="U1018" s="5">
        <v>448</v>
      </c>
    </row>
    <row r="1019" spans="1:21" x14ac:dyDescent="0.25">
      <c r="A1019" s="5" t="s">
        <v>6466</v>
      </c>
      <c r="B1019" s="5" t="s">
        <v>6467</v>
      </c>
      <c r="C1019" s="5" t="s">
        <v>6280</v>
      </c>
      <c r="D1019" s="5"/>
      <c r="E1019" s="5" t="s">
        <v>3564</v>
      </c>
      <c r="F1019" s="5"/>
      <c r="G1019" s="5"/>
      <c r="H1019" s="5"/>
      <c r="I1019" s="5" t="s">
        <v>6281</v>
      </c>
      <c r="J1019" s="5" t="s">
        <v>6323</v>
      </c>
      <c r="K1019" s="5" t="s">
        <v>6286</v>
      </c>
      <c r="L1019" s="5">
        <v>500</v>
      </c>
      <c r="M1019" s="5">
        <v>1</v>
      </c>
      <c r="N1019" s="5"/>
      <c r="O1019" s="5"/>
      <c r="P1019" s="5"/>
      <c r="Q1019" s="5"/>
      <c r="R1019" s="5"/>
      <c r="S1019" s="5">
        <v>500</v>
      </c>
      <c r="T1019" s="5">
        <v>500</v>
      </c>
      <c r="U1019" s="5">
        <v>500</v>
      </c>
    </row>
    <row r="1020" spans="1:21" x14ac:dyDescent="0.25">
      <c r="A1020" s="5" t="s">
        <v>6468</v>
      </c>
      <c r="B1020" s="5" t="s">
        <v>6469</v>
      </c>
      <c r="C1020" s="5" t="s">
        <v>6280</v>
      </c>
      <c r="D1020" s="5"/>
      <c r="E1020" s="5" t="s">
        <v>3564</v>
      </c>
      <c r="F1020" s="5"/>
      <c r="G1020" s="5"/>
      <c r="H1020" s="5"/>
      <c r="I1020" s="5" t="s">
        <v>6281</v>
      </c>
      <c r="J1020" s="5" t="s">
        <v>6323</v>
      </c>
      <c r="K1020" s="5" t="s">
        <v>6286</v>
      </c>
      <c r="L1020" s="5">
        <v>60</v>
      </c>
      <c r="M1020" s="5">
        <v>4</v>
      </c>
      <c r="N1020" s="5"/>
      <c r="O1020" s="5"/>
      <c r="P1020" s="5"/>
      <c r="Q1020" s="5"/>
      <c r="R1020" s="5"/>
      <c r="S1020" s="5">
        <v>240</v>
      </c>
      <c r="T1020" s="5">
        <v>240</v>
      </c>
      <c r="U1020" s="5">
        <v>240</v>
      </c>
    </row>
    <row r="1021" spans="1:21" x14ac:dyDescent="0.25">
      <c r="A1021" s="5" t="s">
        <v>6470</v>
      </c>
      <c r="B1021" s="5" t="s">
        <v>6471</v>
      </c>
      <c r="C1021" s="5" t="s">
        <v>6280</v>
      </c>
      <c r="D1021" s="5"/>
      <c r="E1021" s="5" t="s">
        <v>3564</v>
      </c>
      <c r="F1021" s="5"/>
      <c r="G1021" s="5"/>
      <c r="H1021" s="5"/>
      <c r="I1021" s="5" t="s">
        <v>6281</v>
      </c>
      <c r="J1021" s="5" t="s">
        <v>6323</v>
      </c>
      <c r="K1021" s="5" t="s">
        <v>6286</v>
      </c>
      <c r="L1021" s="5">
        <v>60</v>
      </c>
      <c r="M1021" s="5">
        <v>5</v>
      </c>
      <c r="N1021" s="5"/>
      <c r="O1021" s="5"/>
      <c r="P1021" s="5"/>
      <c r="Q1021" s="5"/>
      <c r="R1021" s="5"/>
      <c r="S1021" s="5">
        <v>300</v>
      </c>
      <c r="T1021" s="5">
        <v>300</v>
      </c>
      <c r="U1021" s="5">
        <v>300</v>
      </c>
    </row>
    <row r="1022" spans="1:21" x14ac:dyDescent="0.25">
      <c r="A1022" s="5" t="s">
        <v>6472</v>
      </c>
      <c r="B1022" s="5" t="s">
        <v>6473</v>
      </c>
      <c r="C1022" s="5" t="s">
        <v>6280</v>
      </c>
      <c r="D1022" s="5"/>
      <c r="E1022" s="5" t="s">
        <v>3564</v>
      </c>
      <c r="F1022" s="5"/>
      <c r="G1022" s="5"/>
      <c r="H1022" s="5"/>
      <c r="I1022" s="5" t="s">
        <v>6281</v>
      </c>
      <c r="J1022" s="5" t="s">
        <v>6323</v>
      </c>
      <c r="K1022" s="5" t="s">
        <v>6286</v>
      </c>
      <c r="L1022" s="5">
        <v>67</v>
      </c>
      <c r="M1022" s="5">
        <v>3</v>
      </c>
      <c r="N1022" s="5"/>
      <c r="O1022" s="5"/>
      <c r="P1022" s="5"/>
      <c r="Q1022" s="5"/>
      <c r="R1022" s="5"/>
      <c r="S1022" s="5">
        <v>201</v>
      </c>
      <c r="T1022" s="5">
        <v>201</v>
      </c>
      <c r="U1022" s="5">
        <v>201</v>
      </c>
    </row>
    <row r="1023" spans="1:21" x14ac:dyDescent="0.25">
      <c r="A1023" s="5" t="s">
        <v>6474</v>
      </c>
      <c r="B1023" s="5" t="s">
        <v>6475</v>
      </c>
      <c r="C1023" s="5" t="s">
        <v>6280</v>
      </c>
      <c r="D1023" s="5"/>
      <c r="E1023" s="5" t="s">
        <v>3564</v>
      </c>
      <c r="F1023" s="5"/>
      <c r="G1023" s="5"/>
      <c r="H1023" s="5"/>
      <c r="I1023" s="5" t="s">
        <v>6281</v>
      </c>
      <c r="J1023" s="5" t="s">
        <v>6323</v>
      </c>
      <c r="K1023" s="5" t="s">
        <v>6286</v>
      </c>
      <c r="L1023" s="5">
        <v>750</v>
      </c>
      <c r="M1023" s="5">
        <v>1</v>
      </c>
      <c r="N1023" s="5"/>
      <c r="O1023" s="5"/>
      <c r="P1023" s="5"/>
      <c r="Q1023" s="5"/>
      <c r="R1023" s="5"/>
      <c r="S1023" s="5">
        <v>750</v>
      </c>
      <c r="T1023" s="5">
        <v>750</v>
      </c>
      <c r="U1023" s="5">
        <v>750</v>
      </c>
    </row>
    <row r="1024" spans="1:21" x14ac:dyDescent="0.25">
      <c r="A1024" s="5" t="s">
        <v>6476</v>
      </c>
      <c r="B1024" s="5" t="s">
        <v>6477</v>
      </c>
      <c r="C1024" s="5" t="s">
        <v>6280</v>
      </c>
      <c r="D1024" s="5"/>
      <c r="E1024" s="5" t="s">
        <v>3564</v>
      </c>
      <c r="F1024" s="5"/>
      <c r="G1024" s="5"/>
      <c r="H1024" s="5"/>
      <c r="I1024" s="5" t="s">
        <v>6281</v>
      </c>
      <c r="J1024" s="5" t="s">
        <v>6323</v>
      </c>
      <c r="K1024" s="5" t="s">
        <v>6286</v>
      </c>
      <c r="L1024" s="5">
        <v>75</v>
      </c>
      <c r="M1024" s="5">
        <v>3</v>
      </c>
      <c r="N1024" s="5"/>
      <c r="O1024" s="5"/>
      <c r="P1024" s="5"/>
      <c r="Q1024" s="5"/>
      <c r="R1024" s="5"/>
      <c r="S1024" s="5">
        <v>225</v>
      </c>
      <c r="T1024" s="5">
        <v>225</v>
      </c>
      <c r="U1024" s="5">
        <v>225</v>
      </c>
    </row>
    <row r="1025" spans="1:21" x14ac:dyDescent="0.25">
      <c r="A1025" s="5" t="s">
        <v>6478</v>
      </c>
      <c r="B1025" s="5" t="s">
        <v>6479</v>
      </c>
      <c r="C1025" s="5" t="s">
        <v>6280</v>
      </c>
      <c r="D1025" s="5"/>
      <c r="E1025" s="5" t="s">
        <v>3564</v>
      </c>
      <c r="F1025" s="5"/>
      <c r="G1025" s="5"/>
      <c r="H1025" s="5"/>
      <c r="I1025" s="5" t="s">
        <v>6281</v>
      </c>
      <c r="J1025" s="5" t="s">
        <v>6323</v>
      </c>
      <c r="K1025" s="5" t="s">
        <v>6286</v>
      </c>
      <c r="L1025" s="5">
        <v>75</v>
      </c>
      <c r="M1025" s="5">
        <v>4</v>
      </c>
      <c r="N1025" s="5"/>
      <c r="O1025" s="5"/>
      <c r="P1025" s="5"/>
      <c r="Q1025" s="5"/>
      <c r="R1025" s="5"/>
      <c r="S1025" s="5">
        <v>300</v>
      </c>
      <c r="T1025" s="5">
        <v>300</v>
      </c>
      <c r="U1025" s="5">
        <v>300</v>
      </c>
    </row>
    <row r="1026" spans="1:21" x14ac:dyDescent="0.25">
      <c r="A1026" s="5" t="s">
        <v>6480</v>
      </c>
      <c r="B1026" s="5" t="s">
        <v>6481</v>
      </c>
      <c r="C1026" s="5" t="s">
        <v>6280</v>
      </c>
      <c r="D1026" s="5"/>
      <c r="E1026" s="5" t="s">
        <v>3564</v>
      </c>
      <c r="F1026" s="5"/>
      <c r="G1026" s="5"/>
      <c r="H1026" s="5"/>
      <c r="I1026" s="5" t="s">
        <v>6281</v>
      </c>
      <c r="J1026" s="5" t="s">
        <v>6323</v>
      </c>
      <c r="K1026" s="5" t="s">
        <v>6286</v>
      </c>
      <c r="L1026" s="5">
        <v>90</v>
      </c>
      <c r="M1026" s="5">
        <v>3</v>
      </c>
      <c r="N1026" s="5"/>
      <c r="O1026" s="5"/>
      <c r="P1026" s="5"/>
      <c r="Q1026" s="5"/>
      <c r="R1026" s="5"/>
      <c r="S1026" s="5">
        <v>270</v>
      </c>
      <c r="T1026" s="5">
        <v>270</v>
      </c>
      <c r="U1026" s="5">
        <v>270</v>
      </c>
    </row>
    <row r="1027" spans="1:21" x14ac:dyDescent="0.25">
      <c r="A1027" s="5" t="s">
        <v>7116</v>
      </c>
      <c r="B1027" s="5" t="s">
        <v>6482</v>
      </c>
      <c r="C1027" s="5" t="s">
        <v>6280</v>
      </c>
      <c r="D1027" s="5"/>
      <c r="E1027" s="5" t="s">
        <v>3563</v>
      </c>
      <c r="F1027" s="5"/>
      <c r="G1027" s="5"/>
      <c r="H1027" s="5"/>
      <c r="I1027" s="5" t="s">
        <v>6281</v>
      </c>
      <c r="J1027" s="5" t="s">
        <v>6323</v>
      </c>
      <c r="K1027" s="5" t="s">
        <v>3565</v>
      </c>
      <c r="L1027" s="5">
        <v>10</v>
      </c>
      <c r="M1027" s="5">
        <v>2</v>
      </c>
      <c r="N1027" s="5"/>
      <c r="O1027" s="5"/>
      <c r="P1027" s="5"/>
      <c r="Q1027" s="5"/>
      <c r="R1027" s="5"/>
      <c r="S1027" s="5">
        <v>20</v>
      </c>
      <c r="T1027" s="5">
        <v>20</v>
      </c>
      <c r="U1027" s="5">
        <v>20</v>
      </c>
    </row>
    <row r="1028" spans="1:21" x14ac:dyDescent="0.25">
      <c r="A1028" s="5" t="s">
        <v>7117</v>
      </c>
      <c r="B1028" s="5" t="s">
        <v>6483</v>
      </c>
      <c r="C1028" s="5" t="s">
        <v>6280</v>
      </c>
      <c r="D1028" s="5"/>
      <c r="E1028" s="5" t="s">
        <v>3563</v>
      </c>
      <c r="F1028" s="5"/>
      <c r="G1028" s="5"/>
      <c r="H1028" s="5"/>
      <c r="I1028" s="5" t="s">
        <v>6281</v>
      </c>
      <c r="J1028" s="5" t="s">
        <v>6323</v>
      </c>
      <c r="K1028" s="5" t="s">
        <v>3565</v>
      </c>
      <c r="L1028" s="5">
        <v>15</v>
      </c>
      <c r="M1028" s="5">
        <v>1</v>
      </c>
      <c r="N1028" s="5"/>
      <c r="O1028" s="5"/>
      <c r="P1028" s="5"/>
      <c r="Q1028" s="5"/>
      <c r="R1028" s="5"/>
      <c r="S1028" s="5">
        <v>15</v>
      </c>
      <c r="T1028" s="5">
        <v>15</v>
      </c>
      <c r="U1028" s="5">
        <v>15</v>
      </c>
    </row>
    <row r="1029" spans="1:21" x14ac:dyDescent="0.25">
      <c r="A1029" s="5" t="s">
        <v>7118</v>
      </c>
      <c r="B1029" s="5" t="s">
        <v>6484</v>
      </c>
      <c r="C1029" s="5" t="s">
        <v>6280</v>
      </c>
      <c r="D1029" s="5"/>
      <c r="E1029" s="5" t="s">
        <v>3563</v>
      </c>
      <c r="F1029" s="5"/>
      <c r="G1029" s="5"/>
      <c r="H1029" s="5"/>
      <c r="I1029" s="5" t="s">
        <v>6281</v>
      </c>
      <c r="J1029" s="5" t="s">
        <v>6323</v>
      </c>
      <c r="K1029" s="5" t="s">
        <v>3565</v>
      </c>
      <c r="L1029" s="5">
        <v>15</v>
      </c>
      <c r="M1029" s="5">
        <v>2</v>
      </c>
      <c r="N1029" s="5"/>
      <c r="O1029" s="5"/>
      <c r="P1029" s="5"/>
      <c r="Q1029" s="5"/>
      <c r="R1029" s="5"/>
      <c r="S1029" s="5">
        <v>30</v>
      </c>
      <c r="T1029" s="5">
        <v>30</v>
      </c>
      <c r="U1029" s="5">
        <v>30</v>
      </c>
    </row>
    <row r="1030" spans="1:21" x14ac:dyDescent="0.25">
      <c r="A1030" s="5" t="s">
        <v>7119</v>
      </c>
      <c r="B1030" s="5" t="s">
        <v>6485</v>
      </c>
      <c r="C1030" s="5" t="s">
        <v>6280</v>
      </c>
      <c r="D1030" s="5"/>
      <c r="E1030" s="5" t="s">
        <v>3563</v>
      </c>
      <c r="F1030" s="5"/>
      <c r="G1030" s="5"/>
      <c r="H1030" s="5"/>
      <c r="I1030" s="5" t="s">
        <v>6281</v>
      </c>
      <c r="J1030" s="5" t="s">
        <v>6323</v>
      </c>
      <c r="K1030" s="5" t="s">
        <v>3565</v>
      </c>
      <c r="L1030" s="5">
        <v>20</v>
      </c>
      <c r="M1030" s="5">
        <v>1</v>
      </c>
      <c r="N1030" s="5"/>
      <c r="O1030" s="5"/>
      <c r="P1030" s="5"/>
      <c r="Q1030" s="5"/>
      <c r="R1030" s="5"/>
      <c r="S1030" s="5">
        <v>20</v>
      </c>
      <c r="T1030" s="5">
        <v>20</v>
      </c>
      <c r="U1030" s="5">
        <v>20</v>
      </c>
    </row>
    <row r="1031" spans="1:21" x14ac:dyDescent="0.25">
      <c r="A1031" s="5" t="s">
        <v>7120</v>
      </c>
      <c r="B1031" s="5" t="s">
        <v>6486</v>
      </c>
      <c r="C1031" s="5" t="s">
        <v>6280</v>
      </c>
      <c r="D1031" s="5"/>
      <c r="E1031" s="5" t="s">
        <v>3563</v>
      </c>
      <c r="F1031" s="5"/>
      <c r="G1031" s="5"/>
      <c r="H1031" s="5"/>
      <c r="I1031" s="5" t="s">
        <v>6281</v>
      </c>
      <c r="J1031" s="5" t="s">
        <v>6323</v>
      </c>
      <c r="K1031" s="5" t="s">
        <v>3565</v>
      </c>
      <c r="L1031" s="5">
        <v>20</v>
      </c>
      <c r="M1031" s="5">
        <v>2</v>
      </c>
      <c r="N1031" s="5"/>
      <c r="O1031" s="5"/>
      <c r="P1031" s="5"/>
      <c r="Q1031" s="5"/>
      <c r="R1031" s="5"/>
      <c r="S1031" s="5">
        <v>40</v>
      </c>
      <c r="T1031" s="5">
        <v>40</v>
      </c>
      <c r="U1031" s="5">
        <v>40</v>
      </c>
    </row>
    <row r="1032" spans="1:21" x14ac:dyDescent="0.25">
      <c r="A1032" s="5" t="s">
        <v>7121</v>
      </c>
      <c r="B1032" s="5" t="s">
        <v>6487</v>
      </c>
      <c r="C1032" s="5" t="s">
        <v>6280</v>
      </c>
      <c r="D1032" s="5"/>
      <c r="E1032" s="5" t="s">
        <v>3563</v>
      </c>
      <c r="F1032" s="5"/>
      <c r="G1032" s="5"/>
      <c r="H1032" s="5"/>
      <c r="I1032" s="5" t="s">
        <v>6281</v>
      </c>
      <c r="J1032" s="5" t="s">
        <v>6323</v>
      </c>
      <c r="K1032" s="5" t="s">
        <v>3565</v>
      </c>
      <c r="L1032" s="5">
        <v>25</v>
      </c>
      <c r="M1032" s="5">
        <v>1</v>
      </c>
      <c r="N1032" s="5"/>
      <c r="O1032" s="5"/>
      <c r="P1032" s="5"/>
      <c r="Q1032" s="5"/>
      <c r="R1032" s="5"/>
      <c r="S1032" s="5">
        <v>25</v>
      </c>
      <c r="T1032" s="5">
        <v>25</v>
      </c>
      <c r="U1032" s="5">
        <v>25</v>
      </c>
    </row>
    <row r="1033" spans="1:21" x14ac:dyDescent="0.25">
      <c r="A1033" s="5" t="s">
        <v>7122</v>
      </c>
      <c r="B1033" s="5" t="s">
        <v>6488</v>
      </c>
      <c r="C1033" s="5" t="s">
        <v>6280</v>
      </c>
      <c r="D1033" s="5"/>
      <c r="E1033" s="5" t="s">
        <v>3563</v>
      </c>
      <c r="F1033" s="5"/>
      <c r="G1033" s="5"/>
      <c r="H1033" s="5"/>
      <c r="I1033" s="5" t="s">
        <v>6281</v>
      </c>
      <c r="J1033" s="5" t="s">
        <v>6323</v>
      </c>
      <c r="K1033" s="5" t="s">
        <v>3565</v>
      </c>
      <c r="L1033" s="5">
        <v>25</v>
      </c>
      <c r="M1033" s="5">
        <v>2</v>
      </c>
      <c r="N1033" s="5"/>
      <c r="O1033" s="5"/>
      <c r="P1033" s="5"/>
      <c r="Q1033" s="5"/>
      <c r="R1033" s="5"/>
      <c r="S1033" s="5">
        <v>50</v>
      </c>
      <c r="T1033" s="5">
        <v>50</v>
      </c>
      <c r="U1033" s="5">
        <v>50</v>
      </c>
    </row>
    <row r="1034" spans="1:21" x14ac:dyDescent="0.25">
      <c r="A1034" s="5" t="s">
        <v>7123</v>
      </c>
      <c r="B1034" s="5" t="s">
        <v>6489</v>
      </c>
      <c r="C1034" s="5" t="s">
        <v>6280</v>
      </c>
      <c r="D1034" s="5"/>
      <c r="E1034" s="5" t="s">
        <v>3563</v>
      </c>
      <c r="F1034" s="5"/>
      <c r="G1034" s="5"/>
      <c r="H1034" s="5"/>
      <c r="I1034" s="5" t="s">
        <v>6281</v>
      </c>
      <c r="J1034" s="5" t="s">
        <v>6323</v>
      </c>
      <c r="K1034" s="5" t="s">
        <v>3565</v>
      </c>
      <c r="L1034" s="5">
        <v>34</v>
      </c>
      <c r="M1034" s="5">
        <v>1</v>
      </c>
      <c r="N1034" s="5"/>
      <c r="O1034" s="5"/>
      <c r="P1034" s="5"/>
      <c r="Q1034" s="5"/>
      <c r="R1034" s="5"/>
      <c r="S1034" s="5">
        <v>34</v>
      </c>
      <c r="T1034" s="5">
        <v>34</v>
      </c>
      <c r="U1034" s="5">
        <v>34</v>
      </c>
    </row>
    <row r="1035" spans="1:21" x14ac:dyDescent="0.25">
      <c r="A1035" s="5" t="s">
        <v>7124</v>
      </c>
      <c r="B1035" s="5" t="s">
        <v>6490</v>
      </c>
      <c r="C1035" s="5" t="s">
        <v>6280</v>
      </c>
      <c r="D1035" s="5"/>
      <c r="E1035" s="5" t="s">
        <v>3563</v>
      </c>
      <c r="F1035" s="5"/>
      <c r="G1035" s="5"/>
      <c r="H1035" s="5"/>
      <c r="I1035" s="5" t="s">
        <v>6281</v>
      </c>
      <c r="J1035" s="5" t="s">
        <v>6323</v>
      </c>
      <c r="K1035" s="5" t="s">
        <v>3565</v>
      </c>
      <c r="L1035" s="5">
        <v>34</v>
      </c>
      <c r="M1035" s="5">
        <v>2</v>
      </c>
      <c r="N1035" s="5"/>
      <c r="O1035" s="5"/>
      <c r="P1035" s="5"/>
      <c r="Q1035" s="5"/>
      <c r="R1035" s="5"/>
      <c r="S1035" s="5">
        <v>68</v>
      </c>
      <c r="T1035" s="5">
        <v>68</v>
      </c>
      <c r="U1035" s="5">
        <v>68</v>
      </c>
    </row>
    <row r="1036" spans="1:21" x14ac:dyDescent="0.25">
      <c r="A1036" s="5" t="s">
        <v>7125</v>
      </c>
      <c r="B1036" s="5" t="s">
        <v>6491</v>
      </c>
      <c r="C1036" s="5" t="s">
        <v>6280</v>
      </c>
      <c r="D1036" s="5"/>
      <c r="E1036" s="5" t="s">
        <v>3563</v>
      </c>
      <c r="F1036" s="5"/>
      <c r="G1036" s="5"/>
      <c r="H1036" s="5"/>
      <c r="I1036" s="5" t="s">
        <v>6281</v>
      </c>
      <c r="J1036" s="5" t="s">
        <v>6323</v>
      </c>
      <c r="K1036" s="5" t="s">
        <v>3565</v>
      </c>
      <c r="L1036" s="5">
        <v>40</v>
      </c>
      <c r="M1036" s="5">
        <v>1</v>
      </c>
      <c r="N1036" s="5"/>
      <c r="O1036" s="5"/>
      <c r="P1036" s="5"/>
      <c r="Q1036" s="5"/>
      <c r="R1036" s="5"/>
      <c r="S1036" s="5">
        <v>40</v>
      </c>
      <c r="T1036" s="5">
        <v>40</v>
      </c>
      <c r="U1036" s="5">
        <v>40</v>
      </c>
    </row>
    <row r="1037" spans="1:21" x14ac:dyDescent="0.25">
      <c r="A1037" s="5" t="s">
        <v>7126</v>
      </c>
      <c r="B1037" s="5" t="s">
        <v>6492</v>
      </c>
      <c r="C1037" s="5" t="s">
        <v>6280</v>
      </c>
      <c r="D1037" s="5"/>
      <c r="E1037" s="5" t="s">
        <v>3563</v>
      </c>
      <c r="F1037" s="5"/>
      <c r="G1037" s="5"/>
      <c r="H1037" s="5"/>
      <c r="I1037" s="5" t="s">
        <v>6281</v>
      </c>
      <c r="J1037" s="5" t="s">
        <v>6323</v>
      </c>
      <c r="K1037" s="5" t="s">
        <v>3565</v>
      </c>
      <c r="L1037" s="5">
        <v>40</v>
      </c>
      <c r="M1037" s="5">
        <v>2</v>
      </c>
      <c r="N1037" s="5"/>
      <c r="O1037" s="5"/>
      <c r="P1037" s="5"/>
      <c r="Q1037" s="5"/>
      <c r="R1037" s="5"/>
      <c r="S1037" s="5">
        <v>80</v>
      </c>
      <c r="T1037" s="5">
        <v>80</v>
      </c>
      <c r="U1037" s="5">
        <v>80</v>
      </c>
    </row>
    <row r="1038" spans="1:21" x14ac:dyDescent="0.25">
      <c r="A1038" s="5" t="s">
        <v>7127</v>
      </c>
      <c r="B1038" s="5" t="s">
        <v>6493</v>
      </c>
      <c r="C1038" s="5" t="s">
        <v>6280</v>
      </c>
      <c r="D1038" s="5"/>
      <c r="E1038" s="5" t="s">
        <v>3563</v>
      </c>
      <c r="F1038" s="5"/>
      <c r="G1038" s="5"/>
      <c r="H1038" s="5"/>
      <c r="I1038" s="5" t="s">
        <v>6281</v>
      </c>
      <c r="J1038" s="5" t="s">
        <v>6323</v>
      </c>
      <c r="K1038" s="5" t="s">
        <v>3565</v>
      </c>
      <c r="L1038" s="5">
        <v>50</v>
      </c>
      <c r="M1038" s="5">
        <v>2</v>
      </c>
      <c r="N1038" s="5"/>
      <c r="O1038" s="5"/>
      <c r="P1038" s="5"/>
      <c r="Q1038" s="5"/>
      <c r="R1038" s="5"/>
      <c r="S1038" s="5">
        <v>100</v>
      </c>
      <c r="T1038" s="5">
        <v>100</v>
      </c>
      <c r="U1038" s="5">
        <v>100</v>
      </c>
    </row>
    <row r="1039" spans="1:21" x14ac:dyDescent="0.25">
      <c r="A1039" s="5" t="s">
        <v>7128</v>
      </c>
      <c r="B1039" s="5" t="s">
        <v>6494</v>
      </c>
      <c r="C1039" s="5" t="s">
        <v>6280</v>
      </c>
      <c r="D1039" s="5"/>
      <c r="E1039" s="5" t="s">
        <v>3563</v>
      </c>
      <c r="F1039" s="5"/>
      <c r="G1039" s="5"/>
      <c r="H1039" s="5"/>
      <c r="I1039" s="5" t="s">
        <v>6281</v>
      </c>
      <c r="J1039" s="5" t="s">
        <v>6323</v>
      </c>
      <c r="K1039" s="5" t="s">
        <v>3565</v>
      </c>
      <c r="L1039" s="5">
        <v>5</v>
      </c>
      <c r="M1039" s="5">
        <v>1</v>
      </c>
      <c r="N1039" s="5"/>
      <c r="O1039" s="5"/>
      <c r="P1039" s="5"/>
      <c r="Q1039" s="5"/>
      <c r="R1039" s="5"/>
      <c r="S1039" s="5">
        <v>5</v>
      </c>
      <c r="T1039" s="5">
        <v>5</v>
      </c>
      <c r="U1039" s="5">
        <v>5</v>
      </c>
    </row>
    <row r="1040" spans="1:21" x14ac:dyDescent="0.25">
      <c r="A1040" s="5" t="s">
        <v>7129</v>
      </c>
      <c r="B1040" s="5" t="s">
        <v>6495</v>
      </c>
      <c r="C1040" s="5" t="s">
        <v>6280</v>
      </c>
      <c r="D1040" s="5"/>
      <c r="E1040" s="5" t="s">
        <v>3563</v>
      </c>
      <c r="F1040" s="5"/>
      <c r="G1040" s="5"/>
      <c r="H1040" s="5"/>
      <c r="I1040" s="5" t="s">
        <v>6281</v>
      </c>
      <c r="J1040" s="5" t="s">
        <v>6323</v>
      </c>
      <c r="K1040" s="5" t="s">
        <v>3565</v>
      </c>
      <c r="L1040" s="5">
        <v>5</v>
      </c>
      <c r="M1040" s="5">
        <v>2</v>
      </c>
      <c r="N1040" s="5"/>
      <c r="O1040" s="5"/>
      <c r="P1040" s="5"/>
      <c r="Q1040" s="5"/>
      <c r="R1040" s="5"/>
      <c r="S1040" s="5">
        <v>10</v>
      </c>
      <c r="T1040" s="5">
        <v>10</v>
      </c>
      <c r="U1040" s="5">
        <v>10</v>
      </c>
    </row>
    <row r="1041" spans="1:21" x14ac:dyDescent="0.25">
      <c r="A1041" s="5" t="s">
        <v>7130</v>
      </c>
      <c r="B1041" s="5" t="s">
        <v>6496</v>
      </c>
      <c r="C1041" s="5" t="s">
        <v>6280</v>
      </c>
      <c r="D1041" s="5"/>
      <c r="E1041" s="5" t="s">
        <v>3563</v>
      </c>
      <c r="F1041" s="5"/>
      <c r="G1041" s="5"/>
      <c r="H1041" s="5"/>
      <c r="I1041" s="5" t="s">
        <v>6281</v>
      </c>
      <c r="J1041" s="5" t="s">
        <v>6323</v>
      </c>
      <c r="K1041" s="5" t="s">
        <v>3565</v>
      </c>
      <c r="L1041" s="5">
        <v>6</v>
      </c>
      <c r="M1041" s="5">
        <v>1</v>
      </c>
      <c r="N1041" s="5"/>
      <c r="O1041" s="5"/>
      <c r="P1041" s="5"/>
      <c r="Q1041" s="5"/>
      <c r="R1041" s="5"/>
      <c r="S1041" s="5">
        <v>6</v>
      </c>
      <c r="T1041" s="5">
        <v>6</v>
      </c>
      <c r="U1041" s="5">
        <v>6</v>
      </c>
    </row>
    <row r="1042" spans="1:21" x14ac:dyDescent="0.25">
      <c r="A1042" s="5" t="s">
        <v>7131</v>
      </c>
      <c r="B1042" s="5" t="s">
        <v>6497</v>
      </c>
      <c r="C1042" s="5" t="s">
        <v>6280</v>
      </c>
      <c r="D1042" s="5"/>
      <c r="E1042" s="5" t="s">
        <v>3563</v>
      </c>
      <c r="F1042" s="5"/>
      <c r="G1042" s="5"/>
      <c r="H1042" s="5"/>
      <c r="I1042" s="5" t="s">
        <v>6281</v>
      </c>
      <c r="J1042" s="5" t="s">
        <v>6323</v>
      </c>
      <c r="K1042" s="5" t="s">
        <v>3565</v>
      </c>
      <c r="L1042" s="5">
        <v>6</v>
      </c>
      <c r="M1042" s="5">
        <v>2</v>
      </c>
      <c r="N1042" s="5"/>
      <c r="O1042" s="5"/>
      <c r="P1042" s="5"/>
      <c r="Q1042" s="5"/>
      <c r="R1042" s="5"/>
      <c r="S1042" s="5">
        <v>12</v>
      </c>
      <c r="T1042" s="5">
        <v>12</v>
      </c>
      <c r="U1042" s="5">
        <v>12</v>
      </c>
    </row>
    <row r="1043" spans="1:21" x14ac:dyDescent="0.25">
      <c r="A1043" s="5" t="s">
        <v>7132</v>
      </c>
      <c r="B1043" s="5" t="s">
        <v>6498</v>
      </c>
      <c r="C1043" s="5" t="s">
        <v>6280</v>
      </c>
      <c r="D1043" s="5"/>
      <c r="E1043" s="5" t="s">
        <v>3563</v>
      </c>
      <c r="F1043" s="5"/>
      <c r="G1043" s="5"/>
      <c r="H1043" s="5"/>
      <c r="I1043" s="5" t="s">
        <v>6281</v>
      </c>
      <c r="J1043" s="5" t="s">
        <v>6323</v>
      </c>
      <c r="K1043" s="5" t="s">
        <v>3565</v>
      </c>
      <c r="L1043" s="5">
        <v>8</v>
      </c>
      <c r="M1043" s="5">
        <v>1</v>
      </c>
      <c r="N1043" s="5"/>
      <c r="O1043" s="5"/>
      <c r="P1043" s="5"/>
      <c r="Q1043" s="5"/>
      <c r="R1043" s="5"/>
      <c r="S1043" s="5">
        <v>8</v>
      </c>
      <c r="T1043" s="5">
        <v>8</v>
      </c>
      <c r="U1043" s="5">
        <v>8</v>
      </c>
    </row>
    <row r="1044" spans="1:21" x14ac:dyDescent="0.25">
      <c r="A1044" s="5" t="s">
        <v>7133</v>
      </c>
      <c r="B1044" s="5" t="s">
        <v>6499</v>
      </c>
      <c r="C1044" s="5" t="s">
        <v>6280</v>
      </c>
      <c r="D1044" s="5"/>
      <c r="E1044" s="5" t="s">
        <v>3563</v>
      </c>
      <c r="F1044" s="5"/>
      <c r="G1044" s="5"/>
      <c r="H1044" s="5"/>
      <c r="I1044" s="5" t="s">
        <v>6281</v>
      </c>
      <c r="J1044" s="5" t="s">
        <v>6323</v>
      </c>
      <c r="K1044" s="5" t="s">
        <v>3565</v>
      </c>
      <c r="L1044" s="5">
        <v>8</v>
      </c>
      <c r="M1044" s="5">
        <v>2</v>
      </c>
      <c r="N1044" s="5"/>
      <c r="O1044" s="5"/>
      <c r="P1044" s="5"/>
      <c r="Q1044" s="5"/>
      <c r="R1044" s="5"/>
      <c r="S1044" s="5">
        <v>15</v>
      </c>
      <c r="T1044" s="5">
        <v>15</v>
      </c>
      <c r="U1044" s="5">
        <v>15</v>
      </c>
    </row>
    <row r="1045" spans="1:21" x14ac:dyDescent="0.25">
      <c r="A1045" s="5" t="s">
        <v>7134</v>
      </c>
      <c r="B1045" s="5" t="s">
        <v>7135</v>
      </c>
      <c r="C1045" s="5" t="s">
        <v>660</v>
      </c>
      <c r="D1045" s="5"/>
      <c r="E1045" s="5" t="s">
        <v>6500</v>
      </c>
      <c r="F1045" s="5"/>
      <c r="G1045" s="5"/>
      <c r="H1045" s="5"/>
      <c r="I1045" s="5" t="s">
        <v>6502</v>
      </c>
      <c r="J1045" s="5"/>
      <c r="K1045" s="5" t="s">
        <v>6503</v>
      </c>
      <c r="L1045" s="5">
        <v>100</v>
      </c>
      <c r="M1045" s="5">
        <v>1</v>
      </c>
      <c r="N1045" s="5"/>
      <c r="O1045" s="5"/>
      <c r="P1045" s="5"/>
      <c r="Q1045" s="5">
        <v>1</v>
      </c>
      <c r="R1045" s="5"/>
      <c r="S1045" s="5">
        <v>107</v>
      </c>
      <c r="T1045" s="5">
        <v>107</v>
      </c>
      <c r="U1045" s="5">
        <v>107</v>
      </c>
    </row>
    <row r="1046" spans="1:21" x14ac:dyDescent="0.25">
      <c r="A1046" s="5" t="s">
        <v>7136</v>
      </c>
      <c r="B1046" s="5" t="s">
        <v>7137</v>
      </c>
      <c r="C1046" s="5" t="s">
        <v>660</v>
      </c>
      <c r="D1046" s="5"/>
      <c r="E1046" s="5" t="s">
        <v>6500</v>
      </c>
      <c r="F1046" s="5"/>
      <c r="G1046" s="5"/>
      <c r="H1046" s="5"/>
      <c r="I1046" s="5" t="s">
        <v>6502</v>
      </c>
      <c r="J1046" s="5"/>
      <c r="K1046" s="5" t="s">
        <v>6503</v>
      </c>
      <c r="L1046" s="5">
        <v>120</v>
      </c>
      <c r="M1046" s="5">
        <v>1</v>
      </c>
      <c r="N1046" s="5"/>
      <c r="O1046" s="5"/>
      <c r="P1046" s="5"/>
      <c r="Q1046" s="5">
        <v>1</v>
      </c>
      <c r="R1046" s="5"/>
      <c r="S1046" s="5">
        <v>127</v>
      </c>
      <c r="T1046" s="5">
        <v>127</v>
      </c>
      <c r="U1046" s="5">
        <v>127</v>
      </c>
    </row>
    <row r="1047" spans="1:21" x14ac:dyDescent="0.25">
      <c r="A1047" s="5" t="s">
        <v>7138</v>
      </c>
      <c r="B1047" s="5" t="s">
        <v>7139</v>
      </c>
      <c r="C1047" s="5" t="s">
        <v>660</v>
      </c>
      <c r="D1047" s="5"/>
      <c r="E1047" s="5" t="s">
        <v>6500</v>
      </c>
      <c r="F1047" s="5"/>
      <c r="G1047" s="5"/>
      <c r="H1047" s="5"/>
      <c r="I1047" s="5" t="s">
        <v>6502</v>
      </c>
      <c r="J1047" s="5"/>
      <c r="K1047" s="5" t="s">
        <v>6503</v>
      </c>
      <c r="L1047" s="5">
        <v>150</v>
      </c>
      <c r="M1047" s="5">
        <v>1</v>
      </c>
      <c r="N1047" s="5"/>
      <c r="O1047" s="5"/>
      <c r="P1047" s="5"/>
      <c r="Q1047" s="5">
        <v>1</v>
      </c>
      <c r="R1047" s="5"/>
      <c r="S1047" s="5">
        <v>160</v>
      </c>
      <c r="T1047" s="5">
        <v>160</v>
      </c>
      <c r="U1047" s="5">
        <v>160</v>
      </c>
    </row>
    <row r="1048" spans="1:21" x14ac:dyDescent="0.25">
      <c r="A1048" s="5" t="s">
        <v>7140</v>
      </c>
      <c r="B1048" s="5" t="s">
        <v>7141</v>
      </c>
      <c r="C1048" s="5" t="s">
        <v>660</v>
      </c>
      <c r="D1048" s="5"/>
      <c r="E1048" s="5" t="s">
        <v>6500</v>
      </c>
      <c r="F1048" s="5"/>
      <c r="G1048" s="5"/>
      <c r="H1048" s="5"/>
      <c r="I1048" s="5" t="s">
        <v>6502</v>
      </c>
      <c r="J1048" s="5"/>
      <c r="K1048" s="5" t="s">
        <v>6503</v>
      </c>
      <c r="L1048" s="5">
        <v>165</v>
      </c>
      <c r="M1048" s="5">
        <v>1</v>
      </c>
      <c r="N1048" s="5"/>
      <c r="O1048" s="5"/>
      <c r="P1048" s="5"/>
      <c r="Q1048" s="5">
        <v>1</v>
      </c>
      <c r="R1048" s="5"/>
      <c r="S1048" s="5">
        <v>173</v>
      </c>
      <c r="T1048" s="5">
        <v>173</v>
      </c>
      <c r="U1048" s="5">
        <v>173</v>
      </c>
    </row>
    <row r="1049" spans="1:21" x14ac:dyDescent="0.25">
      <c r="A1049" s="5" t="s">
        <v>7142</v>
      </c>
      <c r="B1049" s="5" t="s">
        <v>7143</v>
      </c>
      <c r="C1049" s="5" t="s">
        <v>660</v>
      </c>
      <c r="D1049" s="5"/>
      <c r="E1049" s="5" t="s">
        <v>6500</v>
      </c>
      <c r="F1049" s="5"/>
      <c r="G1049" s="5"/>
      <c r="H1049" s="5"/>
      <c r="I1049" s="5" t="s">
        <v>6502</v>
      </c>
      <c r="J1049" s="5"/>
      <c r="K1049" s="5" t="s">
        <v>6503</v>
      </c>
      <c r="L1049" s="5">
        <v>200</v>
      </c>
      <c r="M1049" s="5">
        <v>1</v>
      </c>
      <c r="N1049" s="5"/>
      <c r="O1049" s="5"/>
      <c r="P1049" s="5"/>
      <c r="Q1049" s="5">
        <v>1</v>
      </c>
      <c r="R1049" s="5"/>
      <c r="S1049" s="5">
        <v>210</v>
      </c>
      <c r="T1049" s="5">
        <v>210</v>
      </c>
      <c r="U1049" s="5">
        <v>210</v>
      </c>
    </row>
    <row r="1050" spans="1:21" x14ac:dyDescent="0.25">
      <c r="A1050" s="5" t="s">
        <v>7144</v>
      </c>
      <c r="B1050" s="5" t="s">
        <v>7145</v>
      </c>
      <c r="C1050" s="5" t="s">
        <v>660</v>
      </c>
      <c r="D1050" s="5"/>
      <c r="E1050" s="5" t="s">
        <v>6500</v>
      </c>
      <c r="F1050" s="5"/>
      <c r="G1050" s="5"/>
      <c r="H1050" s="5"/>
      <c r="I1050" s="5" t="s">
        <v>6502</v>
      </c>
      <c r="J1050" s="5"/>
      <c r="K1050" s="5" t="s">
        <v>6503</v>
      </c>
      <c r="L1050" s="5">
        <v>250</v>
      </c>
      <c r="M1050" s="5">
        <v>1</v>
      </c>
      <c r="N1050" s="5"/>
      <c r="O1050" s="5"/>
      <c r="P1050" s="5"/>
      <c r="Q1050" s="5">
        <v>1</v>
      </c>
      <c r="R1050" s="5"/>
      <c r="S1050" s="5">
        <v>263</v>
      </c>
      <c r="T1050" s="5">
        <v>263</v>
      </c>
      <c r="U1050" s="5">
        <v>263</v>
      </c>
    </row>
    <row r="1051" spans="1:21" x14ac:dyDescent="0.25">
      <c r="A1051" s="5" t="s">
        <v>7146</v>
      </c>
      <c r="B1051" s="5" t="s">
        <v>7147</v>
      </c>
      <c r="C1051" s="5" t="s">
        <v>660</v>
      </c>
      <c r="D1051" s="5"/>
      <c r="E1051" s="5" t="s">
        <v>6500</v>
      </c>
      <c r="F1051" s="5"/>
      <c r="G1051" s="5"/>
      <c r="H1051" s="5"/>
      <c r="I1051" s="5" t="s">
        <v>6502</v>
      </c>
      <c r="J1051" s="5"/>
      <c r="K1051" s="5" t="s">
        <v>6503</v>
      </c>
      <c r="L1051" s="5">
        <v>300</v>
      </c>
      <c r="M1051" s="5">
        <v>1</v>
      </c>
      <c r="N1051" s="5"/>
      <c r="O1051" s="5"/>
      <c r="P1051" s="5"/>
      <c r="Q1051" s="5">
        <v>1</v>
      </c>
      <c r="R1051" s="5"/>
      <c r="S1051" s="5">
        <v>315</v>
      </c>
      <c r="T1051" s="5">
        <v>315</v>
      </c>
      <c r="U1051" s="5">
        <v>315</v>
      </c>
    </row>
    <row r="1052" spans="1:21" x14ac:dyDescent="0.25">
      <c r="A1052" s="5" t="s">
        <v>7148</v>
      </c>
      <c r="B1052" s="5" t="s">
        <v>7149</v>
      </c>
      <c r="C1052" s="5" t="s">
        <v>660</v>
      </c>
      <c r="D1052" s="5"/>
      <c r="E1052" s="5" t="s">
        <v>6500</v>
      </c>
      <c r="F1052" s="5"/>
      <c r="G1052" s="5"/>
      <c r="H1052" s="5"/>
      <c r="I1052" s="5" t="s">
        <v>6502</v>
      </c>
      <c r="J1052" s="5"/>
      <c r="K1052" s="5" t="s">
        <v>6503</v>
      </c>
      <c r="L1052" s="5">
        <v>400</v>
      </c>
      <c r="M1052" s="5">
        <v>1</v>
      </c>
      <c r="N1052" s="5"/>
      <c r="O1052" s="5"/>
      <c r="P1052" s="5"/>
      <c r="Q1052" s="5">
        <v>1</v>
      </c>
      <c r="R1052" s="5"/>
      <c r="S1052" s="5">
        <v>420</v>
      </c>
      <c r="T1052" s="5">
        <v>420</v>
      </c>
      <c r="U1052" s="5">
        <v>420</v>
      </c>
    </row>
    <row r="1053" spans="1:21" x14ac:dyDescent="0.25">
      <c r="A1053" s="5" t="s">
        <v>7150</v>
      </c>
      <c r="B1053" s="5" t="s">
        <v>7151</v>
      </c>
      <c r="C1053" s="5" t="s">
        <v>660</v>
      </c>
      <c r="D1053" s="5"/>
      <c r="E1053" s="5" t="s">
        <v>6500</v>
      </c>
      <c r="F1053" s="5"/>
      <c r="G1053" s="5"/>
      <c r="H1053" s="5"/>
      <c r="I1053" s="5" t="s">
        <v>6502</v>
      </c>
      <c r="J1053" s="5"/>
      <c r="K1053" s="5" t="s">
        <v>6503</v>
      </c>
      <c r="L1053" s="5">
        <v>40</v>
      </c>
      <c r="M1053" s="5">
        <v>1</v>
      </c>
      <c r="N1053" s="5"/>
      <c r="O1053" s="5"/>
      <c r="P1053" s="5"/>
      <c r="Q1053" s="5">
        <v>1</v>
      </c>
      <c r="R1053" s="5"/>
      <c r="S1053" s="5">
        <v>45</v>
      </c>
      <c r="T1053" s="5">
        <v>45</v>
      </c>
      <c r="U1053" s="5">
        <v>45</v>
      </c>
    </row>
    <row r="1054" spans="1:21" x14ac:dyDescent="0.25">
      <c r="A1054" s="5" t="s">
        <v>7152</v>
      </c>
      <c r="B1054" s="5" t="s">
        <v>7153</v>
      </c>
      <c r="C1054" s="5" t="s">
        <v>660</v>
      </c>
      <c r="D1054" s="5"/>
      <c r="E1054" s="5" t="s">
        <v>6500</v>
      </c>
      <c r="F1054" s="5"/>
      <c r="G1054" s="5"/>
      <c r="H1054" s="5"/>
      <c r="I1054" s="5" t="s">
        <v>6502</v>
      </c>
      <c r="J1054" s="5"/>
      <c r="K1054" s="5" t="s">
        <v>6503</v>
      </c>
      <c r="L1054" s="5">
        <v>500</v>
      </c>
      <c r="M1054" s="5">
        <v>1</v>
      </c>
      <c r="N1054" s="5"/>
      <c r="O1054" s="5"/>
      <c r="P1054" s="5"/>
      <c r="Q1054" s="5">
        <v>1</v>
      </c>
      <c r="R1054" s="5"/>
      <c r="S1054" s="5">
        <v>525</v>
      </c>
      <c r="T1054" s="5">
        <v>525</v>
      </c>
      <c r="U1054" s="5">
        <v>525</v>
      </c>
    </row>
    <row r="1055" spans="1:21" x14ac:dyDescent="0.25">
      <c r="A1055" s="5" t="s">
        <v>7154</v>
      </c>
      <c r="B1055" s="5" t="s">
        <v>7155</v>
      </c>
      <c r="C1055" s="5" t="s">
        <v>660</v>
      </c>
      <c r="D1055" s="5"/>
      <c r="E1055" s="5" t="s">
        <v>6500</v>
      </c>
      <c r="F1055" s="5"/>
      <c r="G1055" s="5"/>
      <c r="H1055" s="5"/>
      <c r="I1055" s="5" t="s">
        <v>6502</v>
      </c>
      <c r="J1055" s="5"/>
      <c r="K1055" s="5" t="s">
        <v>6503</v>
      </c>
      <c r="L1055" s="5">
        <v>50</v>
      </c>
      <c r="M1055" s="5">
        <v>1</v>
      </c>
      <c r="N1055" s="5"/>
      <c r="O1055" s="5"/>
      <c r="P1055" s="5"/>
      <c r="Q1055" s="5">
        <v>1</v>
      </c>
      <c r="R1055" s="5"/>
      <c r="S1055" s="5">
        <v>55</v>
      </c>
      <c r="T1055" s="5">
        <v>55</v>
      </c>
      <c r="U1055" s="5">
        <v>55</v>
      </c>
    </row>
    <row r="1056" spans="1:21" x14ac:dyDescent="0.25">
      <c r="A1056" s="5" t="s">
        <v>7156</v>
      </c>
      <c r="B1056" s="5" t="s">
        <v>7157</v>
      </c>
      <c r="C1056" s="5" t="s">
        <v>660</v>
      </c>
      <c r="D1056" s="5"/>
      <c r="E1056" s="5" t="s">
        <v>6500</v>
      </c>
      <c r="F1056" s="5"/>
      <c r="G1056" s="5"/>
      <c r="H1056" s="5"/>
      <c r="I1056" s="5" t="s">
        <v>6502</v>
      </c>
      <c r="J1056" s="5"/>
      <c r="K1056" s="5" t="s">
        <v>6503</v>
      </c>
      <c r="L1056" s="5">
        <v>55</v>
      </c>
      <c r="M1056" s="5">
        <v>1</v>
      </c>
      <c r="N1056" s="5"/>
      <c r="O1056" s="5"/>
      <c r="P1056" s="5"/>
      <c r="Q1056" s="5">
        <v>1</v>
      </c>
      <c r="R1056" s="5"/>
      <c r="S1056" s="5">
        <v>61</v>
      </c>
      <c r="T1056" s="5">
        <v>61</v>
      </c>
      <c r="U1056" s="5">
        <v>61</v>
      </c>
    </row>
    <row r="1057" spans="1:21" x14ac:dyDescent="0.25">
      <c r="A1057" s="5" t="s">
        <v>7158</v>
      </c>
      <c r="B1057" s="5" t="s">
        <v>7159</v>
      </c>
      <c r="C1057" s="5" t="s">
        <v>660</v>
      </c>
      <c r="D1057" s="5"/>
      <c r="E1057" s="5" t="s">
        <v>6500</v>
      </c>
      <c r="F1057" s="5"/>
      <c r="G1057" s="5"/>
      <c r="H1057" s="5"/>
      <c r="I1057" s="5" t="s">
        <v>6502</v>
      </c>
      <c r="J1057" s="5"/>
      <c r="K1057" s="5" t="s">
        <v>6503</v>
      </c>
      <c r="L1057" s="5">
        <v>70</v>
      </c>
      <c r="M1057" s="5">
        <v>1</v>
      </c>
      <c r="N1057" s="5"/>
      <c r="O1057" s="5"/>
      <c r="P1057" s="5"/>
      <c r="Q1057" s="5">
        <v>1</v>
      </c>
      <c r="R1057" s="5"/>
      <c r="S1057" s="5">
        <v>77</v>
      </c>
      <c r="T1057" s="5">
        <v>77</v>
      </c>
      <c r="U1057" s="5">
        <v>77</v>
      </c>
    </row>
    <row r="1058" spans="1:21" x14ac:dyDescent="0.25">
      <c r="A1058" s="5" t="s">
        <v>7160</v>
      </c>
      <c r="B1058" s="5" t="s">
        <v>7161</v>
      </c>
      <c r="C1058" s="5" t="s">
        <v>660</v>
      </c>
      <c r="D1058" s="5"/>
      <c r="E1058" s="5" t="s">
        <v>6500</v>
      </c>
      <c r="F1058" s="5"/>
      <c r="G1058" s="5"/>
      <c r="H1058" s="5"/>
      <c r="I1058" s="5" t="s">
        <v>6502</v>
      </c>
      <c r="J1058" s="5"/>
      <c r="K1058" s="5" t="s">
        <v>6503</v>
      </c>
      <c r="L1058" s="5">
        <v>80</v>
      </c>
      <c r="M1058" s="5">
        <v>1</v>
      </c>
      <c r="N1058" s="5"/>
      <c r="O1058" s="5"/>
      <c r="P1058" s="5"/>
      <c r="Q1058" s="5">
        <v>1</v>
      </c>
      <c r="R1058" s="5"/>
      <c r="S1058" s="5">
        <v>86</v>
      </c>
      <c r="T1058" s="5">
        <v>86</v>
      </c>
      <c r="U1058" s="5">
        <v>86</v>
      </c>
    </row>
    <row r="1059" spans="1:21" x14ac:dyDescent="0.25">
      <c r="A1059" s="5" t="s">
        <v>6505</v>
      </c>
      <c r="B1059" s="5" t="s">
        <v>7162</v>
      </c>
      <c r="C1059" s="5" t="s">
        <v>660</v>
      </c>
      <c r="D1059" s="5"/>
      <c r="E1059" s="5" t="s">
        <v>6506</v>
      </c>
      <c r="F1059" s="5"/>
      <c r="G1059" s="5"/>
      <c r="H1059" s="5"/>
      <c r="I1059" s="5" t="s">
        <v>6502</v>
      </c>
      <c r="J1059" s="5"/>
      <c r="K1059" s="5" t="s">
        <v>6507</v>
      </c>
      <c r="L1059" s="5">
        <v>15</v>
      </c>
      <c r="M1059" s="5">
        <v>1</v>
      </c>
      <c r="N1059" s="5"/>
      <c r="O1059" s="5"/>
      <c r="P1059" s="5"/>
      <c r="Q1059" s="5"/>
      <c r="R1059" s="5"/>
      <c r="S1059" s="5">
        <v>15</v>
      </c>
      <c r="T1059" s="5">
        <v>15</v>
      </c>
      <c r="U1059" s="5">
        <v>15</v>
      </c>
    </row>
    <row r="1060" spans="1:21" x14ac:dyDescent="0.25">
      <c r="A1060" s="5" t="s">
        <v>6508</v>
      </c>
      <c r="B1060" s="5" t="s">
        <v>7163</v>
      </c>
      <c r="C1060" s="5" t="s">
        <v>660</v>
      </c>
      <c r="D1060" s="5"/>
      <c r="E1060" s="5" t="s">
        <v>6506</v>
      </c>
      <c r="F1060" s="5"/>
      <c r="G1060" s="5"/>
      <c r="H1060" s="5"/>
      <c r="I1060" s="5" t="s">
        <v>6502</v>
      </c>
      <c r="J1060" s="5"/>
      <c r="K1060" s="5" t="s">
        <v>6507</v>
      </c>
      <c r="L1060" s="5">
        <v>23</v>
      </c>
      <c r="M1060" s="5">
        <v>1</v>
      </c>
      <c r="N1060" s="5"/>
      <c r="O1060" s="5"/>
      <c r="P1060" s="5"/>
      <c r="Q1060" s="5"/>
      <c r="R1060" s="5"/>
      <c r="S1060" s="5">
        <v>23</v>
      </c>
      <c r="T1060" s="5">
        <v>23</v>
      </c>
      <c r="U1060" s="5">
        <v>23</v>
      </c>
    </row>
    <row r="1061" spans="1:21" x14ac:dyDescent="0.25">
      <c r="A1061" s="5" t="s">
        <v>6509</v>
      </c>
      <c r="B1061" s="5" t="s">
        <v>7164</v>
      </c>
      <c r="C1061" s="5" t="s">
        <v>660</v>
      </c>
      <c r="D1061" s="5"/>
      <c r="E1061" s="5" t="s">
        <v>6506</v>
      </c>
      <c r="F1061" s="5"/>
      <c r="G1061" s="5"/>
      <c r="H1061" s="5"/>
      <c r="I1061" s="5" t="s">
        <v>6502</v>
      </c>
      <c r="J1061" s="5"/>
      <c r="K1061" s="5" t="s">
        <v>6507</v>
      </c>
      <c r="L1061" s="5">
        <v>40</v>
      </c>
      <c r="M1061" s="5">
        <v>1</v>
      </c>
      <c r="N1061" s="5"/>
      <c r="O1061" s="5"/>
      <c r="P1061" s="5"/>
      <c r="Q1061" s="5"/>
      <c r="R1061" s="5"/>
      <c r="S1061" s="5">
        <v>40</v>
      </c>
      <c r="T1061" s="5">
        <v>40</v>
      </c>
      <c r="U1061" s="5">
        <v>40</v>
      </c>
    </row>
    <row r="1062" spans="1:21" x14ac:dyDescent="0.25">
      <c r="A1062" s="5" t="s">
        <v>6510</v>
      </c>
      <c r="B1062" s="5" t="s">
        <v>7165</v>
      </c>
      <c r="C1062" s="5" t="s">
        <v>660</v>
      </c>
      <c r="D1062" s="5"/>
      <c r="E1062" s="5" t="s">
        <v>6506</v>
      </c>
      <c r="F1062" s="5"/>
      <c r="G1062" s="5"/>
      <c r="H1062" s="5"/>
      <c r="I1062" s="5" t="s">
        <v>6502</v>
      </c>
      <c r="J1062" s="5"/>
      <c r="K1062" s="5" t="s">
        <v>6507</v>
      </c>
      <c r="L1062" s="5">
        <v>50</v>
      </c>
      <c r="M1062" s="5">
        <v>1</v>
      </c>
      <c r="N1062" s="5"/>
      <c r="O1062" s="5"/>
      <c r="P1062" s="5"/>
      <c r="Q1062" s="5"/>
      <c r="R1062" s="5"/>
      <c r="S1062" s="5">
        <v>50</v>
      </c>
      <c r="T1062" s="5">
        <v>50</v>
      </c>
      <c r="U1062" s="5">
        <v>50</v>
      </c>
    </row>
    <row r="1063" spans="1:21" x14ac:dyDescent="0.25">
      <c r="A1063" s="5" t="s">
        <v>7166</v>
      </c>
      <c r="B1063" s="5" t="s">
        <v>7167</v>
      </c>
      <c r="C1063" s="5" t="s">
        <v>3450</v>
      </c>
      <c r="D1063" s="5"/>
      <c r="E1063" s="5" t="s">
        <v>6531</v>
      </c>
      <c r="F1063" s="5"/>
      <c r="G1063" s="5"/>
      <c r="H1063" s="5"/>
      <c r="I1063" s="5" t="s">
        <v>3450</v>
      </c>
      <c r="J1063" s="5"/>
      <c r="K1063" s="5" t="s">
        <v>6532</v>
      </c>
      <c r="L1063" s="5">
        <v>101</v>
      </c>
      <c r="M1063" s="5">
        <v>1</v>
      </c>
      <c r="N1063" s="5"/>
      <c r="O1063" s="5"/>
      <c r="P1063" s="5"/>
      <c r="Q1063" s="5"/>
      <c r="R1063" s="5"/>
      <c r="S1063" s="5">
        <v>101</v>
      </c>
      <c r="T1063" s="5">
        <v>101</v>
      </c>
      <c r="U1063" s="5">
        <v>101</v>
      </c>
    </row>
    <row r="1064" spans="1:21" x14ac:dyDescent="0.25">
      <c r="A1064" s="5" t="s">
        <v>7168</v>
      </c>
      <c r="B1064" s="5" t="s">
        <v>7169</v>
      </c>
      <c r="C1064" s="5" t="s">
        <v>3450</v>
      </c>
      <c r="D1064" s="5"/>
      <c r="E1064" s="5" t="s">
        <v>6531</v>
      </c>
      <c r="F1064" s="5"/>
      <c r="G1064" s="5"/>
      <c r="H1064" s="5"/>
      <c r="I1064" s="5" t="s">
        <v>3450</v>
      </c>
      <c r="J1064" s="5"/>
      <c r="K1064" s="5" t="s">
        <v>6532</v>
      </c>
      <c r="L1064" s="5">
        <v>102</v>
      </c>
      <c r="M1064" s="5">
        <v>1</v>
      </c>
      <c r="N1064" s="5"/>
      <c r="O1064" s="5"/>
      <c r="P1064" s="5"/>
      <c r="Q1064" s="5"/>
      <c r="R1064" s="5"/>
      <c r="S1064" s="5">
        <v>102</v>
      </c>
      <c r="T1064" s="5">
        <v>102</v>
      </c>
      <c r="U1064" s="5">
        <v>102</v>
      </c>
    </row>
    <row r="1065" spans="1:21" x14ac:dyDescent="0.25">
      <c r="A1065" s="5" t="s">
        <v>7170</v>
      </c>
      <c r="B1065" s="5" t="s">
        <v>7171</v>
      </c>
      <c r="C1065" s="5" t="s">
        <v>3450</v>
      </c>
      <c r="D1065" s="5"/>
      <c r="E1065" s="5" t="s">
        <v>6531</v>
      </c>
      <c r="F1065" s="5"/>
      <c r="G1065" s="5"/>
      <c r="H1065" s="5"/>
      <c r="I1065" s="5" t="s">
        <v>3450</v>
      </c>
      <c r="J1065" s="5"/>
      <c r="K1065" s="5" t="s">
        <v>6532</v>
      </c>
      <c r="L1065" s="5">
        <v>106</v>
      </c>
      <c r="M1065" s="5">
        <v>1</v>
      </c>
      <c r="N1065" s="5"/>
      <c r="O1065" s="5"/>
      <c r="P1065" s="5"/>
      <c r="Q1065" s="5"/>
      <c r="R1065" s="5"/>
      <c r="S1065" s="5">
        <v>112</v>
      </c>
      <c r="T1065" s="5">
        <v>112</v>
      </c>
      <c r="U1065" s="5">
        <v>112</v>
      </c>
    </row>
    <row r="1066" spans="1:21" x14ac:dyDescent="0.25">
      <c r="A1066" s="5" t="s">
        <v>7172</v>
      </c>
      <c r="B1066" s="5" t="s">
        <v>7173</v>
      </c>
      <c r="C1066" s="5" t="s">
        <v>3450</v>
      </c>
      <c r="D1066" s="5"/>
      <c r="E1066" s="5" t="s">
        <v>6531</v>
      </c>
      <c r="F1066" s="5"/>
      <c r="G1066" s="5"/>
      <c r="H1066" s="5"/>
      <c r="I1066" s="5" t="s">
        <v>3450</v>
      </c>
      <c r="J1066" s="5"/>
      <c r="K1066" s="5" t="s">
        <v>6532</v>
      </c>
      <c r="L1066" s="5">
        <v>108</v>
      </c>
      <c r="M1066" s="5">
        <v>1</v>
      </c>
      <c r="N1066" s="5"/>
      <c r="O1066" s="5"/>
      <c r="P1066" s="5"/>
      <c r="Q1066" s="5"/>
      <c r="R1066" s="5"/>
      <c r="S1066" s="5">
        <v>108</v>
      </c>
      <c r="T1066" s="5">
        <v>108</v>
      </c>
      <c r="U1066" s="5">
        <v>108</v>
      </c>
    </row>
    <row r="1067" spans="1:21" x14ac:dyDescent="0.25">
      <c r="A1067" s="5" t="s">
        <v>7174</v>
      </c>
      <c r="B1067" s="5" t="s">
        <v>7175</v>
      </c>
      <c r="C1067" s="5" t="s">
        <v>3450</v>
      </c>
      <c r="D1067" s="5"/>
      <c r="E1067" s="5" t="s">
        <v>6531</v>
      </c>
      <c r="F1067" s="5"/>
      <c r="G1067" s="5"/>
      <c r="H1067" s="5"/>
      <c r="I1067" s="5" t="s">
        <v>3450</v>
      </c>
      <c r="J1067" s="5"/>
      <c r="K1067" s="5" t="s">
        <v>6532</v>
      </c>
      <c r="L1067" s="5">
        <v>112</v>
      </c>
      <c r="M1067" s="5">
        <v>1</v>
      </c>
      <c r="N1067" s="5"/>
      <c r="O1067" s="5"/>
      <c r="P1067" s="5"/>
      <c r="Q1067" s="5"/>
      <c r="R1067" s="5"/>
      <c r="S1067" s="5">
        <v>112</v>
      </c>
      <c r="T1067" s="5">
        <v>112</v>
      </c>
      <c r="U1067" s="5">
        <v>112</v>
      </c>
    </row>
    <row r="1068" spans="1:21" x14ac:dyDescent="0.25">
      <c r="A1068" s="5" t="s">
        <v>7176</v>
      </c>
      <c r="B1068" s="5" t="s">
        <v>7177</v>
      </c>
      <c r="C1068" s="5" t="s">
        <v>3450</v>
      </c>
      <c r="D1068" s="5"/>
      <c r="E1068" s="5" t="s">
        <v>6531</v>
      </c>
      <c r="F1068" s="5"/>
      <c r="G1068" s="5"/>
      <c r="H1068" s="5"/>
      <c r="I1068" s="5" t="s">
        <v>3450</v>
      </c>
      <c r="J1068" s="5"/>
      <c r="K1068" s="5" t="s">
        <v>6532</v>
      </c>
      <c r="L1068" s="5">
        <v>124</v>
      </c>
      <c r="M1068" s="5">
        <v>1</v>
      </c>
      <c r="N1068" s="5"/>
      <c r="O1068" s="5"/>
      <c r="P1068" s="5"/>
      <c r="Q1068" s="5"/>
      <c r="R1068" s="5"/>
      <c r="S1068" s="5">
        <v>120</v>
      </c>
      <c r="T1068" s="5">
        <v>120</v>
      </c>
      <c r="U1068" s="5">
        <v>120</v>
      </c>
    </row>
    <row r="1069" spans="1:21" x14ac:dyDescent="0.25">
      <c r="A1069" s="5" t="s">
        <v>7178</v>
      </c>
      <c r="B1069" s="5" t="s">
        <v>7179</v>
      </c>
      <c r="C1069" s="5" t="s">
        <v>3450</v>
      </c>
      <c r="D1069" s="5"/>
      <c r="E1069" s="5" t="s">
        <v>6531</v>
      </c>
      <c r="F1069" s="5"/>
      <c r="G1069" s="5"/>
      <c r="H1069" s="5"/>
      <c r="I1069" s="5" t="s">
        <v>3450</v>
      </c>
      <c r="J1069" s="5"/>
      <c r="K1069" s="5" t="s">
        <v>6532</v>
      </c>
      <c r="L1069" s="5">
        <v>131</v>
      </c>
      <c r="M1069" s="5">
        <v>1</v>
      </c>
      <c r="N1069" s="5"/>
      <c r="O1069" s="5"/>
      <c r="P1069" s="5"/>
      <c r="Q1069" s="5"/>
      <c r="R1069" s="5"/>
      <c r="S1069" s="5">
        <v>119</v>
      </c>
      <c r="T1069" s="5">
        <v>119</v>
      </c>
      <c r="U1069" s="5">
        <v>119</v>
      </c>
    </row>
    <row r="1070" spans="1:21" x14ac:dyDescent="0.25">
      <c r="A1070" s="5" t="s">
        <v>7180</v>
      </c>
      <c r="B1070" s="5" t="s">
        <v>7181</v>
      </c>
      <c r="C1070" s="5" t="s">
        <v>3450</v>
      </c>
      <c r="D1070" s="5"/>
      <c r="E1070" s="5" t="s">
        <v>6531</v>
      </c>
      <c r="F1070" s="5"/>
      <c r="G1070" s="5"/>
      <c r="H1070" s="5"/>
      <c r="I1070" s="5" t="s">
        <v>3450</v>
      </c>
      <c r="J1070" s="5"/>
      <c r="K1070" s="5" t="s">
        <v>6532</v>
      </c>
      <c r="L1070" s="5">
        <v>138</v>
      </c>
      <c r="M1070" s="5">
        <v>1</v>
      </c>
      <c r="N1070" s="5"/>
      <c r="O1070" s="5"/>
      <c r="P1070" s="5"/>
      <c r="Q1070" s="5"/>
      <c r="R1070" s="5"/>
      <c r="S1070" s="5">
        <v>138</v>
      </c>
      <c r="T1070" s="5">
        <v>138</v>
      </c>
      <c r="U1070" s="5">
        <v>138</v>
      </c>
    </row>
    <row r="1071" spans="1:21" x14ac:dyDescent="0.25">
      <c r="A1071" s="5" t="s">
        <v>7182</v>
      </c>
      <c r="B1071" s="5" t="s">
        <v>7183</v>
      </c>
      <c r="C1071" s="5" t="s">
        <v>3450</v>
      </c>
      <c r="D1071" s="5"/>
      <c r="E1071" s="5" t="s">
        <v>6531</v>
      </c>
      <c r="F1071" s="5"/>
      <c r="G1071" s="5"/>
      <c r="H1071" s="5"/>
      <c r="I1071" s="5" t="s">
        <v>3450</v>
      </c>
      <c r="J1071" s="5"/>
      <c r="K1071" s="5" t="s">
        <v>6532</v>
      </c>
      <c r="L1071" s="5">
        <v>139</v>
      </c>
      <c r="M1071" s="5">
        <v>1</v>
      </c>
      <c r="N1071" s="5"/>
      <c r="O1071" s="5"/>
      <c r="P1071" s="5"/>
      <c r="Q1071" s="5"/>
      <c r="R1071" s="5"/>
      <c r="S1071" s="5">
        <v>139</v>
      </c>
      <c r="T1071" s="5">
        <v>139</v>
      </c>
      <c r="U1071" s="5">
        <v>139</v>
      </c>
    </row>
    <row r="1072" spans="1:21" x14ac:dyDescent="0.25">
      <c r="A1072" s="5" t="s">
        <v>7184</v>
      </c>
      <c r="B1072" s="5" t="s">
        <v>7185</v>
      </c>
      <c r="C1072" s="5" t="s">
        <v>3450</v>
      </c>
      <c r="D1072" s="5"/>
      <c r="E1072" s="5" t="s">
        <v>6531</v>
      </c>
      <c r="F1072" s="5"/>
      <c r="G1072" s="5"/>
      <c r="H1072" s="5"/>
      <c r="I1072" s="5" t="s">
        <v>3450</v>
      </c>
      <c r="J1072" s="5"/>
      <c r="K1072" s="5" t="s">
        <v>6532</v>
      </c>
      <c r="L1072" s="5">
        <v>143</v>
      </c>
      <c r="M1072" s="5">
        <v>1</v>
      </c>
      <c r="N1072" s="5"/>
      <c r="O1072" s="5"/>
      <c r="P1072" s="5"/>
      <c r="Q1072" s="5"/>
      <c r="R1072" s="5"/>
      <c r="S1072" s="5">
        <v>201</v>
      </c>
      <c r="T1072" s="5">
        <v>201</v>
      </c>
      <c r="U1072" s="5">
        <v>201</v>
      </c>
    </row>
    <row r="1073" spans="1:21" x14ac:dyDescent="0.25">
      <c r="A1073" s="5" t="s">
        <v>7186</v>
      </c>
      <c r="B1073" s="5" t="s">
        <v>7187</v>
      </c>
      <c r="C1073" s="5" t="s">
        <v>3450</v>
      </c>
      <c r="D1073" s="5"/>
      <c r="E1073" s="5" t="s">
        <v>6531</v>
      </c>
      <c r="F1073" s="5"/>
      <c r="G1073" s="5"/>
      <c r="H1073" s="5"/>
      <c r="I1073" s="5" t="s">
        <v>3450</v>
      </c>
      <c r="J1073" s="5"/>
      <c r="K1073" s="5" t="s">
        <v>6532</v>
      </c>
      <c r="L1073" s="5">
        <v>146</v>
      </c>
      <c r="M1073" s="5">
        <v>1</v>
      </c>
      <c r="N1073" s="5"/>
      <c r="O1073" s="5"/>
      <c r="P1073" s="5"/>
      <c r="Q1073" s="5"/>
      <c r="R1073" s="5"/>
      <c r="S1073" s="5">
        <v>146</v>
      </c>
      <c r="T1073" s="5">
        <v>146</v>
      </c>
      <c r="U1073" s="5">
        <v>146</v>
      </c>
    </row>
    <row r="1074" spans="1:21" x14ac:dyDescent="0.25">
      <c r="A1074" s="5" t="s">
        <v>7188</v>
      </c>
      <c r="B1074" s="5" t="s">
        <v>7189</v>
      </c>
      <c r="C1074" s="5" t="s">
        <v>3450</v>
      </c>
      <c r="D1074" s="5"/>
      <c r="E1074" s="5" t="s">
        <v>6531</v>
      </c>
      <c r="F1074" s="5"/>
      <c r="G1074" s="5"/>
      <c r="H1074" s="5"/>
      <c r="I1074" s="5" t="s">
        <v>3450</v>
      </c>
      <c r="J1074" s="5"/>
      <c r="K1074" s="5" t="s">
        <v>6532</v>
      </c>
      <c r="L1074" s="5">
        <v>151</v>
      </c>
      <c r="M1074" s="5">
        <v>1</v>
      </c>
      <c r="N1074" s="5"/>
      <c r="O1074" s="5"/>
      <c r="P1074" s="5"/>
      <c r="Q1074" s="5"/>
      <c r="R1074" s="5"/>
      <c r="S1074" s="5">
        <v>108</v>
      </c>
      <c r="T1074" s="5">
        <v>108</v>
      </c>
      <c r="U1074" s="5">
        <v>108</v>
      </c>
    </row>
    <row r="1075" spans="1:21" x14ac:dyDescent="0.25">
      <c r="A1075" s="5" t="s">
        <v>7190</v>
      </c>
      <c r="B1075" s="5" t="s">
        <v>7191</v>
      </c>
      <c r="C1075" s="5" t="s">
        <v>3450</v>
      </c>
      <c r="D1075" s="5"/>
      <c r="E1075" s="5" t="s">
        <v>6531</v>
      </c>
      <c r="F1075" s="5"/>
      <c r="G1075" s="5"/>
      <c r="H1075" s="5"/>
      <c r="I1075" s="5" t="s">
        <v>3450</v>
      </c>
      <c r="J1075" s="5"/>
      <c r="K1075" s="5" t="s">
        <v>6532</v>
      </c>
      <c r="L1075" s="5">
        <v>15</v>
      </c>
      <c r="M1075" s="5">
        <v>1</v>
      </c>
      <c r="N1075" s="5"/>
      <c r="O1075" s="5"/>
      <c r="P1075" s="5"/>
      <c r="Q1075" s="5"/>
      <c r="R1075" s="5"/>
      <c r="S1075" s="5">
        <v>15</v>
      </c>
      <c r="T1075" s="5">
        <v>15</v>
      </c>
      <c r="U1075" s="5">
        <v>15</v>
      </c>
    </row>
    <row r="1076" spans="1:21" x14ac:dyDescent="0.25">
      <c r="A1076" s="5" t="s">
        <v>7192</v>
      </c>
      <c r="B1076" s="5" t="s">
        <v>7193</v>
      </c>
      <c r="C1076" s="5" t="s">
        <v>3450</v>
      </c>
      <c r="D1076" s="5"/>
      <c r="E1076" s="5" t="s">
        <v>6531</v>
      </c>
      <c r="F1076" s="5"/>
      <c r="G1076" s="5"/>
      <c r="H1076" s="5"/>
      <c r="I1076" s="5" t="s">
        <v>3450</v>
      </c>
      <c r="J1076" s="5"/>
      <c r="K1076" s="5" t="s">
        <v>6532</v>
      </c>
      <c r="L1076" s="5">
        <v>164</v>
      </c>
      <c r="M1076" s="5">
        <v>1</v>
      </c>
      <c r="N1076" s="5"/>
      <c r="O1076" s="5"/>
      <c r="P1076" s="5"/>
      <c r="Q1076" s="5"/>
      <c r="R1076" s="5"/>
      <c r="S1076" s="5">
        <v>164</v>
      </c>
      <c r="T1076" s="5">
        <v>164</v>
      </c>
      <c r="U1076" s="5">
        <v>164</v>
      </c>
    </row>
    <row r="1077" spans="1:21" x14ac:dyDescent="0.25">
      <c r="A1077" s="5" t="s">
        <v>7194</v>
      </c>
      <c r="B1077" s="5" t="s">
        <v>7195</v>
      </c>
      <c r="C1077" s="5" t="s">
        <v>3450</v>
      </c>
      <c r="D1077" s="5"/>
      <c r="E1077" s="5" t="s">
        <v>6531</v>
      </c>
      <c r="F1077" s="5"/>
      <c r="G1077" s="5"/>
      <c r="H1077" s="5"/>
      <c r="I1077" s="5" t="s">
        <v>3450</v>
      </c>
      <c r="J1077" s="5"/>
      <c r="K1077" s="5" t="s">
        <v>6532</v>
      </c>
      <c r="L1077" s="5">
        <v>175</v>
      </c>
      <c r="M1077" s="5">
        <v>1</v>
      </c>
      <c r="N1077" s="5"/>
      <c r="O1077" s="5"/>
      <c r="P1077" s="5"/>
      <c r="Q1077" s="5"/>
      <c r="R1077" s="5"/>
      <c r="S1077" s="5">
        <v>201</v>
      </c>
      <c r="T1077" s="5">
        <v>201</v>
      </c>
      <c r="U1077" s="5">
        <v>201</v>
      </c>
    </row>
    <row r="1078" spans="1:21" x14ac:dyDescent="0.25">
      <c r="A1078" s="5" t="s">
        <v>7196</v>
      </c>
      <c r="B1078" s="5" t="s">
        <v>7197</v>
      </c>
      <c r="C1078" s="5" t="s">
        <v>3450</v>
      </c>
      <c r="D1078" s="5"/>
      <c r="E1078" s="5" t="s">
        <v>6531</v>
      </c>
      <c r="F1078" s="5"/>
      <c r="G1078" s="5"/>
      <c r="H1078" s="5"/>
      <c r="I1078" s="5" t="s">
        <v>3450</v>
      </c>
      <c r="J1078" s="5"/>
      <c r="K1078" s="5" t="s">
        <v>6532</v>
      </c>
      <c r="L1078" s="5">
        <v>180</v>
      </c>
      <c r="M1078" s="5">
        <v>1</v>
      </c>
      <c r="N1078" s="5"/>
      <c r="O1078" s="5"/>
      <c r="P1078" s="5"/>
      <c r="Q1078" s="5"/>
      <c r="R1078" s="5"/>
      <c r="S1078" s="5">
        <v>180</v>
      </c>
      <c r="T1078" s="5">
        <v>180</v>
      </c>
      <c r="U1078" s="5">
        <v>180</v>
      </c>
    </row>
    <row r="1079" spans="1:21" x14ac:dyDescent="0.25">
      <c r="A1079" s="5" t="s">
        <v>7198</v>
      </c>
      <c r="B1079" s="5" t="s">
        <v>7199</v>
      </c>
      <c r="C1079" s="5" t="s">
        <v>3450</v>
      </c>
      <c r="D1079" s="5"/>
      <c r="E1079" s="5" t="s">
        <v>6531</v>
      </c>
      <c r="F1079" s="5"/>
      <c r="G1079" s="5"/>
      <c r="H1079" s="5"/>
      <c r="I1079" s="5" t="s">
        <v>3450</v>
      </c>
      <c r="J1079" s="5"/>
      <c r="K1079" s="5" t="s">
        <v>6532</v>
      </c>
      <c r="L1079" s="5">
        <v>186</v>
      </c>
      <c r="M1079" s="5">
        <v>1</v>
      </c>
      <c r="N1079" s="5"/>
      <c r="O1079" s="5"/>
      <c r="P1079" s="5"/>
      <c r="Q1079" s="5"/>
      <c r="R1079" s="5"/>
      <c r="S1079" s="5">
        <v>186</v>
      </c>
      <c r="T1079" s="5">
        <v>186</v>
      </c>
      <c r="U1079" s="5">
        <v>186</v>
      </c>
    </row>
    <row r="1080" spans="1:21" x14ac:dyDescent="0.25">
      <c r="A1080" s="5" t="s">
        <v>7200</v>
      </c>
      <c r="B1080" s="5" t="s">
        <v>7201</v>
      </c>
      <c r="C1080" s="5" t="s">
        <v>3450</v>
      </c>
      <c r="D1080" s="5"/>
      <c r="E1080" s="5" t="s">
        <v>6531</v>
      </c>
      <c r="F1080" s="5"/>
      <c r="G1080" s="5"/>
      <c r="H1080" s="5"/>
      <c r="I1080" s="5" t="s">
        <v>3450</v>
      </c>
      <c r="J1080" s="5"/>
      <c r="K1080" s="5" t="s">
        <v>6532</v>
      </c>
      <c r="L1080" s="5">
        <v>199</v>
      </c>
      <c r="M1080" s="5">
        <v>1</v>
      </c>
      <c r="N1080" s="5"/>
      <c r="O1080" s="5"/>
      <c r="P1080" s="5"/>
      <c r="Q1080" s="5"/>
      <c r="R1080" s="5"/>
      <c r="S1080" s="5">
        <v>199</v>
      </c>
      <c r="T1080" s="5">
        <v>199</v>
      </c>
      <c r="U1080" s="5">
        <v>199</v>
      </c>
    </row>
    <row r="1081" spans="1:21" x14ac:dyDescent="0.25">
      <c r="A1081" s="5" t="s">
        <v>7202</v>
      </c>
      <c r="B1081" s="5" t="s">
        <v>7203</v>
      </c>
      <c r="C1081" s="5" t="s">
        <v>3450</v>
      </c>
      <c r="D1081" s="5"/>
      <c r="E1081" s="5" t="s">
        <v>6531</v>
      </c>
      <c r="F1081" s="5"/>
      <c r="G1081" s="5"/>
      <c r="H1081" s="5"/>
      <c r="I1081" s="5" t="s">
        <v>3450</v>
      </c>
      <c r="J1081" s="5"/>
      <c r="K1081" s="5" t="s">
        <v>6532</v>
      </c>
      <c r="L1081" s="5">
        <v>201</v>
      </c>
      <c r="M1081" s="5">
        <v>1</v>
      </c>
      <c r="N1081" s="5"/>
      <c r="O1081" s="5"/>
      <c r="P1081" s="5"/>
      <c r="Q1081" s="5"/>
      <c r="R1081" s="5"/>
      <c r="S1081" s="5">
        <v>201</v>
      </c>
      <c r="T1081" s="5">
        <v>201</v>
      </c>
      <c r="U1081" s="5">
        <v>201</v>
      </c>
    </row>
    <row r="1082" spans="1:21" x14ac:dyDescent="0.25">
      <c r="A1082" s="5" t="s">
        <v>7204</v>
      </c>
      <c r="B1082" s="5" t="s">
        <v>7205</v>
      </c>
      <c r="C1082" s="5" t="s">
        <v>3450</v>
      </c>
      <c r="D1082" s="5"/>
      <c r="E1082" s="5" t="s">
        <v>6531</v>
      </c>
      <c r="F1082" s="5"/>
      <c r="G1082" s="5"/>
      <c r="H1082" s="5"/>
      <c r="I1082" s="5" t="s">
        <v>3450</v>
      </c>
      <c r="J1082" s="5"/>
      <c r="K1082" s="5" t="s">
        <v>6532</v>
      </c>
      <c r="L1082" s="5">
        <v>204</v>
      </c>
      <c r="M1082" s="5">
        <v>1</v>
      </c>
      <c r="N1082" s="5"/>
      <c r="O1082" s="5"/>
      <c r="P1082" s="5"/>
      <c r="Q1082" s="5"/>
      <c r="R1082" s="5"/>
      <c r="S1082" s="5">
        <v>205</v>
      </c>
      <c r="T1082" s="5">
        <v>205</v>
      </c>
      <c r="U1082" s="5">
        <v>205</v>
      </c>
    </row>
    <row r="1083" spans="1:21" x14ac:dyDescent="0.25">
      <c r="A1083" s="5" t="s">
        <v>7206</v>
      </c>
      <c r="B1083" s="5" t="s">
        <v>7207</v>
      </c>
      <c r="C1083" s="5" t="s">
        <v>3450</v>
      </c>
      <c r="D1083" s="5"/>
      <c r="E1083" s="5" t="s">
        <v>6531</v>
      </c>
      <c r="F1083" s="5"/>
      <c r="G1083" s="5"/>
      <c r="H1083" s="5"/>
      <c r="I1083" s="5" t="s">
        <v>3450</v>
      </c>
      <c r="J1083" s="5"/>
      <c r="K1083" s="5" t="s">
        <v>6532</v>
      </c>
      <c r="L1083" s="5">
        <v>205</v>
      </c>
      <c r="M1083" s="5">
        <v>1</v>
      </c>
      <c r="N1083" s="5"/>
      <c r="O1083" s="5"/>
      <c r="P1083" s="5"/>
      <c r="Q1083" s="5"/>
      <c r="R1083" s="5"/>
      <c r="S1083" s="5">
        <v>205</v>
      </c>
      <c r="T1083" s="5">
        <v>205</v>
      </c>
      <c r="U1083" s="5">
        <v>205</v>
      </c>
    </row>
    <row r="1084" spans="1:21" x14ac:dyDescent="0.25">
      <c r="A1084" s="5" t="s">
        <v>7208</v>
      </c>
      <c r="B1084" s="5" t="s">
        <v>7209</v>
      </c>
      <c r="C1084" s="5" t="s">
        <v>3450</v>
      </c>
      <c r="D1084" s="5"/>
      <c r="E1084" s="5" t="s">
        <v>6531</v>
      </c>
      <c r="F1084" s="5"/>
      <c r="G1084" s="5"/>
      <c r="H1084" s="5"/>
      <c r="I1084" s="5" t="s">
        <v>3450</v>
      </c>
      <c r="J1084" s="5"/>
      <c r="K1084" s="5" t="s">
        <v>6532</v>
      </c>
      <c r="L1084" s="5">
        <v>217</v>
      </c>
      <c r="M1084" s="5">
        <v>1</v>
      </c>
      <c r="N1084" s="5"/>
      <c r="O1084" s="5"/>
      <c r="P1084" s="5"/>
      <c r="Q1084" s="5"/>
      <c r="R1084" s="5"/>
      <c r="S1084" s="5">
        <v>210</v>
      </c>
      <c r="T1084" s="5">
        <v>210</v>
      </c>
      <c r="U1084" s="5">
        <v>210</v>
      </c>
    </row>
    <row r="1085" spans="1:21" x14ac:dyDescent="0.25">
      <c r="A1085" s="5" t="s">
        <v>7210</v>
      </c>
      <c r="B1085" s="5" t="s">
        <v>7211</v>
      </c>
      <c r="C1085" s="5" t="s">
        <v>3450</v>
      </c>
      <c r="D1085" s="5"/>
      <c r="E1085" s="5" t="s">
        <v>6531</v>
      </c>
      <c r="F1085" s="5"/>
      <c r="G1085" s="5"/>
      <c r="H1085" s="5"/>
      <c r="I1085" s="5" t="s">
        <v>3450</v>
      </c>
      <c r="J1085" s="5"/>
      <c r="K1085" s="5" t="s">
        <v>6532</v>
      </c>
      <c r="L1085" s="5">
        <v>22</v>
      </c>
      <c r="M1085" s="5">
        <v>1</v>
      </c>
      <c r="N1085" s="5"/>
      <c r="O1085" s="5"/>
      <c r="P1085" s="5"/>
      <c r="Q1085" s="5"/>
      <c r="R1085" s="5"/>
      <c r="S1085" s="5">
        <v>22</v>
      </c>
      <c r="T1085" s="5">
        <v>22</v>
      </c>
      <c r="U1085" s="5">
        <v>22</v>
      </c>
    </row>
    <row r="1086" spans="1:21" x14ac:dyDescent="0.25">
      <c r="A1086" s="5" t="s">
        <v>7212</v>
      </c>
      <c r="B1086" s="5" t="s">
        <v>7213</v>
      </c>
      <c r="C1086" s="5" t="s">
        <v>3450</v>
      </c>
      <c r="D1086" s="5"/>
      <c r="E1086" s="5" t="s">
        <v>6531</v>
      </c>
      <c r="F1086" s="5"/>
      <c r="G1086" s="5"/>
      <c r="H1086" s="5"/>
      <c r="I1086" s="5" t="s">
        <v>3450</v>
      </c>
      <c r="J1086" s="5"/>
      <c r="K1086" s="5" t="s">
        <v>6532</v>
      </c>
      <c r="L1086" s="5">
        <v>232</v>
      </c>
      <c r="M1086" s="5">
        <v>1</v>
      </c>
      <c r="N1086" s="5"/>
      <c r="O1086" s="5"/>
      <c r="P1086" s="5"/>
      <c r="Q1086" s="5"/>
      <c r="R1086" s="5"/>
      <c r="S1086" s="5">
        <v>235</v>
      </c>
      <c r="T1086" s="5">
        <v>235</v>
      </c>
      <c r="U1086" s="5">
        <v>235</v>
      </c>
    </row>
    <row r="1087" spans="1:21" x14ac:dyDescent="0.25">
      <c r="A1087" s="5" t="s">
        <v>7214</v>
      </c>
      <c r="B1087" s="5" t="s">
        <v>7215</v>
      </c>
      <c r="C1087" s="5" t="s">
        <v>3450</v>
      </c>
      <c r="D1087" s="5"/>
      <c r="E1087" s="5" t="s">
        <v>6531</v>
      </c>
      <c r="F1087" s="5"/>
      <c r="G1087" s="5"/>
      <c r="H1087" s="5"/>
      <c r="I1087" s="5" t="s">
        <v>3450</v>
      </c>
      <c r="J1087" s="5"/>
      <c r="K1087" s="5" t="s">
        <v>6532</v>
      </c>
      <c r="L1087" s="5">
        <v>24</v>
      </c>
      <c r="M1087" s="5">
        <v>1</v>
      </c>
      <c r="N1087" s="5"/>
      <c r="O1087" s="5"/>
      <c r="P1087" s="5"/>
      <c r="Q1087" s="5"/>
      <c r="R1087" s="5"/>
      <c r="S1087" s="5">
        <v>24</v>
      </c>
      <c r="T1087" s="5">
        <v>24</v>
      </c>
      <c r="U1087" s="5">
        <v>24</v>
      </c>
    </row>
    <row r="1088" spans="1:21" x14ac:dyDescent="0.25">
      <c r="A1088" s="5" t="s">
        <v>7216</v>
      </c>
      <c r="B1088" s="5" t="s">
        <v>7217</v>
      </c>
      <c r="C1088" s="5" t="s">
        <v>3450</v>
      </c>
      <c r="D1088" s="5"/>
      <c r="E1088" s="5" t="s">
        <v>6531</v>
      </c>
      <c r="F1088" s="5"/>
      <c r="G1088" s="5"/>
      <c r="H1088" s="5"/>
      <c r="I1088" s="5" t="s">
        <v>3450</v>
      </c>
      <c r="J1088" s="5"/>
      <c r="K1088" s="5" t="s">
        <v>6532</v>
      </c>
      <c r="L1088" s="5">
        <v>38</v>
      </c>
      <c r="M1088" s="5">
        <v>1</v>
      </c>
      <c r="N1088" s="5"/>
      <c r="O1088" s="5"/>
      <c r="P1088" s="5"/>
      <c r="Q1088" s="5"/>
      <c r="R1088" s="5"/>
      <c r="S1088" s="5">
        <v>39</v>
      </c>
      <c r="T1088" s="5">
        <v>39</v>
      </c>
      <c r="U1088" s="5">
        <v>39</v>
      </c>
    </row>
    <row r="1089" spans="1:21" x14ac:dyDescent="0.25">
      <c r="A1089" s="5" t="s">
        <v>7218</v>
      </c>
      <c r="B1089" s="5" t="s">
        <v>7219</v>
      </c>
      <c r="C1089" s="5" t="s">
        <v>3450</v>
      </c>
      <c r="D1089" s="5"/>
      <c r="E1089" s="5" t="s">
        <v>6531</v>
      </c>
      <c r="F1089" s="5"/>
      <c r="G1089" s="5"/>
      <c r="H1089" s="5"/>
      <c r="I1089" s="5" t="s">
        <v>3450</v>
      </c>
      <c r="J1089" s="5"/>
      <c r="K1089" s="5" t="s">
        <v>6532</v>
      </c>
      <c r="L1089" s="5">
        <v>50</v>
      </c>
      <c r="M1089" s="5">
        <v>1</v>
      </c>
      <c r="N1089" s="5"/>
      <c r="O1089" s="5"/>
      <c r="P1089" s="5"/>
      <c r="Q1089" s="5"/>
      <c r="R1089" s="5"/>
      <c r="S1089" s="5">
        <v>50</v>
      </c>
      <c r="T1089" s="5">
        <v>50</v>
      </c>
      <c r="U1089" s="5">
        <v>50</v>
      </c>
    </row>
    <row r="1090" spans="1:21" x14ac:dyDescent="0.25">
      <c r="A1090" s="5" t="s">
        <v>7220</v>
      </c>
      <c r="B1090" s="5" t="s">
        <v>7221</v>
      </c>
      <c r="C1090" s="5" t="s">
        <v>3450</v>
      </c>
      <c r="D1090" s="5"/>
      <c r="E1090" s="5" t="s">
        <v>6531</v>
      </c>
      <c r="F1090" s="5"/>
      <c r="G1090" s="5"/>
      <c r="H1090" s="5"/>
      <c r="I1090" s="5" t="s">
        <v>3450</v>
      </c>
      <c r="J1090" s="5"/>
      <c r="K1090" s="5" t="s">
        <v>6532</v>
      </c>
      <c r="L1090" s="5">
        <v>54</v>
      </c>
      <c r="M1090" s="5">
        <v>1</v>
      </c>
      <c r="N1090" s="5"/>
      <c r="O1090" s="5"/>
      <c r="P1090" s="5"/>
      <c r="Q1090" s="5"/>
      <c r="R1090" s="5"/>
      <c r="S1090" s="5">
        <v>56</v>
      </c>
      <c r="T1090" s="5">
        <v>56</v>
      </c>
      <c r="U1090" s="5">
        <v>56</v>
      </c>
    </row>
    <row r="1091" spans="1:21" x14ac:dyDescent="0.25">
      <c r="A1091" s="5" t="s">
        <v>7222</v>
      </c>
      <c r="B1091" s="5" t="s">
        <v>7223</v>
      </c>
      <c r="C1091" s="5" t="s">
        <v>3450</v>
      </c>
      <c r="D1091" s="5"/>
      <c r="E1091" s="5" t="s">
        <v>6531</v>
      </c>
      <c r="F1091" s="5"/>
      <c r="G1091" s="5"/>
      <c r="H1091" s="5"/>
      <c r="I1091" s="5" t="s">
        <v>3450</v>
      </c>
      <c r="J1091" s="5"/>
      <c r="K1091" s="5" t="s">
        <v>6532</v>
      </c>
      <c r="L1091" s="5">
        <v>59</v>
      </c>
      <c r="M1091" s="5">
        <v>1</v>
      </c>
      <c r="N1091" s="5"/>
      <c r="O1091" s="5"/>
      <c r="P1091" s="5"/>
      <c r="Q1091" s="5"/>
      <c r="R1091" s="5"/>
      <c r="S1091" s="5">
        <v>60</v>
      </c>
      <c r="T1091" s="5">
        <v>60</v>
      </c>
      <c r="U1091" s="5">
        <v>60</v>
      </c>
    </row>
    <row r="1092" spans="1:21" x14ac:dyDescent="0.25">
      <c r="A1092" s="5" t="s">
        <v>7224</v>
      </c>
      <c r="B1092" s="5" t="s">
        <v>7225</v>
      </c>
      <c r="C1092" s="5" t="s">
        <v>3450</v>
      </c>
      <c r="D1092" s="5"/>
      <c r="E1092" s="5" t="s">
        <v>6531</v>
      </c>
      <c r="F1092" s="5"/>
      <c r="G1092" s="5"/>
      <c r="H1092" s="5"/>
      <c r="I1092" s="5" t="s">
        <v>3450</v>
      </c>
      <c r="J1092" s="5"/>
      <c r="K1092" s="5" t="s">
        <v>6532</v>
      </c>
      <c r="L1092" s="5">
        <v>60</v>
      </c>
      <c r="M1092" s="5">
        <v>1</v>
      </c>
      <c r="N1092" s="5"/>
      <c r="O1092" s="5"/>
      <c r="P1092" s="5"/>
      <c r="Q1092" s="5"/>
      <c r="R1092" s="5"/>
      <c r="S1092" s="5">
        <v>63</v>
      </c>
      <c r="T1092" s="5">
        <v>63</v>
      </c>
      <c r="U1092" s="5">
        <v>63</v>
      </c>
    </row>
    <row r="1093" spans="1:21" x14ac:dyDescent="0.25">
      <c r="A1093" s="5" t="s">
        <v>7226</v>
      </c>
      <c r="B1093" s="5" t="s">
        <v>7227</v>
      </c>
      <c r="C1093" s="5" t="s">
        <v>3450</v>
      </c>
      <c r="D1093" s="5"/>
      <c r="E1093" s="5" t="s">
        <v>6531</v>
      </c>
      <c r="F1093" s="5"/>
      <c r="G1093" s="5"/>
      <c r="H1093" s="5"/>
      <c r="I1093" s="5" t="s">
        <v>3450</v>
      </c>
      <c r="J1093" s="5"/>
      <c r="K1093" s="5" t="s">
        <v>6532</v>
      </c>
      <c r="L1093" s="5">
        <v>65</v>
      </c>
      <c r="M1093" s="5">
        <v>1</v>
      </c>
      <c r="N1093" s="5"/>
      <c r="O1093" s="5"/>
      <c r="P1093" s="5"/>
      <c r="Q1093" s="5"/>
      <c r="R1093" s="5"/>
      <c r="S1093" s="5">
        <v>66</v>
      </c>
      <c r="T1093" s="5">
        <v>66</v>
      </c>
      <c r="U1093" s="5">
        <v>66</v>
      </c>
    </row>
    <row r="1094" spans="1:21" x14ac:dyDescent="0.25">
      <c r="A1094" s="5" t="s">
        <v>7228</v>
      </c>
      <c r="B1094" s="5" t="s">
        <v>7229</v>
      </c>
      <c r="C1094" s="5" t="s">
        <v>3450</v>
      </c>
      <c r="D1094" s="5"/>
      <c r="E1094" s="5" t="s">
        <v>6531</v>
      </c>
      <c r="F1094" s="5"/>
      <c r="G1094" s="5"/>
      <c r="H1094" s="5"/>
      <c r="I1094" s="5" t="s">
        <v>3450</v>
      </c>
      <c r="J1094" s="5"/>
      <c r="K1094" s="5" t="s">
        <v>6532</v>
      </c>
      <c r="L1094" s="5">
        <v>70</v>
      </c>
      <c r="M1094" s="5">
        <v>1</v>
      </c>
      <c r="N1094" s="5"/>
      <c r="O1094" s="5"/>
      <c r="P1094" s="5"/>
      <c r="Q1094" s="5"/>
      <c r="R1094" s="5"/>
      <c r="S1094" s="5">
        <v>70</v>
      </c>
      <c r="T1094" s="5">
        <v>70</v>
      </c>
      <c r="U1094" s="5">
        <v>70</v>
      </c>
    </row>
    <row r="1095" spans="1:21" x14ac:dyDescent="0.25">
      <c r="A1095" s="5" t="s">
        <v>7230</v>
      </c>
      <c r="B1095" s="5" t="s">
        <v>7231</v>
      </c>
      <c r="C1095" s="5" t="s">
        <v>3450</v>
      </c>
      <c r="D1095" s="5"/>
      <c r="E1095" s="5" t="s">
        <v>6531</v>
      </c>
      <c r="F1095" s="5"/>
      <c r="G1095" s="5"/>
      <c r="H1095" s="5"/>
      <c r="I1095" s="5" t="s">
        <v>3450</v>
      </c>
      <c r="J1095" s="5"/>
      <c r="K1095" s="5" t="s">
        <v>6532</v>
      </c>
      <c r="L1095" s="5">
        <v>71</v>
      </c>
      <c r="M1095" s="5">
        <v>1</v>
      </c>
      <c r="N1095" s="5"/>
      <c r="O1095" s="5"/>
      <c r="P1095" s="5"/>
      <c r="Q1095" s="5"/>
      <c r="R1095" s="5"/>
      <c r="S1095" s="5">
        <v>71</v>
      </c>
      <c r="T1095" s="5">
        <v>71</v>
      </c>
      <c r="U1095" s="5">
        <v>71</v>
      </c>
    </row>
    <row r="1096" spans="1:21" x14ac:dyDescent="0.25">
      <c r="A1096" s="5" t="s">
        <v>7232</v>
      </c>
      <c r="B1096" s="5" t="s">
        <v>7233</v>
      </c>
      <c r="C1096" s="5" t="s">
        <v>3450</v>
      </c>
      <c r="D1096" s="5"/>
      <c r="E1096" s="5" t="s">
        <v>6531</v>
      </c>
      <c r="F1096" s="5"/>
      <c r="G1096" s="5"/>
      <c r="H1096" s="5"/>
      <c r="I1096" s="5" t="s">
        <v>3450</v>
      </c>
      <c r="J1096" s="5"/>
      <c r="K1096" s="5" t="s">
        <v>6532</v>
      </c>
      <c r="L1096" s="5">
        <v>72</v>
      </c>
      <c r="M1096" s="5">
        <v>1</v>
      </c>
      <c r="N1096" s="5"/>
      <c r="O1096" s="5"/>
      <c r="P1096" s="5"/>
      <c r="Q1096" s="5"/>
      <c r="R1096" s="5"/>
      <c r="S1096" s="5">
        <v>72</v>
      </c>
      <c r="T1096" s="5">
        <v>72</v>
      </c>
      <c r="U1096" s="5">
        <v>72</v>
      </c>
    </row>
    <row r="1097" spans="1:21" x14ac:dyDescent="0.25">
      <c r="A1097" s="5" t="s">
        <v>7234</v>
      </c>
      <c r="B1097" s="5" t="s">
        <v>7235</v>
      </c>
      <c r="C1097" s="5" t="s">
        <v>3450</v>
      </c>
      <c r="D1097" s="5"/>
      <c r="E1097" s="5" t="s">
        <v>6531</v>
      </c>
      <c r="F1097" s="5"/>
      <c r="G1097" s="5"/>
      <c r="H1097" s="5"/>
      <c r="I1097" s="5" t="s">
        <v>3450</v>
      </c>
      <c r="J1097" s="5"/>
      <c r="K1097" s="5" t="s">
        <v>6532</v>
      </c>
      <c r="L1097" s="5">
        <v>74</v>
      </c>
      <c r="M1097" s="5">
        <v>1</v>
      </c>
      <c r="N1097" s="5"/>
      <c r="O1097" s="5"/>
      <c r="P1097" s="5"/>
      <c r="Q1097" s="5"/>
      <c r="R1097" s="5"/>
      <c r="S1097" s="5">
        <v>75</v>
      </c>
      <c r="T1097" s="5">
        <v>75</v>
      </c>
      <c r="U1097" s="5">
        <v>75</v>
      </c>
    </row>
    <row r="1098" spans="1:21" x14ac:dyDescent="0.25">
      <c r="A1098" s="5" t="s">
        <v>7236</v>
      </c>
      <c r="B1098" s="5" t="s">
        <v>7237</v>
      </c>
      <c r="C1098" s="5" t="s">
        <v>3450</v>
      </c>
      <c r="D1098" s="5"/>
      <c r="E1098" s="5" t="s">
        <v>6531</v>
      </c>
      <c r="F1098" s="5"/>
      <c r="G1098" s="5"/>
      <c r="H1098" s="5"/>
      <c r="I1098" s="5" t="s">
        <v>3450</v>
      </c>
      <c r="J1098" s="5"/>
      <c r="K1098" s="5" t="s">
        <v>6532</v>
      </c>
      <c r="L1098" s="5">
        <v>85</v>
      </c>
      <c r="M1098" s="5">
        <v>1</v>
      </c>
      <c r="N1098" s="5"/>
      <c r="O1098" s="5"/>
      <c r="P1098" s="5"/>
      <c r="Q1098" s="5"/>
      <c r="R1098" s="5"/>
      <c r="S1098" s="5">
        <v>85</v>
      </c>
      <c r="T1098" s="5">
        <v>85</v>
      </c>
      <c r="U1098" s="5">
        <v>85</v>
      </c>
    </row>
    <row r="1099" spans="1:21" x14ac:dyDescent="0.25">
      <c r="A1099" s="5" t="s">
        <v>7238</v>
      </c>
      <c r="B1099" s="5" t="s">
        <v>7239</v>
      </c>
      <c r="C1099" s="5" t="s">
        <v>3450</v>
      </c>
      <c r="D1099" s="5"/>
      <c r="E1099" s="5" t="s">
        <v>6531</v>
      </c>
      <c r="F1099" s="5"/>
      <c r="G1099" s="5"/>
      <c r="H1099" s="5"/>
      <c r="I1099" s="5" t="s">
        <v>3450</v>
      </c>
      <c r="J1099" s="5"/>
      <c r="K1099" s="5" t="s">
        <v>6532</v>
      </c>
      <c r="L1099" s="5">
        <v>87</v>
      </c>
      <c r="M1099" s="5">
        <v>1</v>
      </c>
      <c r="N1099" s="5"/>
      <c r="O1099" s="5"/>
      <c r="P1099" s="5"/>
      <c r="Q1099" s="5"/>
      <c r="R1099" s="5"/>
      <c r="S1099" s="5">
        <v>93</v>
      </c>
      <c r="T1099" s="5">
        <v>93</v>
      </c>
      <c r="U1099" s="5">
        <v>93</v>
      </c>
    </row>
    <row r="1100" spans="1:21" x14ac:dyDescent="0.25">
      <c r="A1100" s="5" t="s">
        <v>7240</v>
      </c>
      <c r="B1100" s="5" t="s">
        <v>7241</v>
      </c>
      <c r="C1100" s="5" t="s">
        <v>3450</v>
      </c>
      <c r="D1100" s="5"/>
      <c r="E1100" s="5" t="s">
        <v>6531</v>
      </c>
      <c r="F1100" s="5"/>
      <c r="G1100" s="5"/>
      <c r="H1100" s="5"/>
      <c r="I1100" s="5" t="s">
        <v>3450</v>
      </c>
      <c r="J1100" s="5"/>
      <c r="K1100" s="5" t="s">
        <v>6532</v>
      </c>
      <c r="L1100" s="5">
        <v>88</v>
      </c>
      <c r="M1100" s="5">
        <v>1</v>
      </c>
      <c r="N1100" s="5"/>
      <c r="O1100" s="5"/>
      <c r="P1100" s="5"/>
      <c r="Q1100" s="5"/>
      <c r="R1100" s="5"/>
      <c r="S1100" s="5">
        <v>85</v>
      </c>
      <c r="T1100" s="5">
        <v>85</v>
      </c>
      <c r="U1100" s="5">
        <v>85</v>
      </c>
    </row>
    <row r="1101" spans="1:21" x14ac:dyDescent="0.25">
      <c r="A1101" s="5" t="s">
        <v>7242</v>
      </c>
      <c r="B1101" s="5" t="s">
        <v>7243</v>
      </c>
      <c r="C1101" s="5" t="s">
        <v>3450</v>
      </c>
      <c r="D1101" s="5"/>
      <c r="E1101" s="5" t="s">
        <v>6531</v>
      </c>
      <c r="F1101" s="5"/>
      <c r="G1101" s="5"/>
      <c r="H1101" s="5"/>
      <c r="I1101" s="5" t="s">
        <v>3450</v>
      </c>
      <c r="J1101" s="5"/>
      <c r="K1101" s="5" t="s">
        <v>6532</v>
      </c>
      <c r="L1101" s="5">
        <v>91</v>
      </c>
      <c r="M1101" s="5">
        <v>1</v>
      </c>
      <c r="N1101" s="5"/>
      <c r="O1101" s="5"/>
      <c r="P1101" s="5"/>
      <c r="Q1101" s="5"/>
      <c r="R1101" s="5"/>
      <c r="S1101" s="5">
        <v>91</v>
      </c>
      <c r="T1101" s="5">
        <v>91</v>
      </c>
      <c r="U1101" s="5">
        <v>91</v>
      </c>
    </row>
    <row r="1102" spans="1:21" x14ac:dyDescent="0.25">
      <c r="A1102" s="5" t="s">
        <v>7244</v>
      </c>
      <c r="B1102" s="5" t="s">
        <v>7245</v>
      </c>
      <c r="C1102" s="5" t="s">
        <v>3450</v>
      </c>
      <c r="D1102" s="5"/>
      <c r="E1102" s="5" t="s">
        <v>6609</v>
      </c>
      <c r="F1102" s="5"/>
      <c r="G1102" s="5"/>
      <c r="H1102" s="5"/>
      <c r="I1102" s="5" t="s">
        <v>3450</v>
      </c>
      <c r="J1102" s="5"/>
      <c r="K1102" s="5" t="s">
        <v>6610</v>
      </c>
      <c r="L1102" s="5">
        <v>156</v>
      </c>
      <c r="M1102" s="5">
        <v>1</v>
      </c>
      <c r="N1102" s="5"/>
      <c r="O1102" s="5"/>
      <c r="P1102" s="5"/>
      <c r="Q1102" s="5"/>
      <c r="R1102" s="5"/>
      <c r="S1102" s="5">
        <v>157</v>
      </c>
      <c r="T1102" s="5">
        <v>157</v>
      </c>
      <c r="U1102" s="5">
        <v>157</v>
      </c>
    </row>
    <row r="1103" spans="1:21" x14ac:dyDescent="0.25">
      <c r="A1103" s="5" t="s">
        <v>7246</v>
      </c>
      <c r="B1103" s="5" t="s">
        <v>7247</v>
      </c>
      <c r="C1103" s="5" t="s">
        <v>3450</v>
      </c>
      <c r="D1103" s="5"/>
      <c r="E1103" s="5" t="s">
        <v>6609</v>
      </c>
      <c r="F1103" s="5"/>
      <c r="G1103" s="5"/>
      <c r="H1103" s="5"/>
      <c r="I1103" s="5" t="s">
        <v>3450</v>
      </c>
      <c r="J1103" s="5"/>
      <c r="K1103" s="5" t="s">
        <v>6610</v>
      </c>
      <c r="L1103" s="5">
        <v>193</v>
      </c>
      <c r="M1103" s="5">
        <v>1</v>
      </c>
      <c r="N1103" s="5"/>
      <c r="O1103" s="5"/>
      <c r="P1103" s="5"/>
      <c r="Q1103" s="5"/>
      <c r="R1103" s="5"/>
      <c r="S1103" s="5">
        <v>193</v>
      </c>
      <c r="T1103" s="5">
        <v>193</v>
      </c>
      <c r="U1103" s="5">
        <v>193</v>
      </c>
    </row>
    <row r="1104" spans="1:21" x14ac:dyDescent="0.25">
      <c r="A1104" s="5" t="s">
        <v>7248</v>
      </c>
      <c r="B1104" s="5" t="s">
        <v>7249</v>
      </c>
      <c r="C1104" s="5" t="s">
        <v>3450</v>
      </c>
      <c r="D1104" s="5"/>
      <c r="E1104" s="5" t="s">
        <v>6609</v>
      </c>
      <c r="F1104" s="5"/>
      <c r="G1104" s="5"/>
      <c r="H1104" s="5"/>
      <c r="I1104" s="5" t="s">
        <v>3450</v>
      </c>
      <c r="J1104" s="5"/>
      <c r="K1104" s="5" t="s">
        <v>6610</v>
      </c>
      <c r="L1104" s="5">
        <v>73</v>
      </c>
      <c r="M1104" s="5">
        <v>1</v>
      </c>
      <c r="N1104" s="5"/>
      <c r="O1104" s="5"/>
      <c r="P1104" s="5"/>
      <c r="Q1104" s="5"/>
      <c r="R1104" s="5"/>
      <c r="S1104" s="5">
        <v>73</v>
      </c>
      <c r="T1104" s="5">
        <v>73</v>
      </c>
      <c r="U1104" s="5">
        <v>73</v>
      </c>
    </row>
    <row r="1105" spans="1:21" x14ac:dyDescent="0.25">
      <c r="A1105" s="5" t="s">
        <v>7250</v>
      </c>
      <c r="B1105" s="5" t="s">
        <v>7251</v>
      </c>
      <c r="C1105" s="5" t="s">
        <v>3450</v>
      </c>
      <c r="D1105" s="5"/>
      <c r="E1105" s="5" t="s">
        <v>6675</v>
      </c>
      <c r="F1105" s="5"/>
      <c r="G1105" s="5"/>
      <c r="H1105" s="5"/>
      <c r="I1105" s="5" t="s">
        <v>3450</v>
      </c>
      <c r="J1105" s="5"/>
      <c r="K1105" s="5" t="s">
        <v>6676</v>
      </c>
      <c r="L1105" s="5">
        <v>15</v>
      </c>
      <c r="M1105" s="5">
        <v>1</v>
      </c>
      <c r="N1105" s="5"/>
      <c r="O1105" s="5"/>
      <c r="P1105" s="5"/>
      <c r="Q1105" s="5"/>
      <c r="R1105" s="5"/>
      <c r="S1105" s="5">
        <v>15</v>
      </c>
      <c r="T1105" s="5">
        <v>15</v>
      </c>
      <c r="U1105" s="5">
        <v>15</v>
      </c>
    </row>
    <row r="1106" spans="1:21" x14ac:dyDescent="0.25">
      <c r="A1106" s="5" t="s">
        <v>7252</v>
      </c>
      <c r="B1106" s="5" t="s">
        <v>7253</v>
      </c>
      <c r="C1106" s="5" t="s">
        <v>3450</v>
      </c>
      <c r="D1106" s="5"/>
      <c r="E1106" s="5" t="s">
        <v>6675</v>
      </c>
      <c r="F1106" s="5"/>
      <c r="G1106" s="5"/>
      <c r="H1106" s="5"/>
      <c r="I1106" s="5" t="s">
        <v>3450</v>
      </c>
      <c r="J1106" s="5"/>
      <c r="K1106" s="5" t="s">
        <v>6676</v>
      </c>
      <c r="L1106" s="5">
        <v>20</v>
      </c>
      <c r="M1106" s="5">
        <v>1</v>
      </c>
      <c r="N1106" s="5"/>
      <c r="O1106" s="5"/>
      <c r="P1106" s="5"/>
      <c r="Q1106" s="5"/>
      <c r="R1106" s="5"/>
      <c r="S1106" s="5">
        <v>22</v>
      </c>
      <c r="T1106" s="5">
        <v>22</v>
      </c>
      <c r="U1106" s="5">
        <v>22</v>
      </c>
    </row>
    <row r="1107" spans="1:21" x14ac:dyDescent="0.25">
      <c r="A1107" s="5" t="s">
        <v>7254</v>
      </c>
      <c r="B1107" s="5" t="s">
        <v>7255</v>
      </c>
      <c r="C1107" s="5" t="s">
        <v>3450</v>
      </c>
      <c r="D1107" s="5"/>
      <c r="E1107" s="5" t="s">
        <v>6675</v>
      </c>
      <c r="F1107" s="5"/>
      <c r="G1107" s="5"/>
      <c r="H1107" s="5"/>
      <c r="I1107" s="5" t="s">
        <v>3450</v>
      </c>
      <c r="J1107" s="5"/>
      <c r="K1107" s="5" t="s">
        <v>6676</v>
      </c>
      <c r="L1107" s="5">
        <v>22</v>
      </c>
      <c r="M1107" s="5">
        <v>1</v>
      </c>
      <c r="N1107" s="5"/>
      <c r="O1107" s="5"/>
      <c r="P1107" s="5"/>
      <c r="Q1107" s="5"/>
      <c r="R1107" s="5"/>
      <c r="S1107" s="5">
        <v>22</v>
      </c>
      <c r="T1107" s="5">
        <v>22</v>
      </c>
      <c r="U1107" s="5">
        <v>22</v>
      </c>
    </row>
    <row r="1108" spans="1:21" x14ac:dyDescent="0.25">
      <c r="A1108" s="5" t="s">
        <v>7256</v>
      </c>
      <c r="B1108" s="5" t="s">
        <v>7257</v>
      </c>
      <c r="C1108" s="5" t="s">
        <v>3450</v>
      </c>
      <c r="D1108" s="5"/>
      <c r="E1108" s="5" t="s">
        <v>6675</v>
      </c>
      <c r="F1108" s="5"/>
      <c r="G1108" s="5"/>
      <c r="H1108" s="5"/>
      <c r="I1108" s="5" t="s">
        <v>3450</v>
      </c>
      <c r="J1108" s="5"/>
      <c r="K1108" s="5" t="s">
        <v>6676</v>
      </c>
      <c r="L1108" s="5">
        <v>53</v>
      </c>
      <c r="M1108" s="5">
        <v>1</v>
      </c>
      <c r="N1108" s="5"/>
      <c r="O1108" s="5"/>
      <c r="P1108" s="5"/>
      <c r="Q1108" s="5"/>
      <c r="R1108" s="5"/>
      <c r="S1108" s="5">
        <v>53</v>
      </c>
      <c r="T1108" s="5">
        <v>53</v>
      </c>
      <c r="U1108" s="5">
        <v>53</v>
      </c>
    </row>
    <row r="1109" spans="1:21" x14ac:dyDescent="0.25">
      <c r="A1109" s="5" t="s">
        <v>7258</v>
      </c>
      <c r="B1109" s="5" t="s">
        <v>7259</v>
      </c>
      <c r="C1109" s="5" t="s">
        <v>3450</v>
      </c>
      <c r="D1109" s="5"/>
      <c r="E1109" s="5" t="s">
        <v>6675</v>
      </c>
      <c r="F1109" s="5"/>
      <c r="G1109" s="5"/>
      <c r="H1109" s="5"/>
      <c r="I1109" s="5" t="s">
        <v>3450</v>
      </c>
      <c r="J1109" s="5"/>
      <c r="K1109" s="5" t="s">
        <v>6676</v>
      </c>
      <c r="L1109" s="5">
        <v>71</v>
      </c>
      <c r="M1109" s="5">
        <v>1</v>
      </c>
      <c r="N1109" s="5"/>
      <c r="O1109" s="5"/>
      <c r="P1109" s="5"/>
      <c r="Q1109" s="5"/>
      <c r="R1109" s="5"/>
      <c r="S1109" s="5">
        <v>69</v>
      </c>
      <c r="T1109" s="5">
        <v>69</v>
      </c>
      <c r="U1109" s="5">
        <v>69</v>
      </c>
    </row>
    <row r="1110" spans="1:21" x14ac:dyDescent="0.25">
      <c r="A1110" s="5" t="s">
        <v>7260</v>
      </c>
      <c r="B1110" s="5" t="s">
        <v>7261</v>
      </c>
      <c r="C1110" s="5" t="s">
        <v>3450</v>
      </c>
      <c r="D1110" s="5"/>
      <c r="E1110" s="5" t="s">
        <v>6675</v>
      </c>
      <c r="F1110" s="5"/>
      <c r="G1110" s="5"/>
      <c r="H1110" s="5"/>
      <c r="I1110" s="5" t="s">
        <v>3450</v>
      </c>
      <c r="J1110" s="5"/>
      <c r="K1110" s="5" t="s">
        <v>6676</v>
      </c>
      <c r="L1110" s="5">
        <v>88</v>
      </c>
      <c r="M1110" s="5">
        <v>1</v>
      </c>
      <c r="N1110" s="5"/>
      <c r="O1110" s="5"/>
      <c r="P1110" s="5"/>
      <c r="Q1110" s="5"/>
      <c r="R1110" s="5"/>
      <c r="S1110" s="5">
        <v>85</v>
      </c>
      <c r="T1110" s="5">
        <v>85</v>
      </c>
      <c r="U1110" s="5">
        <v>85</v>
      </c>
    </row>
    <row r="1111" spans="1:21" x14ac:dyDescent="0.25">
      <c r="A1111" s="5" t="s">
        <v>7262</v>
      </c>
      <c r="B1111" s="5" t="s">
        <v>7263</v>
      </c>
      <c r="C1111" s="5" t="s">
        <v>3450</v>
      </c>
      <c r="D1111" s="5"/>
      <c r="E1111" s="5" t="s">
        <v>6617</v>
      </c>
      <c r="F1111" s="5"/>
      <c r="G1111" s="5"/>
      <c r="H1111" s="5"/>
      <c r="I1111" s="5" t="s">
        <v>3450</v>
      </c>
      <c r="J1111" s="5"/>
      <c r="K1111" s="5" t="s">
        <v>7264</v>
      </c>
      <c r="L1111" s="5">
        <v>107</v>
      </c>
      <c r="M1111" s="5">
        <v>1</v>
      </c>
      <c r="N1111" s="5"/>
      <c r="O1111" s="5"/>
      <c r="P1111" s="5"/>
      <c r="Q1111" s="5"/>
      <c r="R1111" s="5"/>
      <c r="S1111" s="5">
        <v>107</v>
      </c>
      <c r="T1111" s="5">
        <v>107</v>
      </c>
      <c r="U1111" s="5">
        <v>107</v>
      </c>
    </row>
    <row r="1112" spans="1:21" x14ac:dyDescent="0.25">
      <c r="A1112" s="5" t="s">
        <v>7265</v>
      </c>
      <c r="B1112" s="5" t="s">
        <v>7266</v>
      </c>
      <c r="C1112" s="5" t="s">
        <v>3450</v>
      </c>
      <c r="D1112" s="5"/>
      <c r="E1112" s="5" t="s">
        <v>6617</v>
      </c>
      <c r="F1112" s="5"/>
      <c r="G1112" s="5"/>
      <c r="H1112" s="5"/>
      <c r="I1112" s="5" t="s">
        <v>3450</v>
      </c>
      <c r="J1112" s="5"/>
      <c r="K1112" s="5" t="s">
        <v>7264</v>
      </c>
      <c r="L1112" s="5">
        <v>10</v>
      </c>
      <c r="M1112" s="5">
        <v>1</v>
      </c>
      <c r="N1112" s="5"/>
      <c r="O1112" s="5"/>
      <c r="P1112" s="5"/>
      <c r="Q1112" s="5"/>
      <c r="R1112" s="5"/>
      <c r="S1112" s="5">
        <v>10</v>
      </c>
      <c r="T1112" s="5">
        <v>10</v>
      </c>
      <c r="U1112" s="5">
        <v>10</v>
      </c>
    </row>
    <row r="1113" spans="1:21" x14ac:dyDescent="0.25">
      <c r="A1113" s="5" t="s">
        <v>7267</v>
      </c>
      <c r="B1113" s="5" t="s">
        <v>7268</v>
      </c>
      <c r="C1113" s="5" t="s">
        <v>3450</v>
      </c>
      <c r="D1113" s="5"/>
      <c r="E1113" s="5" t="s">
        <v>6617</v>
      </c>
      <c r="F1113" s="5"/>
      <c r="G1113" s="5"/>
      <c r="H1113" s="5"/>
      <c r="I1113" s="5" t="s">
        <v>3450</v>
      </c>
      <c r="J1113" s="5"/>
      <c r="K1113" s="5" t="s">
        <v>7264</v>
      </c>
      <c r="L1113" s="5">
        <v>11</v>
      </c>
      <c r="M1113" s="5">
        <v>1</v>
      </c>
      <c r="N1113" s="5"/>
      <c r="O1113" s="5"/>
      <c r="P1113" s="5"/>
      <c r="Q1113" s="5"/>
      <c r="R1113" s="5"/>
      <c r="S1113" s="5">
        <v>11</v>
      </c>
      <c r="T1113" s="5">
        <v>11</v>
      </c>
      <c r="U1113" s="5">
        <v>11</v>
      </c>
    </row>
    <row r="1114" spans="1:21" x14ac:dyDescent="0.25">
      <c r="A1114" s="5" t="s">
        <v>7269</v>
      </c>
      <c r="B1114" s="5" t="s">
        <v>7270</v>
      </c>
      <c r="C1114" s="5" t="s">
        <v>3450</v>
      </c>
      <c r="D1114" s="5"/>
      <c r="E1114" s="5" t="s">
        <v>6617</v>
      </c>
      <c r="F1114" s="5"/>
      <c r="G1114" s="5"/>
      <c r="H1114" s="5"/>
      <c r="I1114" s="5" t="s">
        <v>3450</v>
      </c>
      <c r="J1114" s="5"/>
      <c r="K1114" s="5" t="s">
        <v>7264</v>
      </c>
      <c r="L1114" s="5">
        <v>12</v>
      </c>
      <c r="M1114" s="5">
        <v>1</v>
      </c>
      <c r="N1114" s="5"/>
      <c r="O1114" s="5"/>
      <c r="P1114" s="5"/>
      <c r="Q1114" s="5"/>
      <c r="R1114" s="5"/>
      <c r="S1114" s="5">
        <v>12</v>
      </c>
      <c r="T1114" s="5">
        <v>12</v>
      </c>
      <c r="U1114" s="5">
        <v>12</v>
      </c>
    </row>
    <row r="1115" spans="1:21" x14ac:dyDescent="0.25">
      <c r="A1115" s="5" t="s">
        <v>7271</v>
      </c>
      <c r="B1115" s="5" t="s">
        <v>7272</v>
      </c>
      <c r="C1115" s="5" t="s">
        <v>3450</v>
      </c>
      <c r="D1115" s="5"/>
      <c r="E1115" s="5" t="s">
        <v>6617</v>
      </c>
      <c r="F1115" s="5"/>
      <c r="G1115" s="5"/>
      <c r="H1115" s="5"/>
      <c r="I1115" s="5" t="s">
        <v>3450</v>
      </c>
      <c r="J1115" s="5"/>
      <c r="K1115" s="5" t="s">
        <v>7264</v>
      </c>
      <c r="L1115" s="5">
        <v>13</v>
      </c>
      <c r="M1115" s="5">
        <v>1</v>
      </c>
      <c r="N1115" s="5"/>
      <c r="O1115" s="5"/>
      <c r="P1115" s="5"/>
      <c r="Q1115" s="5"/>
      <c r="R1115" s="5"/>
      <c r="S1115" s="5">
        <v>13</v>
      </c>
      <c r="T1115" s="5">
        <v>13</v>
      </c>
      <c r="U1115" s="5">
        <v>13</v>
      </c>
    </row>
    <row r="1116" spans="1:21" x14ac:dyDescent="0.25">
      <c r="A1116" s="5" t="s">
        <v>7273</v>
      </c>
      <c r="B1116" s="5" t="s">
        <v>7274</v>
      </c>
      <c r="C1116" s="5" t="s">
        <v>3450</v>
      </c>
      <c r="D1116" s="5"/>
      <c r="E1116" s="5" t="s">
        <v>6617</v>
      </c>
      <c r="F1116" s="5"/>
      <c r="G1116" s="5"/>
      <c r="H1116" s="5"/>
      <c r="I1116" s="5" t="s">
        <v>3450</v>
      </c>
      <c r="J1116" s="5"/>
      <c r="K1116" s="5" t="s">
        <v>7264</v>
      </c>
      <c r="L1116" s="5">
        <v>14</v>
      </c>
      <c r="M1116" s="5">
        <v>1</v>
      </c>
      <c r="N1116" s="5"/>
      <c r="O1116" s="5"/>
      <c r="P1116" s="5"/>
      <c r="Q1116" s="5"/>
      <c r="R1116" s="5"/>
      <c r="S1116" s="5">
        <v>14</v>
      </c>
      <c r="T1116" s="5">
        <v>14</v>
      </c>
      <c r="U1116" s="5">
        <v>14</v>
      </c>
    </row>
    <row r="1117" spans="1:21" x14ac:dyDescent="0.25">
      <c r="A1117" s="5" t="s">
        <v>7275</v>
      </c>
      <c r="B1117" s="5" t="s">
        <v>7276</v>
      </c>
      <c r="C1117" s="5" t="s">
        <v>3450</v>
      </c>
      <c r="D1117" s="5"/>
      <c r="E1117" s="5" t="s">
        <v>6617</v>
      </c>
      <c r="F1117" s="5"/>
      <c r="G1117" s="5"/>
      <c r="H1117" s="5"/>
      <c r="I1117" s="5" t="s">
        <v>3450</v>
      </c>
      <c r="J1117" s="5"/>
      <c r="K1117" s="5" t="s">
        <v>7264</v>
      </c>
      <c r="L1117" s="5">
        <v>15</v>
      </c>
      <c r="M1117" s="5">
        <v>1</v>
      </c>
      <c r="N1117" s="5"/>
      <c r="O1117" s="5"/>
      <c r="P1117" s="5"/>
      <c r="Q1117" s="5"/>
      <c r="R1117" s="5"/>
      <c r="S1117" s="5">
        <v>15</v>
      </c>
      <c r="T1117" s="5">
        <v>15</v>
      </c>
      <c r="U1117" s="5">
        <v>15</v>
      </c>
    </row>
    <row r="1118" spans="1:21" x14ac:dyDescent="0.25">
      <c r="A1118" s="5" t="s">
        <v>7277</v>
      </c>
      <c r="B1118" s="5" t="s">
        <v>7278</v>
      </c>
      <c r="C1118" s="5" t="s">
        <v>3450</v>
      </c>
      <c r="D1118" s="5"/>
      <c r="E1118" s="5" t="s">
        <v>6617</v>
      </c>
      <c r="F1118" s="5"/>
      <c r="G1118" s="5"/>
      <c r="H1118" s="5"/>
      <c r="I1118" s="5" t="s">
        <v>3450</v>
      </c>
      <c r="J1118" s="5"/>
      <c r="K1118" s="5" t="s">
        <v>7264</v>
      </c>
      <c r="L1118" s="5">
        <v>16</v>
      </c>
      <c r="M1118" s="5">
        <v>1</v>
      </c>
      <c r="N1118" s="5"/>
      <c r="O1118" s="5"/>
      <c r="P1118" s="5"/>
      <c r="Q1118" s="5"/>
      <c r="R1118" s="5"/>
      <c r="S1118" s="5">
        <v>16</v>
      </c>
      <c r="T1118" s="5">
        <v>16</v>
      </c>
      <c r="U1118" s="5">
        <v>16</v>
      </c>
    </row>
    <row r="1119" spans="1:21" x14ac:dyDescent="0.25">
      <c r="A1119" s="5" t="s">
        <v>7279</v>
      </c>
      <c r="B1119" s="5" t="s">
        <v>7280</v>
      </c>
      <c r="C1119" s="5" t="s">
        <v>3450</v>
      </c>
      <c r="D1119" s="5"/>
      <c r="E1119" s="5" t="s">
        <v>6617</v>
      </c>
      <c r="F1119" s="5"/>
      <c r="G1119" s="5"/>
      <c r="H1119" s="5"/>
      <c r="I1119" s="5" t="s">
        <v>3450</v>
      </c>
      <c r="J1119" s="5"/>
      <c r="K1119" s="5" t="s">
        <v>7264</v>
      </c>
      <c r="L1119" s="5">
        <v>17</v>
      </c>
      <c r="M1119" s="5">
        <v>1</v>
      </c>
      <c r="N1119" s="5"/>
      <c r="O1119" s="5"/>
      <c r="P1119" s="5"/>
      <c r="Q1119" s="5"/>
      <c r="R1119" s="5"/>
      <c r="S1119" s="5">
        <v>17</v>
      </c>
      <c r="T1119" s="5">
        <v>17</v>
      </c>
      <c r="U1119" s="5">
        <v>17</v>
      </c>
    </row>
    <row r="1120" spans="1:21" x14ac:dyDescent="0.25">
      <c r="A1120" s="5" t="s">
        <v>7281</v>
      </c>
      <c r="B1120" s="5" t="s">
        <v>7282</v>
      </c>
      <c r="C1120" s="5" t="s">
        <v>3450</v>
      </c>
      <c r="D1120" s="5"/>
      <c r="E1120" s="5" t="s">
        <v>6617</v>
      </c>
      <c r="F1120" s="5"/>
      <c r="G1120" s="5"/>
      <c r="H1120" s="5"/>
      <c r="I1120" s="5" t="s">
        <v>3450</v>
      </c>
      <c r="J1120" s="5"/>
      <c r="K1120" s="5" t="s">
        <v>7264</v>
      </c>
      <c r="L1120" s="5">
        <v>18</v>
      </c>
      <c r="M1120" s="5">
        <v>1</v>
      </c>
      <c r="N1120" s="5"/>
      <c r="O1120" s="5"/>
      <c r="P1120" s="5"/>
      <c r="Q1120" s="5"/>
      <c r="R1120" s="5"/>
      <c r="S1120" s="5">
        <v>18</v>
      </c>
      <c r="T1120" s="5">
        <v>18</v>
      </c>
      <c r="U1120" s="5">
        <v>18</v>
      </c>
    </row>
    <row r="1121" spans="1:21" x14ac:dyDescent="0.25">
      <c r="A1121" s="5" t="s">
        <v>7283</v>
      </c>
      <c r="B1121" s="5" t="s">
        <v>7284</v>
      </c>
      <c r="C1121" s="5" t="s">
        <v>3450</v>
      </c>
      <c r="D1121" s="5"/>
      <c r="E1121" s="5" t="s">
        <v>6617</v>
      </c>
      <c r="F1121" s="5"/>
      <c r="G1121" s="5"/>
      <c r="H1121" s="5"/>
      <c r="I1121" s="5" t="s">
        <v>3450</v>
      </c>
      <c r="J1121" s="5"/>
      <c r="K1121" s="5" t="s">
        <v>7264</v>
      </c>
      <c r="L1121" s="5">
        <v>19</v>
      </c>
      <c r="M1121" s="5">
        <v>1</v>
      </c>
      <c r="N1121" s="5"/>
      <c r="O1121" s="5"/>
      <c r="P1121" s="5"/>
      <c r="Q1121" s="5"/>
      <c r="R1121" s="5"/>
      <c r="S1121" s="5">
        <v>19</v>
      </c>
      <c r="T1121" s="5">
        <v>19</v>
      </c>
      <c r="U1121" s="5">
        <v>19</v>
      </c>
    </row>
    <row r="1122" spans="1:21" x14ac:dyDescent="0.25">
      <c r="A1122" s="5" t="s">
        <v>7285</v>
      </c>
      <c r="B1122" s="5" t="s">
        <v>7286</v>
      </c>
      <c r="C1122" s="5" t="s">
        <v>3450</v>
      </c>
      <c r="D1122" s="5"/>
      <c r="E1122" s="5" t="s">
        <v>6617</v>
      </c>
      <c r="F1122" s="5"/>
      <c r="G1122" s="5"/>
      <c r="H1122" s="5"/>
      <c r="I1122" s="5" t="s">
        <v>3450</v>
      </c>
      <c r="J1122" s="5"/>
      <c r="K1122" s="5" t="s">
        <v>7264</v>
      </c>
      <c r="L1122" s="5">
        <v>20</v>
      </c>
      <c r="M1122" s="5">
        <v>1</v>
      </c>
      <c r="N1122" s="5"/>
      <c r="O1122" s="5"/>
      <c r="P1122" s="5"/>
      <c r="Q1122" s="5"/>
      <c r="R1122" s="5"/>
      <c r="S1122" s="5">
        <v>20</v>
      </c>
      <c r="T1122" s="5">
        <v>20</v>
      </c>
      <c r="U1122" s="5">
        <v>20</v>
      </c>
    </row>
    <row r="1123" spans="1:21" x14ac:dyDescent="0.25">
      <c r="A1123" s="5" t="s">
        <v>7287</v>
      </c>
      <c r="B1123" s="5" t="s">
        <v>7288</v>
      </c>
      <c r="C1123" s="5" t="s">
        <v>3450</v>
      </c>
      <c r="D1123" s="5"/>
      <c r="E1123" s="5" t="s">
        <v>6617</v>
      </c>
      <c r="F1123" s="5"/>
      <c r="G1123" s="5"/>
      <c r="H1123" s="5"/>
      <c r="I1123" s="5" t="s">
        <v>3450</v>
      </c>
      <c r="J1123" s="5"/>
      <c r="K1123" s="5" t="s">
        <v>7264</v>
      </c>
      <c r="L1123" s="5">
        <v>21</v>
      </c>
      <c r="M1123" s="5">
        <v>1</v>
      </c>
      <c r="N1123" s="5"/>
      <c r="O1123" s="5"/>
      <c r="P1123" s="5"/>
      <c r="Q1123" s="5"/>
      <c r="R1123" s="5"/>
      <c r="S1123" s="5">
        <v>21</v>
      </c>
      <c r="T1123" s="5">
        <v>21</v>
      </c>
      <c r="U1123" s="5">
        <v>21</v>
      </c>
    </row>
    <row r="1124" spans="1:21" x14ac:dyDescent="0.25">
      <c r="A1124" s="5" t="s">
        <v>7289</v>
      </c>
      <c r="B1124" s="5" t="s">
        <v>7290</v>
      </c>
      <c r="C1124" s="5" t="s">
        <v>3450</v>
      </c>
      <c r="D1124" s="5"/>
      <c r="E1124" s="5" t="s">
        <v>6617</v>
      </c>
      <c r="F1124" s="5"/>
      <c r="G1124" s="5"/>
      <c r="H1124" s="5"/>
      <c r="I1124" s="5" t="s">
        <v>3450</v>
      </c>
      <c r="J1124" s="5"/>
      <c r="K1124" s="5" t="s">
        <v>7264</v>
      </c>
      <c r="L1124" s="5">
        <v>22</v>
      </c>
      <c r="M1124" s="5">
        <v>1</v>
      </c>
      <c r="N1124" s="5"/>
      <c r="O1124" s="5"/>
      <c r="P1124" s="5"/>
      <c r="Q1124" s="5"/>
      <c r="R1124" s="5"/>
      <c r="S1124" s="5">
        <v>22</v>
      </c>
      <c r="T1124" s="5">
        <v>22</v>
      </c>
      <c r="U1124" s="5">
        <v>22</v>
      </c>
    </row>
    <row r="1125" spans="1:21" x14ac:dyDescent="0.25">
      <c r="A1125" s="5" t="s">
        <v>7291</v>
      </c>
      <c r="B1125" s="5" t="s">
        <v>7292</v>
      </c>
      <c r="C1125" s="5" t="s">
        <v>3450</v>
      </c>
      <c r="D1125" s="5"/>
      <c r="E1125" s="5" t="s">
        <v>6617</v>
      </c>
      <c r="F1125" s="5"/>
      <c r="G1125" s="5"/>
      <c r="H1125" s="5"/>
      <c r="I1125" s="5" t="s">
        <v>3450</v>
      </c>
      <c r="J1125" s="5"/>
      <c r="K1125" s="5" t="s">
        <v>7264</v>
      </c>
      <c r="L1125" s="5">
        <v>23</v>
      </c>
      <c r="M1125" s="5">
        <v>1</v>
      </c>
      <c r="N1125" s="5"/>
      <c r="O1125" s="5"/>
      <c r="P1125" s="5"/>
      <c r="Q1125" s="5"/>
      <c r="R1125" s="5"/>
      <c r="S1125" s="5">
        <v>23</v>
      </c>
      <c r="T1125" s="5">
        <v>23</v>
      </c>
      <c r="U1125" s="5">
        <v>23</v>
      </c>
    </row>
    <row r="1126" spans="1:21" x14ac:dyDescent="0.25">
      <c r="A1126" s="5" t="s">
        <v>7293</v>
      </c>
      <c r="B1126" s="5" t="s">
        <v>7294</v>
      </c>
      <c r="C1126" s="5" t="s">
        <v>3450</v>
      </c>
      <c r="D1126" s="5"/>
      <c r="E1126" s="5" t="s">
        <v>6617</v>
      </c>
      <c r="F1126" s="5"/>
      <c r="G1126" s="5"/>
      <c r="H1126" s="5"/>
      <c r="I1126" s="5" t="s">
        <v>3450</v>
      </c>
      <c r="J1126" s="5"/>
      <c r="K1126" s="5" t="s">
        <v>7264</v>
      </c>
      <c r="L1126" s="5">
        <v>24</v>
      </c>
      <c r="M1126" s="5">
        <v>1</v>
      </c>
      <c r="N1126" s="5"/>
      <c r="O1126" s="5"/>
      <c r="P1126" s="5"/>
      <c r="Q1126" s="5"/>
      <c r="R1126" s="5"/>
      <c r="S1126" s="5">
        <v>24</v>
      </c>
      <c r="T1126" s="5">
        <v>24</v>
      </c>
      <c r="U1126" s="5">
        <v>24</v>
      </c>
    </row>
    <row r="1127" spans="1:21" x14ac:dyDescent="0.25">
      <c r="A1127" s="5" t="s">
        <v>7295</v>
      </c>
      <c r="B1127" s="5" t="s">
        <v>7296</v>
      </c>
      <c r="C1127" s="5" t="s">
        <v>3450</v>
      </c>
      <c r="D1127" s="5"/>
      <c r="E1127" s="5" t="s">
        <v>6617</v>
      </c>
      <c r="F1127" s="5"/>
      <c r="G1127" s="5"/>
      <c r="H1127" s="5"/>
      <c r="I1127" s="5" t="s">
        <v>3450</v>
      </c>
      <c r="J1127" s="5"/>
      <c r="K1127" s="5" t="s">
        <v>7264</v>
      </c>
      <c r="L1127" s="5">
        <v>25</v>
      </c>
      <c r="M1127" s="5">
        <v>1</v>
      </c>
      <c r="N1127" s="5"/>
      <c r="O1127" s="5"/>
      <c r="P1127" s="5"/>
      <c r="Q1127" s="5"/>
      <c r="R1127" s="5"/>
      <c r="S1127" s="5">
        <v>25</v>
      </c>
      <c r="T1127" s="5">
        <v>25</v>
      </c>
      <c r="U1127" s="5">
        <v>25</v>
      </c>
    </row>
    <row r="1128" spans="1:21" x14ac:dyDescent="0.25">
      <c r="A1128" s="5" t="s">
        <v>7297</v>
      </c>
      <c r="B1128" s="5" t="s">
        <v>7298</v>
      </c>
      <c r="C1128" s="5" t="s">
        <v>3450</v>
      </c>
      <c r="D1128" s="5"/>
      <c r="E1128" s="5" t="s">
        <v>6617</v>
      </c>
      <c r="F1128" s="5"/>
      <c r="G1128" s="5"/>
      <c r="H1128" s="5"/>
      <c r="I1128" s="5" t="s">
        <v>3450</v>
      </c>
      <c r="J1128" s="5"/>
      <c r="K1128" s="5" t="s">
        <v>7264</v>
      </c>
      <c r="L1128" s="5">
        <v>26</v>
      </c>
      <c r="M1128" s="5">
        <v>1</v>
      </c>
      <c r="N1128" s="5"/>
      <c r="O1128" s="5"/>
      <c r="P1128" s="5"/>
      <c r="Q1128" s="5"/>
      <c r="R1128" s="5"/>
      <c r="S1128" s="5">
        <v>26</v>
      </c>
      <c r="T1128" s="5">
        <v>26</v>
      </c>
      <c r="U1128" s="5">
        <v>26</v>
      </c>
    </row>
    <row r="1129" spans="1:21" x14ac:dyDescent="0.25">
      <c r="A1129" s="5" t="s">
        <v>7299</v>
      </c>
      <c r="B1129" s="5" t="s">
        <v>7300</v>
      </c>
      <c r="C1129" s="5" t="s">
        <v>3450</v>
      </c>
      <c r="D1129" s="5"/>
      <c r="E1129" s="5" t="s">
        <v>6617</v>
      </c>
      <c r="F1129" s="5"/>
      <c r="G1129" s="5"/>
      <c r="H1129" s="5"/>
      <c r="I1129" s="5" t="s">
        <v>3450</v>
      </c>
      <c r="J1129" s="5"/>
      <c r="K1129" s="5" t="s">
        <v>7264</v>
      </c>
      <c r="L1129" s="5">
        <v>28</v>
      </c>
      <c r="M1129" s="5">
        <v>1</v>
      </c>
      <c r="N1129" s="5"/>
      <c r="O1129" s="5"/>
      <c r="P1129" s="5"/>
      <c r="Q1129" s="5"/>
      <c r="R1129" s="5"/>
      <c r="S1129" s="5">
        <v>28</v>
      </c>
      <c r="T1129" s="5">
        <v>28</v>
      </c>
      <c r="U1129" s="5">
        <v>28</v>
      </c>
    </row>
    <row r="1130" spans="1:21" x14ac:dyDescent="0.25">
      <c r="A1130" s="5" t="s">
        <v>7301</v>
      </c>
      <c r="B1130" s="5" t="s">
        <v>7302</v>
      </c>
      <c r="C1130" s="5" t="s">
        <v>3450</v>
      </c>
      <c r="D1130" s="5"/>
      <c r="E1130" s="5" t="s">
        <v>6617</v>
      </c>
      <c r="F1130" s="5"/>
      <c r="G1130" s="5"/>
      <c r="H1130" s="5"/>
      <c r="I1130" s="5" t="s">
        <v>3450</v>
      </c>
      <c r="J1130" s="5"/>
      <c r="K1130" s="5" t="s">
        <v>7264</v>
      </c>
      <c r="L1130" s="5">
        <v>29</v>
      </c>
      <c r="M1130" s="5">
        <v>1</v>
      </c>
      <c r="N1130" s="5"/>
      <c r="O1130" s="5"/>
      <c r="P1130" s="5"/>
      <c r="Q1130" s="5"/>
      <c r="R1130" s="5"/>
      <c r="S1130" s="5">
        <v>29</v>
      </c>
      <c r="T1130" s="5">
        <v>29</v>
      </c>
      <c r="U1130" s="5">
        <v>29</v>
      </c>
    </row>
    <row r="1131" spans="1:21" x14ac:dyDescent="0.25">
      <c r="A1131" s="5" t="s">
        <v>7303</v>
      </c>
      <c r="B1131" s="5" t="s">
        <v>7304</v>
      </c>
      <c r="C1131" s="5" t="s">
        <v>3450</v>
      </c>
      <c r="D1131" s="5"/>
      <c r="E1131" s="5" t="s">
        <v>6617</v>
      </c>
      <c r="F1131" s="5"/>
      <c r="G1131" s="5"/>
      <c r="H1131" s="5"/>
      <c r="I1131" s="5" t="s">
        <v>3450</v>
      </c>
      <c r="J1131" s="5"/>
      <c r="K1131" s="5" t="s">
        <v>7264</v>
      </c>
      <c r="L1131" s="5">
        <v>30</v>
      </c>
      <c r="M1131" s="5">
        <v>1</v>
      </c>
      <c r="N1131" s="5"/>
      <c r="O1131" s="5"/>
      <c r="P1131" s="5"/>
      <c r="Q1131" s="5"/>
      <c r="R1131" s="5"/>
      <c r="S1131" s="5">
        <v>30</v>
      </c>
      <c r="T1131" s="5">
        <v>30</v>
      </c>
      <c r="U1131" s="5">
        <v>30</v>
      </c>
    </row>
    <row r="1132" spans="1:21" x14ac:dyDescent="0.25">
      <c r="A1132" s="5" t="s">
        <v>7305</v>
      </c>
      <c r="B1132" s="5" t="s">
        <v>7306</v>
      </c>
      <c r="C1132" s="5" t="s">
        <v>3450</v>
      </c>
      <c r="D1132" s="5"/>
      <c r="E1132" s="5" t="s">
        <v>6617</v>
      </c>
      <c r="F1132" s="5"/>
      <c r="G1132" s="5"/>
      <c r="H1132" s="5"/>
      <c r="I1132" s="5" t="s">
        <v>3450</v>
      </c>
      <c r="J1132" s="5"/>
      <c r="K1132" s="5" t="s">
        <v>7264</v>
      </c>
      <c r="L1132" s="5">
        <v>33</v>
      </c>
      <c r="M1132" s="5">
        <v>1</v>
      </c>
      <c r="N1132" s="5"/>
      <c r="O1132" s="5"/>
      <c r="P1132" s="5"/>
      <c r="Q1132" s="5"/>
      <c r="R1132" s="5"/>
      <c r="S1132" s="5">
        <v>33</v>
      </c>
      <c r="T1132" s="5">
        <v>33</v>
      </c>
      <c r="U1132" s="5">
        <v>33</v>
      </c>
    </row>
    <row r="1133" spans="1:21" x14ac:dyDescent="0.25">
      <c r="A1133" s="5" t="s">
        <v>7307</v>
      </c>
      <c r="B1133" s="5" t="s">
        <v>7308</v>
      </c>
      <c r="C1133" s="5" t="s">
        <v>3450</v>
      </c>
      <c r="D1133" s="5"/>
      <c r="E1133" s="5" t="s">
        <v>6617</v>
      </c>
      <c r="F1133" s="5"/>
      <c r="G1133" s="5"/>
      <c r="H1133" s="5"/>
      <c r="I1133" s="5" t="s">
        <v>3450</v>
      </c>
      <c r="J1133" s="5"/>
      <c r="K1133" s="5" t="s">
        <v>7264</v>
      </c>
      <c r="L1133" s="5">
        <v>35</v>
      </c>
      <c r="M1133" s="5">
        <v>1</v>
      </c>
      <c r="N1133" s="5"/>
      <c r="O1133" s="5"/>
      <c r="P1133" s="5"/>
      <c r="Q1133" s="5"/>
      <c r="R1133" s="5"/>
      <c r="S1133" s="5">
        <v>35</v>
      </c>
      <c r="T1133" s="5">
        <v>35</v>
      </c>
      <c r="U1133" s="5">
        <v>35</v>
      </c>
    </row>
    <row r="1134" spans="1:21" x14ac:dyDescent="0.25">
      <c r="A1134" s="5" t="s">
        <v>7309</v>
      </c>
      <c r="B1134" s="5" t="s">
        <v>7310</v>
      </c>
      <c r="C1134" s="5" t="s">
        <v>3450</v>
      </c>
      <c r="D1134" s="5"/>
      <c r="E1134" s="5" t="s">
        <v>6617</v>
      </c>
      <c r="F1134" s="5"/>
      <c r="G1134" s="5"/>
      <c r="H1134" s="5"/>
      <c r="I1134" s="5" t="s">
        <v>3450</v>
      </c>
      <c r="J1134" s="5"/>
      <c r="K1134" s="5" t="s">
        <v>7264</v>
      </c>
      <c r="L1134" s="5">
        <v>36</v>
      </c>
      <c r="M1134" s="5">
        <v>1</v>
      </c>
      <c r="N1134" s="5"/>
      <c r="O1134" s="5"/>
      <c r="P1134" s="5"/>
      <c r="Q1134" s="5"/>
      <c r="R1134" s="5"/>
      <c r="S1134" s="5">
        <v>36</v>
      </c>
      <c r="T1134" s="5">
        <v>36</v>
      </c>
      <c r="U1134" s="5">
        <v>36</v>
      </c>
    </row>
    <row r="1135" spans="1:21" x14ac:dyDescent="0.25">
      <c r="A1135" s="5" t="s">
        <v>7311</v>
      </c>
      <c r="B1135" s="5" t="s">
        <v>7312</v>
      </c>
      <c r="C1135" s="5" t="s">
        <v>3450</v>
      </c>
      <c r="D1135" s="5"/>
      <c r="E1135" s="5" t="s">
        <v>6617</v>
      </c>
      <c r="F1135" s="5"/>
      <c r="G1135" s="5"/>
      <c r="H1135" s="5"/>
      <c r="I1135" s="5" t="s">
        <v>3450</v>
      </c>
      <c r="J1135" s="5"/>
      <c r="K1135" s="5" t="s">
        <v>7264</v>
      </c>
      <c r="L1135" s="5">
        <v>40</v>
      </c>
      <c r="M1135" s="5">
        <v>1</v>
      </c>
      <c r="N1135" s="5"/>
      <c r="O1135" s="5"/>
      <c r="P1135" s="5"/>
      <c r="Q1135" s="5"/>
      <c r="R1135" s="5"/>
      <c r="S1135" s="5">
        <v>40</v>
      </c>
      <c r="T1135" s="5">
        <v>40</v>
      </c>
      <c r="U1135" s="5">
        <v>40</v>
      </c>
    </row>
    <row r="1136" spans="1:21" x14ac:dyDescent="0.25">
      <c r="A1136" s="5" t="s">
        <v>7313</v>
      </c>
      <c r="B1136" s="5" t="s">
        <v>7314</v>
      </c>
      <c r="C1136" s="5" t="s">
        <v>3450</v>
      </c>
      <c r="D1136" s="5"/>
      <c r="E1136" s="5" t="s">
        <v>6617</v>
      </c>
      <c r="F1136" s="5"/>
      <c r="G1136" s="5"/>
      <c r="H1136" s="5"/>
      <c r="I1136" s="5" t="s">
        <v>3450</v>
      </c>
      <c r="J1136" s="5"/>
      <c r="K1136" s="5" t="s">
        <v>7264</v>
      </c>
      <c r="L1136" s="5">
        <v>43</v>
      </c>
      <c r="M1136" s="5">
        <v>1</v>
      </c>
      <c r="N1136" s="5"/>
      <c r="O1136" s="5"/>
      <c r="P1136" s="5"/>
      <c r="Q1136" s="5"/>
      <c r="R1136" s="5"/>
      <c r="S1136" s="5">
        <v>43</v>
      </c>
      <c r="T1136" s="5">
        <v>43</v>
      </c>
      <c r="U1136" s="5">
        <v>43</v>
      </c>
    </row>
    <row r="1137" spans="1:21" x14ac:dyDescent="0.25">
      <c r="A1137" s="5" t="s">
        <v>7315</v>
      </c>
      <c r="B1137" s="5" t="s">
        <v>7316</v>
      </c>
      <c r="C1137" s="5" t="s">
        <v>3450</v>
      </c>
      <c r="D1137" s="5"/>
      <c r="E1137" s="5" t="s">
        <v>6617</v>
      </c>
      <c r="F1137" s="5"/>
      <c r="G1137" s="5"/>
      <c r="H1137" s="5"/>
      <c r="I1137" s="5" t="s">
        <v>3450</v>
      </c>
      <c r="J1137" s="5"/>
      <c r="K1137" s="5" t="s">
        <v>7264</v>
      </c>
      <c r="L1137" s="5">
        <v>53</v>
      </c>
      <c r="M1137" s="5">
        <v>1</v>
      </c>
      <c r="N1137" s="5"/>
      <c r="O1137" s="5"/>
      <c r="P1137" s="5"/>
      <c r="Q1137" s="5"/>
      <c r="R1137" s="5"/>
      <c r="S1137" s="5">
        <v>53</v>
      </c>
      <c r="T1137" s="5">
        <v>53</v>
      </c>
      <c r="U1137" s="5">
        <v>53</v>
      </c>
    </row>
    <row r="1138" spans="1:21" x14ac:dyDescent="0.25">
      <c r="A1138" s="5" t="s">
        <v>7317</v>
      </c>
      <c r="B1138" s="5" t="s">
        <v>7318</v>
      </c>
      <c r="C1138" s="5" t="s">
        <v>3450</v>
      </c>
      <c r="D1138" s="5"/>
      <c r="E1138" s="5" t="s">
        <v>6617</v>
      </c>
      <c r="F1138" s="5"/>
      <c r="G1138" s="5"/>
      <c r="H1138" s="5"/>
      <c r="I1138" s="5" t="s">
        <v>3450</v>
      </c>
      <c r="J1138" s="5"/>
      <c r="K1138" s="5" t="s">
        <v>7264</v>
      </c>
      <c r="L1138" s="5">
        <v>54</v>
      </c>
      <c r="M1138" s="5">
        <v>1</v>
      </c>
      <c r="N1138" s="5"/>
      <c r="O1138" s="5"/>
      <c r="P1138" s="5"/>
      <c r="Q1138" s="5"/>
      <c r="R1138" s="5"/>
      <c r="S1138" s="5">
        <v>54</v>
      </c>
      <c r="T1138" s="5">
        <v>54</v>
      </c>
      <c r="U1138" s="5">
        <v>54</v>
      </c>
    </row>
    <row r="1139" spans="1:21" x14ac:dyDescent="0.25">
      <c r="A1139" s="5" t="s">
        <v>7319</v>
      </c>
      <c r="B1139" s="5" t="s">
        <v>7320</v>
      </c>
      <c r="C1139" s="5" t="s">
        <v>3450</v>
      </c>
      <c r="D1139" s="5"/>
      <c r="E1139" s="5" t="s">
        <v>6617</v>
      </c>
      <c r="F1139" s="5"/>
      <c r="G1139" s="5"/>
      <c r="H1139" s="5"/>
      <c r="I1139" s="5" t="s">
        <v>3450</v>
      </c>
      <c r="J1139" s="5"/>
      <c r="K1139" s="5" t="s">
        <v>7264</v>
      </c>
      <c r="L1139" s="5">
        <v>6</v>
      </c>
      <c r="M1139" s="5">
        <v>1</v>
      </c>
      <c r="N1139" s="5"/>
      <c r="O1139" s="5"/>
      <c r="P1139" s="5"/>
      <c r="Q1139" s="5"/>
      <c r="R1139" s="5"/>
      <c r="S1139" s="5">
        <v>6</v>
      </c>
      <c r="T1139" s="5">
        <v>6</v>
      </c>
      <c r="U1139" s="5">
        <v>6</v>
      </c>
    </row>
    <row r="1140" spans="1:21" x14ac:dyDescent="0.25">
      <c r="A1140" s="5" t="s">
        <v>7321</v>
      </c>
      <c r="B1140" s="5" t="s">
        <v>7322</v>
      </c>
      <c r="C1140" s="5" t="s">
        <v>3450</v>
      </c>
      <c r="D1140" s="5"/>
      <c r="E1140" s="5" t="s">
        <v>6617</v>
      </c>
      <c r="F1140" s="5"/>
      <c r="G1140" s="5"/>
      <c r="H1140" s="5"/>
      <c r="I1140" s="5" t="s">
        <v>3450</v>
      </c>
      <c r="J1140" s="5"/>
      <c r="K1140" s="5" t="s">
        <v>7264</v>
      </c>
      <c r="L1140" s="5">
        <v>8</v>
      </c>
      <c r="M1140" s="5">
        <v>1</v>
      </c>
      <c r="N1140" s="5"/>
      <c r="O1140" s="5"/>
      <c r="P1140" s="5"/>
      <c r="Q1140" s="5"/>
      <c r="R1140" s="5"/>
      <c r="S1140" s="5">
        <v>8</v>
      </c>
      <c r="T1140" s="5">
        <v>8</v>
      </c>
      <c r="U1140" s="5">
        <v>8</v>
      </c>
    </row>
    <row r="1141" spans="1:21" x14ac:dyDescent="0.25">
      <c r="A1141" s="5" t="s">
        <v>7323</v>
      </c>
      <c r="B1141" s="5" t="s">
        <v>7324</v>
      </c>
      <c r="C1141" s="5" t="s">
        <v>3450</v>
      </c>
      <c r="D1141" s="5"/>
      <c r="E1141" s="5" t="s">
        <v>6617</v>
      </c>
      <c r="F1141" s="5"/>
      <c r="G1141" s="5"/>
      <c r="H1141" s="5"/>
      <c r="I1141" s="5" t="s">
        <v>3450</v>
      </c>
      <c r="J1141" s="5"/>
      <c r="K1141" s="5" t="s">
        <v>7264</v>
      </c>
      <c r="L1141" s="5">
        <v>9</v>
      </c>
      <c r="M1141" s="5">
        <v>1</v>
      </c>
      <c r="N1141" s="5"/>
      <c r="O1141" s="5"/>
      <c r="P1141" s="5"/>
      <c r="Q1141" s="5"/>
      <c r="R1141" s="5"/>
      <c r="S1141" s="5">
        <v>9</v>
      </c>
      <c r="T1141" s="5">
        <v>9</v>
      </c>
      <c r="U1141" s="5">
        <v>9</v>
      </c>
    </row>
    <row r="1142" spans="1:21" x14ac:dyDescent="0.25">
      <c r="A1142" s="5" t="s">
        <v>7325</v>
      </c>
      <c r="B1142" s="5" t="s">
        <v>7326</v>
      </c>
      <c r="C1142" s="5" t="s">
        <v>3450</v>
      </c>
      <c r="D1142" s="5"/>
      <c r="E1142" s="5" t="s">
        <v>3563</v>
      </c>
      <c r="F1142" s="5"/>
      <c r="G1142" s="5"/>
      <c r="H1142" s="5"/>
      <c r="I1142" s="5" t="s">
        <v>3450</v>
      </c>
      <c r="J1142" s="5"/>
      <c r="K1142" s="5" t="s">
        <v>3565</v>
      </c>
      <c r="L1142" s="5">
        <v>2</v>
      </c>
      <c r="M1142" s="5">
        <v>1</v>
      </c>
      <c r="N1142" s="5"/>
      <c r="O1142" s="5"/>
      <c r="P1142" s="5"/>
      <c r="Q1142" s="5"/>
      <c r="R1142" s="5"/>
      <c r="S1142" s="5">
        <v>2</v>
      </c>
      <c r="T1142" s="5">
        <v>2</v>
      </c>
      <c r="U1142" s="5">
        <v>2</v>
      </c>
    </row>
    <row r="1143" spans="1:21" x14ac:dyDescent="0.25">
      <c r="A1143" s="5" t="s">
        <v>7327</v>
      </c>
      <c r="B1143" s="5" t="s">
        <v>7328</v>
      </c>
      <c r="C1143" s="5" t="s">
        <v>3450</v>
      </c>
      <c r="D1143" s="5"/>
      <c r="E1143" s="5" t="s">
        <v>3563</v>
      </c>
      <c r="F1143" s="5"/>
      <c r="G1143" s="5"/>
      <c r="H1143" s="5"/>
      <c r="I1143" s="5" t="s">
        <v>3450</v>
      </c>
      <c r="J1143" s="5"/>
      <c r="K1143" s="5" t="s">
        <v>3565</v>
      </c>
      <c r="L1143" s="5">
        <v>3</v>
      </c>
      <c r="M1143" s="5">
        <v>1</v>
      </c>
      <c r="N1143" s="5"/>
      <c r="O1143" s="5"/>
      <c r="P1143" s="5"/>
      <c r="Q1143" s="5"/>
      <c r="R1143" s="5"/>
      <c r="S1143" s="5">
        <v>3</v>
      </c>
      <c r="T1143" s="5">
        <v>3</v>
      </c>
      <c r="U1143" s="5">
        <v>3</v>
      </c>
    </row>
    <row r="1144" spans="1:21" x14ac:dyDescent="0.25">
      <c r="A1144" s="5" t="s">
        <v>7329</v>
      </c>
      <c r="B1144" s="5" t="s">
        <v>7330</v>
      </c>
      <c r="C1144" s="5" t="s">
        <v>3450</v>
      </c>
      <c r="D1144" s="5"/>
      <c r="E1144" s="5" t="s">
        <v>6654</v>
      </c>
      <c r="F1144" s="5"/>
      <c r="G1144" s="5"/>
      <c r="H1144" s="5"/>
      <c r="I1144" s="5" t="s">
        <v>3450</v>
      </c>
      <c r="J1144" s="5"/>
      <c r="K1144" s="5" t="s">
        <v>7331</v>
      </c>
      <c r="L1144" s="5">
        <v>150</v>
      </c>
      <c r="M1144" s="5">
        <v>1</v>
      </c>
      <c r="N1144" s="5"/>
      <c r="O1144" s="5"/>
      <c r="P1144" s="5"/>
      <c r="Q1144" s="5"/>
      <c r="R1144" s="5"/>
      <c r="S1144" s="5">
        <v>144</v>
      </c>
      <c r="T1144" s="5">
        <v>144</v>
      </c>
      <c r="U1144" s="5">
        <v>144</v>
      </c>
    </row>
    <row r="1145" spans="1:21" x14ac:dyDescent="0.25">
      <c r="A1145" s="5" t="s">
        <v>7332</v>
      </c>
      <c r="B1145" s="5" t="s">
        <v>7333</v>
      </c>
      <c r="C1145" s="5" t="s">
        <v>3450</v>
      </c>
      <c r="D1145" s="5"/>
      <c r="E1145" s="5" t="s">
        <v>6654</v>
      </c>
      <c r="F1145" s="5"/>
      <c r="G1145" s="5"/>
      <c r="H1145" s="5"/>
      <c r="I1145" s="5" t="s">
        <v>3450</v>
      </c>
      <c r="J1145" s="5"/>
      <c r="K1145" s="5" t="s">
        <v>7331</v>
      </c>
      <c r="L1145" s="5">
        <v>160</v>
      </c>
      <c r="M1145" s="5">
        <v>1</v>
      </c>
      <c r="N1145" s="5"/>
      <c r="O1145" s="5"/>
      <c r="P1145" s="5"/>
      <c r="Q1145" s="5"/>
      <c r="R1145" s="5"/>
      <c r="S1145" s="5">
        <v>160</v>
      </c>
      <c r="T1145" s="5">
        <v>160</v>
      </c>
      <c r="U1145" s="5">
        <v>160</v>
      </c>
    </row>
    <row r="1146" spans="1:21" x14ac:dyDescent="0.25">
      <c r="A1146" s="5" t="s">
        <v>7334</v>
      </c>
      <c r="B1146" s="5" t="s">
        <v>7335</v>
      </c>
      <c r="C1146" s="5" t="s">
        <v>3450</v>
      </c>
      <c r="D1146" s="5"/>
      <c r="E1146" s="5" t="s">
        <v>6658</v>
      </c>
      <c r="F1146" s="5"/>
      <c r="G1146" s="5"/>
      <c r="H1146" s="5"/>
      <c r="I1146" s="5" t="s">
        <v>3450</v>
      </c>
      <c r="J1146" s="5"/>
      <c r="K1146" s="5" t="s">
        <v>3551</v>
      </c>
      <c r="L1146" s="5">
        <v>13</v>
      </c>
      <c r="M1146" s="5">
        <v>1</v>
      </c>
      <c r="N1146" s="5"/>
      <c r="O1146" s="5"/>
      <c r="P1146" s="5"/>
      <c r="Q1146" s="5"/>
      <c r="R1146" s="5"/>
      <c r="S1146" s="5">
        <v>13</v>
      </c>
      <c r="T1146" s="5">
        <v>13</v>
      </c>
      <c r="U1146" s="5">
        <v>13</v>
      </c>
    </row>
    <row r="1147" spans="1:21" x14ac:dyDescent="0.25">
      <c r="A1147" s="5" t="s">
        <v>7336</v>
      </c>
      <c r="B1147" s="5" t="s">
        <v>7337</v>
      </c>
      <c r="C1147" s="5" t="s">
        <v>3450</v>
      </c>
      <c r="D1147" s="5"/>
      <c r="E1147" s="5" t="s">
        <v>6658</v>
      </c>
      <c r="F1147" s="5"/>
      <c r="G1147" s="5"/>
      <c r="H1147" s="5"/>
      <c r="I1147" s="5" t="s">
        <v>3450</v>
      </c>
      <c r="J1147" s="5"/>
      <c r="K1147" s="5" t="s">
        <v>3551</v>
      </c>
      <c r="L1147" s="5">
        <v>15</v>
      </c>
      <c r="M1147" s="5">
        <v>1</v>
      </c>
      <c r="N1147" s="5"/>
      <c r="O1147" s="5"/>
      <c r="P1147" s="5"/>
      <c r="Q1147" s="5"/>
      <c r="R1147" s="5"/>
      <c r="S1147" s="5">
        <v>15</v>
      </c>
      <c r="T1147" s="5">
        <v>15</v>
      </c>
      <c r="U1147" s="5">
        <v>15</v>
      </c>
    </row>
    <row r="1148" spans="1:21" x14ac:dyDescent="0.25">
      <c r="A1148" s="5" t="s">
        <v>7338</v>
      </c>
      <c r="B1148" s="5" t="s">
        <v>7339</v>
      </c>
      <c r="C1148" s="5" t="s">
        <v>3450</v>
      </c>
      <c r="D1148" s="5"/>
      <c r="E1148" s="5" t="s">
        <v>6658</v>
      </c>
      <c r="F1148" s="5"/>
      <c r="G1148" s="5"/>
      <c r="H1148" s="5"/>
      <c r="I1148" s="5" t="s">
        <v>3450</v>
      </c>
      <c r="J1148" s="5"/>
      <c r="K1148" s="5" t="s">
        <v>3551</v>
      </c>
      <c r="L1148" s="5">
        <v>18</v>
      </c>
      <c r="M1148" s="5">
        <v>1</v>
      </c>
      <c r="N1148" s="5"/>
      <c r="O1148" s="5"/>
      <c r="P1148" s="5"/>
      <c r="Q1148" s="5"/>
      <c r="R1148" s="5"/>
      <c r="S1148" s="5">
        <v>18</v>
      </c>
      <c r="T1148" s="5">
        <v>18</v>
      </c>
      <c r="U1148" s="5">
        <v>18</v>
      </c>
    </row>
    <row r="1149" spans="1:21" x14ac:dyDescent="0.25">
      <c r="A1149" s="5" t="s">
        <v>7340</v>
      </c>
      <c r="B1149" s="5" t="s">
        <v>7341</v>
      </c>
      <c r="C1149" s="5" t="s">
        <v>3450</v>
      </c>
      <c r="D1149" s="5"/>
      <c r="E1149" s="5" t="s">
        <v>6658</v>
      </c>
      <c r="F1149" s="5"/>
      <c r="G1149" s="5"/>
      <c r="H1149" s="5"/>
      <c r="I1149" s="5" t="s">
        <v>3450</v>
      </c>
      <c r="J1149" s="5"/>
      <c r="K1149" s="5" t="s">
        <v>3551</v>
      </c>
      <c r="L1149" s="5">
        <v>19</v>
      </c>
      <c r="M1149" s="5">
        <v>1</v>
      </c>
      <c r="N1149" s="5"/>
      <c r="O1149" s="5"/>
      <c r="P1149" s="5"/>
      <c r="Q1149" s="5"/>
      <c r="R1149" s="5"/>
      <c r="S1149" s="5">
        <v>19</v>
      </c>
      <c r="T1149" s="5">
        <v>19</v>
      </c>
      <c r="U1149" s="5">
        <v>19</v>
      </c>
    </row>
    <row r="1150" spans="1:21" x14ac:dyDescent="0.25">
      <c r="A1150" s="5" t="s">
        <v>7342</v>
      </c>
      <c r="B1150" s="5" t="s">
        <v>7343</v>
      </c>
      <c r="C1150" s="5" t="s">
        <v>3450</v>
      </c>
      <c r="D1150" s="5"/>
      <c r="E1150" s="5" t="s">
        <v>6658</v>
      </c>
      <c r="F1150" s="5"/>
      <c r="G1150" s="5"/>
      <c r="H1150" s="5"/>
      <c r="I1150" s="5" t="s">
        <v>3450</v>
      </c>
      <c r="J1150" s="5"/>
      <c r="K1150" s="5" t="s">
        <v>3551</v>
      </c>
      <c r="L1150" s="5">
        <v>3</v>
      </c>
      <c r="M1150" s="5">
        <v>1</v>
      </c>
      <c r="N1150" s="5"/>
      <c r="O1150" s="5"/>
      <c r="P1150" s="5"/>
      <c r="Q1150" s="5"/>
      <c r="R1150" s="5"/>
      <c r="S1150" s="5">
        <v>3</v>
      </c>
      <c r="T1150" s="5">
        <v>3</v>
      </c>
      <c r="U1150" s="5">
        <v>3</v>
      </c>
    </row>
    <row r="1151" spans="1:21" x14ac:dyDescent="0.25">
      <c r="A1151" s="5" t="s">
        <v>7344</v>
      </c>
      <c r="B1151" s="5" t="s">
        <v>7345</v>
      </c>
      <c r="C1151" s="5" t="s">
        <v>3450</v>
      </c>
      <c r="D1151" s="5"/>
      <c r="E1151" s="5" t="s">
        <v>6658</v>
      </c>
      <c r="F1151" s="5"/>
      <c r="G1151" s="5"/>
      <c r="H1151" s="5"/>
      <c r="I1151" s="5" t="s">
        <v>3450</v>
      </c>
      <c r="J1151" s="5"/>
      <c r="K1151" s="5" t="s">
        <v>3551</v>
      </c>
      <c r="L1151" s="5">
        <v>4</v>
      </c>
      <c r="M1151" s="5">
        <v>1</v>
      </c>
      <c r="N1151" s="5"/>
      <c r="O1151" s="5"/>
      <c r="P1151" s="5"/>
      <c r="Q1151" s="5"/>
      <c r="R1151" s="5"/>
      <c r="S1151" s="5">
        <v>4</v>
      </c>
      <c r="T1151" s="5">
        <v>4</v>
      </c>
      <c r="U1151" s="5">
        <v>4</v>
      </c>
    </row>
    <row r="1152" spans="1:21" x14ac:dyDescent="0.25">
      <c r="A1152" s="5" t="s">
        <v>7346</v>
      </c>
      <c r="B1152" s="5" t="s">
        <v>7347</v>
      </c>
      <c r="C1152" s="5" t="s">
        <v>3450</v>
      </c>
      <c r="D1152" s="5"/>
      <c r="E1152" s="5" t="s">
        <v>6658</v>
      </c>
      <c r="F1152" s="5"/>
      <c r="G1152" s="5"/>
      <c r="H1152" s="5"/>
      <c r="I1152" s="5" t="s">
        <v>3450</v>
      </c>
      <c r="J1152" s="5"/>
      <c r="K1152" s="5" t="s">
        <v>3551</v>
      </c>
      <c r="L1152" s="5">
        <v>6</v>
      </c>
      <c r="M1152" s="5">
        <v>1</v>
      </c>
      <c r="N1152" s="5"/>
      <c r="O1152" s="5"/>
      <c r="P1152" s="5"/>
      <c r="Q1152" s="5"/>
      <c r="R1152" s="5"/>
      <c r="S1152" s="5">
        <v>6</v>
      </c>
      <c r="T1152" s="5">
        <v>6</v>
      </c>
      <c r="U1152" s="5">
        <v>6</v>
      </c>
    </row>
    <row r="1153" spans="1:21" x14ac:dyDescent="0.25">
      <c r="A1153" s="5" t="s">
        <v>7348</v>
      </c>
      <c r="B1153" s="5" t="s">
        <v>7349</v>
      </c>
      <c r="C1153" s="5" t="s">
        <v>3450</v>
      </c>
      <c r="D1153" s="5"/>
      <c r="E1153" s="5" t="s">
        <v>6658</v>
      </c>
      <c r="F1153" s="5"/>
      <c r="G1153" s="5"/>
      <c r="H1153" s="5"/>
      <c r="I1153" s="5" t="s">
        <v>3450</v>
      </c>
      <c r="J1153" s="5"/>
      <c r="K1153" s="5" t="s">
        <v>3551</v>
      </c>
      <c r="L1153" s="5">
        <v>8</v>
      </c>
      <c r="M1153" s="5">
        <v>1</v>
      </c>
      <c r="N1153" s="5"/>
      <c r="O1153" s="5"/>
      <c r="P1153" s="5"/>
      <c r="Q1153" s="5"/>
      <c r="R1153" s="5"/>
      <c r="S1153" s="5">
        <v>8</v>
      </c>
      <c r="T1153" s="5">
        <v>8</v>
      </c>
      <c r="U1153" s="5">
        <v>8</v>
      </c>
    </row>
    <row r="1154" spans="1:21" x14ac:dyDescent="0.25">
      <c r="A1154" s="5" t="s">
        <v>3452</v>
      </c>
      <c r="B1154" s="5" t="s">
        <v>6687</v>
      </c>
      <c r="C1154" s="5"/>
      <c r="D1154" s="5" t="s">
        <v>6688</v>
      </c>
      <c r="E1154" s="5"/>
      <c r="F1154" s="5" t="s">
        <v>6689</v>
      </c>
      <c r="G1154" s="5"/>
      <c r="H1154" s="5"/>
      <c r="I1154" s="5" t="s">
        <v>3483</v>
      </c>
      <c r="J1154" s="5" t="s">
        <v>6690</v>
      </c>
      <c r="K1154" s="5" t="s">
        <v>3485</v>
      </c>
      <c r="L1154" s="5">
        <v>1000</v>
      </c>
      <c r="M1154" s="5">
        <v>1</v>
      </c>
      <c r="N1154" s="5" t="s">
        <v>6691</v>
      </c>
      <c r="O1154" s="5"/>
      <c r="P1154" s="5"/>
      <c r="Q1154" s="5">
        <v>1</v>
      </c>
      <c r="R1154" s="5"/>
      <c r="S1154" s="5">
        <v>1080</v>
      </c>
      <c r="T1154" s="5">
        <v>1080</v>
      </c>
      <c r="U1154" s="5">
        <v>1080</v>
      </c>
    </row>
    <row r="1155" spans="1:21" x14ac:dyDescent="0.25">
      <c r="A1155" s="5" t="s">
        <v>3457</v>
      </c>
      <c r="B1155" s="5" t="s">
        <v>6692</v>
      </c>
      <c r="C1155" s="5"/>
      <c r="D1155" s="5" t="s">
        <v>6688</v>
      </c>
      <c r="E1155" s="5"/>
      <c r="F1155" s="5" t="s">
        <v>6689</v>
      </c>
      <c r="G1155" s="5"/>
      <c r="H1155" s="5"/>
      <c r="I1155" s="5" t="s">
        <v>3483</v>
      </c>
      <c r="J1155" s="5" t="s">
        <v>6690</v>
      </c>
      <c r="K1155" s="5" t="s">
        <v>3485</v>
      </c>
      <c r="L1155" s="5">
        <v>100</v>
      </c>
      <c r="M1155" s="5">
        <v>1</v>
      </c>
      <c r="N1155" s="5" t="s">
        <v>6691</v>
      </c>
      <c r="O1155" s="5"/>
      <c r="P1155" s="5"/>
      <c r="Q1155" s="5">
        <v>1</v>
      </c>
      <c r="R1155" s="5"/>
      <c r="S1155" s="5">
        <v>128</v>
      </c>
      <c r="T1155" s="5">
        <v>128</v>
      </c>
      <c r="U1155" s="5">
        <v>128</v>
      </c>
    </row>
    <row r="1156" spans="1:21" x14ac:dyDescent="0.25">
      <c r="A1156" s="5" t="s">
        <v>7350</v>
      </c>
      <c r="B1156" s="5" t="s">
        <v>7351</v>
      </c>
      <c r="C1156" s="5"/>
      <c r="D1156" s="5" t="s">
        <v>6688</v>
      </c>
      <c r="E1156" s="5" t="s">
        <v>6728</v>
      </c>
      <c r="F1156" s="5" t="s">
        <v>6882</v>
      </c>
      <c r="G1156" s="5"/>
      <c r="H1156" s="5"/>
      <c r="I1156" s="5" t="s">
        <v>3483</v>
      </c>
      <c r="J1156" s="5" t="s">
        <v>6690</v>
      </c>
      <c r="K1156" s="5" t="s">
        <v>6729</v>
      </c>
      <c r="L1156" s="5">
        <v>100</v>
      </c>
      <c r="M1156" s="5">
        <v>1</v>
      </c>
      <c r="N1156" s="5" t="s">
        <v>6883</v>
      </c>
      <c r="O1156" s="5"/>
      <c r="P1156" s="5"/>
      <c r="Q1156" s="5">
        <v>1</v>
      </c>
      <c r="R1156" s="5"/>
      <c r="S1156" s="5">
        <v>110</v>
      </c>
      <c r="T1156" s="5">
        <v>110</v>
      </c>
      <c r="U1156" s="5">
        <v>110</v>
      </c>
    </row>
    <row r="1157" spans="1:21" x14ac:dyDescent="0.25">
      <c r="A1157" s="5" t="s">
        <v>6695</v>
      </c>
      <c r="B1157" s="5" t="s">
        <v>6696</v>
      </c>
      <c r="C1157" s="5"/>
      <c r="D1157" s="5" t="s">
        <v>6688</v>
      </c>
      <c r="E1157" s="5"/>
      <c r="F1157" s="5" t="s">
        <v>6689</v>
      </c>
      <c r="G1157" s="5"/>
      <c r="H1157" s="5"/>
      <c r="I1157" s="5" t="s">
        <v>3483</v>
      </c>
      <c r="J1157" s="5" t="s">
        <v>6690</v>
      </c>
      <c r="K1157" s="5" t="s">
        <v>3485</v>
      </c>
      <c r="L1157" s="5">
        <v>1500</v>
      </c>
      <c r="M1157" s="5">
        <v>1</v>
      </c>
      <c r="N1157" s="5" t="s">
        <v>6691</v>
      </c>
      <c r="O1157" s="5"/>
      <c r="P1157" s="5"/>
      <c r="Q1157" s="5">
        <v>1</v>
      </c>
      <c r="R1157" s="5"/>
      <c r="S1157" s="5">
        <v>1610</v>
      </c>
      <c r="T1157" s="5">
        <v>1610</v>
      </c>
      <c r="U1157" s="5">
        <v>1610</v>
      </c>
    </row>
    <row r="1158" spans="1:21" x14ac:dyDescent="0.25">
      <c r="A1158" s="5" t="s">
        <v>6697</v>
      </c>
      <c r="B1158" s="5" t="s">
        <v>6698</v>
      </c>
      <c r="C1158" s="5"/>
      <c r="D1158" s="5" t="s">
        <v>6688</v>
      </c>
      <c r="E1158" s="5"/>
      <c r="F1158" s="5" t="s">
        <v>6689</v>
      </c>
      <c r="G1158" s="5"/>
      <c r="H1158" s="5"/>
      <c r="I1158" s="5" t="s">
        <v>3483</v>
      </c>
      <c r="J1158" s="5" t="s">
        <v>6690</v>
      </c>
      <c r="K1158" s="5" t="s">
        <v>3485</v>
      </c>
      <c r="L1158" s="5">
        <v>150</v>
      </c>
      <c r="M1158" s="5">
        <v>1</v>
      </c>
      <c r="N1158" s="5" t="s">
        <v>6691</v>
      </c>
      <c r="O1158" s="5"/>
      <c r="P1158" s="5"/>
      <c r="Q1158" s="5">
        <v>1</v>
      </c>
      <c r="R1158" s="5"/>
      <c r="S1158" s="5">
        <v>190</v>
      </c>
      <c r="T1158" s="5">
        <v>190</v>
      </c>
      <c r="U1158" s="5">
        <v>190</v>
      </c>
    </row>
    <row r="1159" spans="1:21" x14ac:dyDescent="0.25">
      <c r="A1159" s="5" t="s">
        <v>6701</v>
      </c>
      <c r="B1159" s="5" t="s">
        <v>6702</v>
      </c>
      <c r="C1159" s="5"/>
      <c r="D1159" s="5" t="s">
        <v>6688</v>
      </c>
      <c r="E1159" s="5"/>
      <c r="F1159" s="5" t="s">
        <v>6689</v>
      </c>
      <c r="G1159" s="5"/>
      <c r="H1159" s="5"/>
      <c r="I1159" s="5" t="s">
        <v>3483</v>
      </c>
      <c r="J1159" s="5" t="s">
        <v>6690</v>
      </c>
      <c r="K1159" s="5" t="s">
        <v>3485</v>
      </c>
      <c r="L1159" s="5">
        <v>1650</v>
      </c>
      <c r="M1159" s="5">
        <v>1</v>
      </c>
      <c r="N1159" s="5" t="s">
        <v>6691</v>
      </c>
      <c r="O1159" s="5"/>
      <c r="P1159" s="5"/>
      <c r="Q1159" s="5">
        <v>1</v>
      </c>
      <c r="R1159" s="5"/>
      <c r="S1159" s="5">
        <v>1770</v>
      </c>
      <c r="T1159" s="5">
        <v>1770</v>
      </c>
      <c r="U1159" s="5">
        <v>1770</v>
      </c>
    </row>
    <row r="1160" spans="1:21" x14ac:dyDescent="0.25">
      <c r="A1160" s="5" t="s">
        <v>6703</v>
      </c>
      <c r="B1160" s="5" t="s">
        <v>6704</v>
      </c>
      <c r="C1160" s="5"/>
      <c r="D1160" s="5" t="s">
        <v>6688</v>
      </c>
      <c r="E1160" s="5"/>
      <c r="F1160" s="5" t="s">
        <v>6689</v>
      </c>
      <c r="G1160" s="5"/>
      <c r="H1160" s="5"/>
      <c r="I1160" s="5" t="s">
        <v>3483</v>
      </c>
      <c r="J1160" s="5" t="s">
        <v>6690</v>
      </c>
      <c r="K1160" s="5" t="s">
        <v>3485</v>
      </c>
      <c r="L1160" s="5">
        <v>175</v>
      </c>
      <c r="M1160" s="5">
        <v>1</v>
      </c>
      <c r="N1160" s="5" t="s">
        <v>6691</v>
      </c>
      <c r="O1160" s="5"/>
      <c r="P1160" s="5"/>
      <c r="Q1160" s="5">
        <v>1</v>
      </c>
      <c r="R1160" s="5"/>
      <c r="S1160" s="5">
        <v>215</v>
      </c>
      <c r="T1160" s="5">
        <v>215</v>
      </c>
      <c r="U1160" s="5">
        <v>215</v>
      </c>
    </row>
    <row r="1161" spans="1:21" x14ac:dyDescent="0.25">
      <c r="A1161" s="5" t="s">
        <v>6705</v>
      </c>
      <c r="B1161" s="5" t="s">
        <v>6706</v>
      </c>
      <c r="C1161" s="5"/>
      <c r="D1161" s="5" t="s">
        <v>6688</v>
      </c>
      <c r="E1161" s="5"/>
      <c r="F1161" s="5" t="s">
        <v>6689</v>
      </c>
      <c r="G1161" s="5"/>
      <c r="H1161" s="5"/>
      <c r="I1161" s="5" t="s">
        <v>3483</v>
      </c>
      <c r="J1161" s="5" t="s">
        <v>6690</v>
      </c>
      <c r="K1161" s="5" t="s">
        <v>3485</v>
      </c>
      <c r="L1161" s="5">
        <v>2000</v>
      </c>
      <c r="M1161" s="5">
        <v>1</v>
      </c>
      <c r="N1161" s="5" t="s">
        <v>6691</v>
      </c>
      <c r="O1161" s="5"/>
      <c r="P1161" s="5"/>
      <c r="Q1161" s="5">
        <v>1</v>
      </c>
      <c r="R1161" s="5"/>
      <c r="S1161" s="5">
        <v>2140</v>
      </c>
      <c r="T1161" s="5">
        <v>2140</v>
      </c>
      <c r="U1161" s="5">
        <v>2140</v>
      </c>
    </row>
    <row r="1162" spans="1:21" x14ac:dyDescent="0.25">
      <c r="A1162" s="5" t="s">
        <v>3454</v>
      </c>
      <c r="B1162" s="5" t="s">
        <v>6707</v>
      </c>
      <c r="C1162" s="5"/>
      <c r="D1162" s="5" t="s">
        <v>6688</v>
      </c>
      <c r="E1162" s="5"/>
      <c r="F1162" s="5" t="s">
        <v>6689</v>
      </c>
      <c r="G1162" s="5"/>
      <c r="H1162" s="5"/>
      <c r="I1162" s="5" t="s">
        <v>3483</v>
      </c>
      <c r="J1162" s="5" t="s">
        <v>6690</v>
      </c>
      <c r="K1162" s="5" t="s">
        <v>3485</v>
      </c>
      <c r="L1162" s="5">
        <v>250</v>
      </c>
      <c r="M1162" s="5">
        <v>1</v>
      </c>
      <c r="N1162" s="5" t="s">
        <v>6691</v>
      </c>
      <c r="O1162" s="5"/>
      <c r="P1162" s="5"/>
      <c r="Q1162" s="5">
        <v>1</v>
      </c>
      <c r="R1162" s="5"/>
      <c r="S1162" s="5">
        <v>295</v>
      </c>
      <c r="T1162" s="5">
        <v>295</v>
      </c>
      <c r="U1162" s="5">
        <v>295</v>
      </c>
    </row>
    <row r="1163" spans="1:21" x14ac:dyDescent="0.25">
      <c r="A1163" s="5" t="s">
        <v>6708</v>
      </c>
      <c r="B1163" s="5" t="s">
        <v>6709</v>
      </c>
      <c r="C1163" s="5"/>
      <c r="D1163" s="5" t="s">
        <v>6688</v>
      </c>
      <c r="E1163" s="5"/>
      <c r="F1163" s="5" t="s">
        <v>6689</v>
      </c>
      <c r="G1163" s="5"/>
      <c r="H1163" s="5"/>
      <c r="I1163" s="5" t="s">
        <v>3483</v>
      </c>
      <c r="J1163" s="5" t="s">
        <v>6690</v>
      </c>
      <c r="K1163" s="5" t="s">
        <v>3485</v>
      </c>
      <c r="L1163" s="5">
        <v>32</v>
      </c>
      <c r="M1163" s="5">
        <v>1</v>
      </c>
      <c r="N1163" s="5" t="s">
        <v>6691</v>
      </c>
      <c r="O1163" s="5"/>
      <c r="P1163" s="5"/>
      <c r="Q1163" s="5">
        <v>1</v>
      </c>
      <c r="R1163" s="5"/>
      <c r="S1163" s="5">
        <v>43</v>
      </c>
      <c r="T1163" s="5">
        <v>43</v>
      </c>
      <c r="U1163" s="5">
        <v>43</v>
      </c>
    </row>
    <row r="1164" spans="1:21" x14ac:dyDescent="0.25">
      <c r="A1164" s="5" t="s">
        <v>6710</v>
      </c>
      <c r="B1164" s="5" t="s">
        <v>6711</v>
      </c>
      <c r="C1164" s="5"/>
      <c r="D1164" s="5" t="s">
        <v>6688</v>
      </c>
      <c r="E1164" s="5"/>
      <c r="F1164" s="5" t="s">
        <v>6689</v>
      </c>
      <c r="G1164" s="5"/>
      <c r="H1164" s="5"/>
      <c r="I1164" s="5" t="s">
        <v>3483</v>
      </c>
      <c r="J1164" s="5" t="s">
        <v>6690</v>
      </c>
      <c r="K1164" s="5" t="s">
        <v>3485</v>
      </c>
      <c r="L1164" s="5">
        <v>360</v>
      </c>
      <c r="M1164" s="5">
        <v>1</v>
      </c>
      <c r="N1164" s="5" t="s">
        <v>6691</v>
      </c>
      <c r="O1164" s="5"/>
      <c r="P1164" s="5"/>
      <c r="Q1164" s="5">
        <v>1</v>
      </c>
      <c r="R1164" s="5"/>
      <c r="S1164" s="5">
        <v>418</v>
      </c>
      <c r="T1164" s="5">
        <v>418</v>
      </c>
      <c r="U1164" s="5">
        <v>418</v>
      </c>
    </row>
    <row r="1165" spans="1:21" x14ac:dyDescent="0.25">
      <c r="A1165" s="5" t="s">
        <v>6712</v>
      </c>
      <c r="B1165" s="5" t="s">
        <v>6713</v>
      </c>
      <c r="C1165" s="5"/>
      <c r="D1165" s="5" t="s">
        <v>6688</v>
      </c>
      <c r="E1165" s="5"/>
      <c r="F1165" s="5" t="s">
        <v>6689</v>
      </c>
      <c r="G1165" s="5"/>
      <c r="H1165" s="5"/>
      <c r="I1165" s="5" t="s">
        <v>3483</v>
      </c>
      <c r="J1165" s="5" t="s">
        <v>6690</v>
      </c>
      <c r="K1165" s="5" t="s">
        <v>3485</v>
      </c>
      <c r="L1165" s="5">
        <v>400</v>
      </c>
      <c r="M1165" s="5">
        <v>2</v>
      </c>
      <c r="N1165" s="5" t="s">
        <v>6691</v>
      </c>
      <c r="O1165" s="5"/>
      <c r="P1165" s="5"/>
      <c r="Q1165" s="5">
        <v>1</v>
      </c>
      <c r="R1165" s="5"/>
      <c r="S1165" s="5">
        <v>916</v>
      </c>
      <c r="T1165" s="5">
        <v>916</v>
      </c>
      <c r="U1165" s="5">
        <v>916</v>
      </c>
    </row>
    <row r="1166" spans="1:21" x14ac:dyDescent="0.25">
      <c r="A1166" s="5" t="s">
        <v>6714</v>
      </c>
      <c r="B1166" s="5" t="s">
        <v>6715</v>
      </c>
      <c r="C1166" s="5"/>
      <c r="D1166" s="5" t="s">
        <v>6688</v>
      </c>
      <c r="E1166" s="5"/>
      <c r="F1166" s="5" t="s">
        <v>6689</v>
      </c>
      <c r="G1166" s="5"/>
      <c r="H1166" s="5"/>
      <c r="I1166" s="5" t="s">
        <v>3483</v>
      </c>
      <c r="J1166" s="5" t="s">
        <v>6690</v>
      </c>
      <c r="K1166" s="5" t="s">
        <v>3485</v>
      </c>
      <c r="L1166" s="5">
        <v>400</v>
      </c>
      <c r="M1166" s="5">
        <v>1</v>
      </c>
      <c r="N1166" s="5" t="s">
        <v>6691</v>
      </c>
      <c r="O1166" s="5"/>
      <c r="P1166" s="5"/>
      <c r="Q1166" s="5">
        <v>1</v>
      </c>
      <c r="R1166" s="5"/>
      <c r="S1166" s="5">
        <v>458</v>
      </c>
      <c r="T1166" s="5">
        <v>458</v>
      </c>
      <c r="U1166" s="5">
        <v>458</v>
      </c>
    </row>
    <row r="1167" spans="1:21" x14ac:dyDescent="0.25">
      <c r="A1167" s="5" t="s">
        <v>6716</v>
      </c>
      <c r="B1167" s="5" t="s">
        <v>6717</v>
      </c>
      <c r="C1167" s="5"/>
      <c r="D1167" s="5" t="s">
        <v>6688</v>
      </c>
      <c r="E1167" s="5"/>
      <c r="F1167" s="5" t="s">
        <v>6689</v>
      </c>
      <c r="G1167" s="5"/>
      <c r="H1167" s="5"/>
      <c r="I1167" s="5" t="s">
        <v>3483</v>
      </c>
      <c r="J1167" s="5" t="s">
        <v>6690</v>
      </c>
      <c r="K1167" s="5" t="s">
        <v>3485</v>
      </c>
      <c r="L1167" s="5">
        <v>50</v>
      </c>
      <c r="M1167" s="5">
        <v>1</v>
      </c>
      <c r="N1167" s="5" t="s">
        <v>6691</v>
      </c>
      <c r="O1167" s="5"/>
      <c r="P1167" s="5"/>
      <c r="Q1167" s="5">
        <v>1</v>
      </c>
      <c r="R1167" s="5"/>
      <c r="S1167" s="5">
        <v>72</v>
      </c>
      <c r="T1167" s="5">
        <v>72</v>
      </c>
      <c r="U1167" s="5">
        <v>72</v>
      </c>
    </row>
    <row r="1168" spans="1:21" x14ac:dyDescent="0.25">
      <c r="A1168" s="5" t="s">
        <v>7352</v>
      </c>
      <c r="B1168" s="5" t="s">
        <v>7353</v>
      </c>
      <c r="C1168" s="5"/>
      <c r="D1168" s="5" t="s">
        <v>3481</v>
      </c>
      <c r="E1168" s="5"/>
      <c r="F1168" s="5" t="s">
        <v>6882</v>
      </c>
      <c r="G1168" s="5"/>
      <c r="H1168" s="5"/>
      <c r="I1168" s="5" t="s">
        <v>3483</v>
      </c>
      <c r="J1168" s="5" t="s">
        <v>3484</v>
      </c>
      <c r="K1168" s="5" t="s">
        <v>3485</v>
      </c>
      <c r="L1168" s="5">
        <v>150</v>
      </c>
      <c r="M1168" s="5">
        <v>1</v>
      </c>
      <c r="N1168" s="5" t="s">
        <v>6883</v>
      </c>
      <c r="O1168" s="5"/>
      <c r="P1168" s="5"/>
      <c r="Q1168" s="5">
        <v>1</v>
      </c>
      <c r="R1168" s="5"/>
      <c r="S1168" s="5">
        <v>166</v>
      </c>
      <c r="T1168" s="5">
        <v>166</v>
      </c>
      <c r="U1168" s="5">
        <v>166</v>
      </c>
    </row>
    <row r="1169" spans="1:21" x14ac:dyDescent="0.25">
      <c r="A1169" s="5" t="s">
        <v>6720</v>
      </c>
      <c r="B1169" s="5" t="s">
        <v>6721</v>
      </c>
      <c r="C1169" s="5"/>
      <c r="D1169" s="5" t="s">
        <v>6688</v>
      </c>
      <c r="E1169" s="5"/>
      <c r="F1169" s="5" t="s">
        <v>6689</v>
      </c>
      <c r="G1169" s="5"/>
      <c r="H1169" s="5"/>
      <c r="I1169" s="5" t="s">
        <v>3483</v>
      </c>
      <c r="J1169" s="5" t="s">
        <v>6690</v>
      </c>
      <c r="K1169" s="5" t="s">
        <v>3485</v>
      </c>
      <c r="L1169" s="5">
        <v>70</v>
      </c>
      <c r="M1169" s="5">
        <v>1</v>
      </c>
      <c r="N1169" s="5" t="s">
        <v>6691</v>
      </c>
      <c r="O1169" s="5"/>
      <c r="P1169" s="5"/>
      <c r="Q1169" s="5">
        <v>1</v>
      </c>
      <c r="R1169" s="5"/>
      <c r="S1169" s="5">
        <v>95</v>
      </c>
      <c r="T1169" s="5">
        <v>95</v>
      </c>
      <c r="U1169" s="5">
        <v>95</v>
      </c>
    </row>
    <row r="1170" spans="1:21" x14ac:dyDescent="0.25">
      <c r="A1170" s="5" t="s">
        <v>7354</v>
      </c>
      <c r="B1170" s="5" t="s">
        <v>7355</v>
      </c>
      <c r="C1170" s="5"/>
      <c r="D1170" s="5" t="s">
        <v>6688</v>
      </c>
      <c r="E1170" s="5"/>
      <c r="F1170" s="5" t="s">
        <v>6882</v>
      </c>
      <c r="G1170" s="5"/>
      <c r="H1170" s="5"/>
      <c r="I1170" s="5" t="s">
        <v>3483</v>
      </c>
      <c r="J1170" s="5" t="s">
        <v>6690</v>
      </c>
      <c r="K1170" s="5" t="s">
        <v>3485</v>
      </c>
      <c r="L1170" s="5">
        <v>150</v>
      </c>
      <c r="M1170" s="5">
        <v>1</v>
      </c>
      <c r="N1170" s="5" t="s">
        <v>6883</v>
      </c>
      <c r="O1170" s="5"/>
      <c r="P1170" s="5"/>
      <c r="Q1170" s="5">
        <v>1</v>
      </c>
      <c r="R1170" s="5"/>
      <c r="S1170" s="5">
        <v>168</v>
      </c>
      <c r="T1170" s="5">
        <v>168</v>
      </c>
      <c r="U1170" s="5">
        <v>168</v>
      </c>
    </row>
    <row r="1171" spans="1:21" x14ac:dyDescent="0.25">
      <c r="A1171" s="5" t="s">
        <v>6724</v>
      </c>
      <c r="B1171" s="5" t="s">
        <v>6725</v>
      </c>
      <c r="C1171" s="5"/>
      <c r="D1171" s="5" t="s">
        <v>6688</v>
      </c>
      <c r="E1171" s="5"/>
      <c r="F1171" s="5" t="s">
        <v>6689</v>
      </c>
      <c r="G1171" s="5"/>
      <c r="H1171" s="5"/>
      <c r="I1171" s="5" t="s">
        <v>3483</v>
      </c>
      <c r="J1171" s="5" t="s">
        <v>6690</v>
      </c>
      <c r="K1171" s="5" t="s">
        <v>3485</v>
      </c>
      <c r="L1171" s="5">
        <v>750</v>
      </c>
      <c r="M1171" s="5">
        <v>1</v>
      </c>
      <c r="N1171" s="5" t="s">
        <v>6691</v>
      </c>
      <c r="O1171" s="5"/>
      <c r="P1171" s="5"/>
      <c r="Q1171" s="5">
        <v>1</v>
      </c>
      <c r="R1171" s="5"/>
      <c r="S1171" s="5">
        <v>850</v>
      </c>
      <c r="T1171" s="5">
        <v>850</v>
      </c>
      <c r="U1171" s="5">
        <v>850</v>
      </c>
    </row>
    <row r="1172" spans="1:21" x14ac:dyDescent="0.25">
      <c r="A1172" s="5" t="s">
        <v>6726</v>
      </c>
      <c r="B1172" s="5" t="s">
        <v>6727</v>
      </c>
      <c r="C1172" s="5"/>
      <c r="D1172" s="5" t="s">
        <v>6688</v>
      </c>
      <c r="E1172" s="5" t="s">
        <v>6728</v>
      </c>
      <c r="F1172" s="5" t="s">
        <v>3489</v>
      </c>
      <c r="G1172" s="5"/>
      <c r="H1172" s="5"/>
      <c r="I1172" s="5" t="s">
        <v>3483</v>
      </c>
      <c r="J1172" s="5" t="s">
        <v>6690</v>
      </c>
      <c r="K1172" s="5" t="s">
        <v>6729</v>
      </c>
      <c r="L1172" s="5">
        <v>1000</v>
      </c>
      <c r="M1172" s="5">
        <v>1</v>
      </c>
      <c r="N1172" s="5" t="s">
        <v>3490</v>
      </c>
      <c r="O1172" s="5"/>
      <c r="P1172" s="5"/>
      <c r="Q1172" s="5">
        <v>1</v>
      </c>
      <c r="R1172" s="5"/>
      <c r="S1172" s="5">
        <v>1080</v>
      </c>
      <c r="T1172" s="5">
        <v>1080</v>
      </c>
      <c r="U1172" s="5">
        <v>1080</v>
      </c>
    </row>
    <row r="1173" spans="1:21" x14ac:dyDescent="0.25">
      <c r="A1173" s="5" t="s">
        <v>6732</v>
      </c>
      <c r="B1173" s="5" t="s">
        <v>6733</v>
      </c>
      <c r="C1173" s="5"/>
      <c r="D1173" s="5" t="s">
        <v>6688</v>
      </c>
      <c r="E1173" s="5" t="s">
        <v>6728</v>
      </c>
      <c r="F1173" s="5" t="s">
        <v>3489</v>
      </c>
      <c r="G1173" s="5"/>
      <c r="H1173" s="5"/>
      <c r="I1173" s="5" t="s">
        <v>3483</v>
      </c>
      <c r="J1173" s="5" t="s">
        <v>6690</v>
      </c>
      <c r="K1173" s="5" t="s">
        <v>6729</v>
      </c>
      <c r="L1173" s="5">
        <v>100</v>
      </c>
      <c r="M1173" s="5">
        <v>1</v>
      </c>
      <c r="N1173" s="5" t="s">
        <v>3490</v>
      </c>
      <c r="O1173" s="5"/>
      <c r="P1173" s="5"/>
      <c r="Q1173" s="5">
        <v>1</v>
      </c>
      <c r="R1173" s="5"/>
      <c r="S1173" s="5">
        <v>125</v>
      </c>
      <c r="T1173" s="5">
        <v>125</v>
      </c>
      <c r="U1173" s="5">
        <v>125</v>
      </c>
    </row>
    <row r="1174" spans="1:21" x14ac:dyDescent="0.25">
      <c r="A1174" s="5" t="s">
        <v>7356</v>
      </c>
      <c r="B1174" s="5" t="s">
        <v>7357</v>
      </c>
      <c r="C1174" s="5"/>
      <c r="D1174" s="5" t="s">
        <v>6688</v>
      </c>
      <c r="E1174" s="5" t="s">
        <v>6728</v>
      </c>
      <c r="F1174" s="5" t="s">
        <v>6882</v>
      </c>
      <c r="G1174" s="5"/>
      <c r="H1174" s="5"/>
      <c r="I1174" s="5" t="s">
        <v>3483</v>
      </c>
      <c r="J1174" s="5" t="s">
        <v>6690</v>
      </c>
      <c r="K1174" s="5" t="s">
        <v>6729</v>
      </c>
      <c r="L1174" s="5">
        <v>175</v>
      </c>
      <c r="M1174" s="5">
        <v>1</v>
      </c>
      <c r="N1174" s="5" t="s">
        <v>6883</v>
      </c>
      <c r="O1174" s="5"/>
      <c r="P1174" s="5"/>
      <c r="Q1174" s="5">
        <v>1</v>
      </c>
      <c r="R1174" s="5"/>
      <c r="S1174" s="5">
        <v>191</v>
      </c>
      <c r="T1174" s="5">
        <v>191</v>
      </c>
      <c r="U1174" s="5">
        <v>191</v>
      </c>
    </row>
    <row r="1175" spans="1:21" x14ac:dyDescent="0.25">
      <c r="A1175" s="5" t="s">
        <v>6736</v>
      </c>
      <c r="B1175" s="5" t="s">
        <v>6737</v>
      </c>
      <c r="C1175" s="5"/>
      <c r="D1175" s="5" t="s">
        <v>6688</v>
      </c>
      <c r="E1175" s="5" t="s">
        <v>6728</v>
      </c>
      <c r="F1175" s="5" t="s">
        <v>3509</v>
      </c>
      <c r="G1175" s="5"/>
      <c r="H1175" s="5"/>
      <c r="I1175" s="5" t="s">
        <v>3483</v>
      </c>
      <c r="J1175" s="5" t="s">
        <v>6690</v>
      </c>
      <c r="K1175" s="5" t="s">
        <v>6729</v>
      </c>
      <c r="L1175" s="5">
        <v>150</v>
      </c>
      <c r="M1175" s="5">
        <v>1</v>
      </c>
      <c r="N1175" s="5" t="s">
        <v>3510</v>
      </c>
      <c r="O1175" s="5"/>
      <c r="P1175" s="5"/>
      <c r="Q1175" s="5">
        <v>1</v>
      </c>
      <c r="R1175" s="5"/>
      <c r="S1175" s="5">
        <v>173</v>
      </c>
      <c r="T1175" s="5">
        <v>173</v>
      </c>
      <c r="U1175" s="5">
        <v>173</v>
      </c>
    </row>
    <row r="1176" spans="1:21" x14ac:dyDescent="0.25">
      <c r="A1176" s="5" t="s">
        <v>6738</v>
      </c>
      <c r="B1176" s="5" t="s">
        <v>6739</v>
      </c>
      <c r="C1176" s="5"/>
      <c r="D1176" s="5" t="s">
        <v>6688</v>
      </c>
      <c r="E1176" s="5" t="s">
        <v>6728</v>
      </c>
      <c r="F1176" s="5" t="s">
        <v>3489</v>
      </c>
      <c r="G1176" s="5"/>
      <c r="H1176" s="5"/>
      <c r="I1176" s="5" t="s">
        <v>3483</v>
      </c>
      <c r="J1176" s="5" t="s">
        <v>6690</v>
      </c>
      <c r="K1176" s="5" t="s">
        <v>6729</v>
      </c>
      <c r="L1176" s="5">
        <v>150</v>
      </c>
      <c r="M1176" s="5">
        <v>1</v>
      </c>
      <c r="N1176" s="5" t="s">
        <v>3490</v>
      </c>
      <c r="O1176" s="5"/>
      <c r="P1176" s="5"/>
      <c r="Q1176" s="5">
        <v>1</v>
      </c>
      <c r="R1176" s="5"/>
      <c r="S1176" s="5">
        <v>189</v>
      </c>
      <c r="T1176" s="5">
        <v>189</v>
      </c>
      <c r="U1176" s="5">
        <v>189</v>
      </c>
    </row>
    <row r="1177" spans="1:21" x14ac:dyDescent="0.25">
      <c r="A1177" s="5" t="s">
        <v>6742</v>
      </c>
      <c r="B1177" s="5" t="s">
        <v>6743</v>
      </c>
      <c r="C1177" s="5"/>
      <c r="D1177" s="5" t="s">
        <v>6688</v>
      </c>
      <c r="E1177" s="5" t="s">
        <v>6728</v>
      </c>
      <c r="F1177" s="5" t="s">
        <v>3509</v>
      </c>
      <c r="G1177" s="5"/>
      <c r="H1177" s="5"/>
      <c r="I1177" s="5" t="s">
        <v>3483</v>
      </c>
      <c r="J1177" s="5" t="s">
        <v>6690</v>
      </c>
      <c r="K1177" s="5" t="s">
        <v>6729</v>
      </c>
      <c r="L1177" s="5">
        <v>175</v>
      </c>
      <c r="M1177" s="5">
        <v>1</v>
      </c>
      <c r="N1177" s="5" t="s">
        <v>3510</v>
      </c>
      <c r="O1177" s="5"/>
      <c r="P1177" s="5"/>
      <c r="Q1177" s="5">
        <v>1</v>
      </c>
      <c r="R1177" s="5"/>
      <c r="S1177" s="5">
        <v>194</v>
      </c>
      <c r="T1177" s="5">
        <v>194</v>
      </c>
      <c r="U1177" s="5">
        <v>194</v>
      </c>
    </row>
    <row r="1178" spans="1:21" x14ac:dyDescent="0.25">
      <c r="A1178" s="5" t="s">
        <v>6744</v>
      </c>
      <c r="B1178" s="5" t="s">
        <v>6745</v>
      </c>
      <c r="C1178" s="5"/>
      <c r="D1178" s="5" t="s">
        <v>6688</v>
      </c>
      <c r="E1178" s="5" t="s">
        <v>6728</v>
      </c>
      <c r="F1178" s="5" t="s">
        <v>3489</v>
      </c>
      <c r="G1178" s="5"/>
      <c r="H1178" s="5"/>
      <c r="I1178" s="5" t="s">
        <v>3483</v>
      </c>
      <c r="J1178" s="5" t="s">
        <v>6690</v>
      </c>
      <c r="K1178" s="5" t="s">
        <v>6729</v>
      </c>
      <c r="L1178" s="5">
        <v>175</v>
      </c>
      <c r="M1178" s="5">
        <v>1</v>
      </c>
      <c r="N1178" s="5" t="s">
        <v>3490</v>
      </c>
      <c r="O1178" s="5"/>
      <c r="P1178" s="5"/>
      <c r="Q1178" s="5">
        <v>1</v>
      </c>
      <c r="R1178" s="5"/>
      <c r="S1178" s="5">
        <v>208</v>
      </c>
      <c r="T1178" s="5">
        <v>208</v>
      </c>
      <c r="U1178" s="5">
        <v>208</v>
      </c>
    </row>
    <row r="1179" spans="1:21" x14ac:dyDescent="0.25">
      <c r="A1179" s="5" t="s">
        <v>7358</v>
      </c>
      <c r="B1179" s="5" t="s">
        <v>7359</v>
      </c>
      <c r="C1179" s="5"/>
      <c r="D1179" s="5" t="s">
        <v>6688</v>
      </c>
      <c r="E1179" s="5" t="s">
        <v>6728</v>
      </c>
      <c r="F1179" s="5" t="s">
        <v>6882</v>
      </c>
      <c r="G1179" s="5"/>
      <c r="H1179" s="5"/>
      <c r="I1179" s="5" t="s">
        <v>3483</v>
      </c>
      <c r="J1179" s="5" t="s">
        <v>6690</v>
      </c>
      <c r="K1179" s="5" t="s">
        <v>6729</v>
      </c>
      <c r="L1179" s="5">
        <v>200</v>
      </c>
      <c r="M1179" s="5">
        <v>1</v>
      </c>
      <c r="N1179" s="5" t="s">
        <v>6883</v>
      </c>
      <c r="O1179" s="5"/>
      <c r="P1179" s="5"/>
      <c r="Q1179" s="5">
        <v>1</v>
      </c>
      <c r="R1179" s="5"/>
      <c r="S1179" s="5">
        <v>219</v>
      </c>
      <c r="T1179" s="5">
        <v>219</v>
      </c>
      <c r="U1179" s="5">
        <v>219</v>
      </c>
    </row>
    <row r="1180" spans="1:21" x14ac:dyDescent="0.25">
      <c r="A1180" s="5" t="s">
        <v>6748</v>
      </c>
      <c r="B1180" s="5" t="s">
        <v>6749</v>
      </c>
      <c r="C1180" s="5"/>
      <c r="D1180" s="5" t="s">
        <v>6688</v>
      </c>
      <c r="E1180" s="5" t="s">
        <v>6728</v>
      </c>
      <c r="F1180" s="5" t="s">
        <v>3509</v>
      </c>
      <c r="G1180" s="5"/>
      <c r="H1180" s="5"/>
      <c r="I1180" s="5" t="s">
        <v>3483</v>
      </c>
      <c r="J1180" s="5" t="s">
        <v>6690</v>
      </c>
      <c r="K1180" s="5" t="s">
        <v>6729</v>
      </c>
      <c r="L1180" s="5">
        <v>200</v>
      </c>
      <c r="M1180" s="5">
        <v>1</v>
      </c>
      <c r="N1180" s="5" t="s">
        <v>3510</v>
      </c>
      <c r="O1180" s="5"/>
      <c r="P1180" s="5"/>
      <c r="Q1180" s="5">
        <v>1</v>
      </c>
      <c r="R1180" s="5"/>
      <c r="S1180" s="5">
        <v>218</v>
      </c>
      <c r="T1180" s="5">
        <v>218</v>
      </c>
      <c r="U1180" s="5">
        <v>218</v>
      </c>
    </row>
    <row r="1181" spans="1:21" x14ac:dyDescent="0.25">
      <c r="A1181" s="5" t="s">
        <v>6750</v>
      </c>
      <c r="B1181" s="5" t="s">
        <v>6751</v>
      </c>
      <c r="C1181" s="5"/>
      <c r="D1181" s="5" t="s">
        <v>6688</v>
      </c>
      <c r="E1181" s="5" t="s">
        <v>6728</v>
      </c>
      <c r="F1181" s="5" t="s">
        <v>6752</v>
      </c>
      <c r="G1181" s="5"/>
      <c r="H1181" s="5"/>
      <c r="I1181" s="5" t="s">
        <v>3483</v>
      </c>
      <c r="J1181" s="5" t="s">
        <v>6690</v>
      </c>
      <c r="K1181" s="5" t="s">
        <v>6729</v>
      </c>
      <c r="L1181" s="5">
        <v>200</v>
      </c>
      <c r="M1181" s="5">
        <v>1</v>
      </c>
      <c r="N1181" s="5" t="s">
        <v>6753</v>
      </c>
      <c r="O1181" s="5"/>
      <c r="P1181" s="5"/>
      <c r="Q1181" s="5">
        <v>1</v>
      </c>
      <c r="R1181" s="5"/>
      <c r="S1181" s="5">
        <v>244</v>
      </c>
      <c r="T1181" s="5">
        <v>244</v>
      </c>
      <c r="U1181" s="5">
        <v>244</v>
      </c>
    </row>
    <row r="1182" spans="1:21" x14ac:dyDescent="0.25">
      <c r="A1182" s="5" t="s">
        <v>6754</v>
      </c>
      <c r="B1182" s="5" t="s">
        <v>6755</v>
      </c>
      <c r="C1182" s="5"/>
      <c r="D1182" s="5" t="s">
        <v>6688</v>
      </c>
      <c r="E1182" s="5" t="s">
        <v>6728</v>
      </c>
      <c r="F1182" s="5" t="s">
        <v>3489</v>
      </c>
      <c r="G1182" s="5"/>
      <c r="H1182" s="5"/>
      <c r="I1182" s="5" t="s">
        <v>3483</v>
      </c>
      <c r="J1182" s="5" t="s">
        <v>6690</v>
      </c>
      <c r="K1182" s="5" t="s">
        <v>6729</v>
      </c>
      <c r="L1182" s="5">
        <v>200</v>
      </c>
      <c r="M1182" s="5">
        <v>1</v>
      </c>
      <c r="N1182" s="5" t="s">
        <v>3490</v>
      </c>
      <c r="O1182" s="5"/>
      <c r="P1182" s="5"/>
      <c r="Q1182" s="5">
        <v>1</v>
      </c>
      <c r="R1182" s="5"/>
      <c r="S1182" s="5">
        <v>232</v>
      </c>
      <c r="T1182" s="5">
        <v>232</v>
      </c>
      <c r="U1182" s="5">
        <v>232</v>
      </c>
    </row>
    <row r="1183" spans="1:21" x14ac:dyDescent="0.25">
      <c r="A1183" s="5" t="s">
        <v>6760</v>
      </c>
      <c r="B1183" s="5" t="s">
        <v>6761</v>
      </c>
      <c r="C1183" s="5"/>
      <c r="D1183" s="5" t="s">
        <v>6688</v>
      </c>
      <c r="E1183" s="5" t="s">
        <v>6728</v>
      </c>
      <c r="F1183" s="5" t="s">
        <v>3509</v>
      </c>
      <c r="G1183" s="5"/>
      <c r="H1183" s="5"/>
      <c r="I1183" s="5" t="s">
        <v>3483</v>
      </c>
      <c r="J1183" s="5" t="s">
        <v>6690</v>
      </c>
      <c r="K1183" s="5" t="s">
        <v>6729</v>
      </c>
      <c r="L1183" s="5">
        <v>250</v>
      </c>
      <c r="M1183" s="5">
        <v>1</v>
      </c>
      <c r="N1183" s="5" t="s">
        <v>3510</v>
      </c>
      <c r="O1183" s="5"/>
      <c r="P1183" s="5"/>
      <c r="Q1183" s="5">
        <v>1</v>
      </c>
      <c r="R1183" s="5"/>
      <c r="S1183" s="5">
        <v>272</v>
      </c>
      <c r="T1183" s="5">
        <v>272</v>
      </c>
      <c r="U1183" s="5">
        <v>272</v>
      </c>
    </row>
    <row r="1184" spans="1:21" x14ac:dyDescent="0.25">
      <c r="A1184" s="5" t="s">
        <v>6762</v>
      </c>
      <c r="B1184" s="5" t="s">
        <v>6763</v>
      </c>
      <c r="C1184" s="5"/>
      <c r="D1184" s="5" t="s">
        <v>6688</v>
      </c>
      <c r="E1184" s="5" t="s">
        <v>6728</v>
      </c>
      <c r="F1184" s="5" t="s">
        <v>6752</v>
      </c>
      <c r="G1184" s="5"/>
      <c r="H1184" s="5"/>
      <c r="I1184" s="5" t="s">
        <v>3483</v>
      </c>
      <c r="J1184" s="5" t="s">
        <v>6690</v>
      </c>
      <c r="K1184" s="5" t="s">
        <v>6729</v>
      </c>
      <c r="L1184" s="5">
        <v>250</v>
      </c>
      <c r="M1184" s="5">
        <v>1</v>
      </c>
      <c r="N1184" s="5" t="s">
        <v>6753</v>
      </c>
      <c r="O1184" s="5"/>
      <c r="P1184" s="5"/>
      <c r="Q1184" s="5">
        <v>1</v>
      </c>
      <c r="R1184" s="5"/>
      <c r="S1184" s="5">
        <v>298</v>
      </c>
      <c r="T1184" s="5">
        <v>298</v>
      </c>
      <c r="U1184" s="5">
        <v>298</v>
      </c>
    </row>
    <row r="1185" spans="1:21" x14ac:dyDescent="0.25">
      <c r="A1185" s="5" t="s">
        <v>6764</v>
      </c>
      <c r="B1185" s="5" t="s">
        <v>6765</v>
      </c>
      <c r="C1185" s="5"/>
      <c r="D1185" s="5" t="s">
        <v>6688</v>
      </c>
      <c r="E1185" s="5" t="s">
        <v>6728</v>
      </c>
      <c r="F1185" s="5" t="s">
        <v>3489</v>
      </c>
      <c r="G1185" s="5"/>
      <c r="H1185" s="5"/>
      <c r="I1185" s="5" t="s">
        <v>3483</v>
      </c>
      <c r="J1185" s="5" t="s">
        <v>6690</v>
      </c>
      <c r="K1185" s="5" t="s">
        <v>6729</v>
      </c>
      <c r="L1185" s="5">
        <v>250</v>
      </c>
      <c r="M1185" s="5">
        <v>1</v>
      </c>
      <c r="N1185" s="5" t="s">
        <v>3490</v>
      </c>
      <c r="O1185" s="5"/>
      <c r="P1185" s="5"/>
      <c r="Q1185" s="5">
        <v>1</v>
      </c>
      <c r="R1185" s="5"/>
      <c r="S1185" s="5">
        <v>288</v>
      </c>
      <c r="T1185" s="5">
        <v>288</v>
      </c>
      <c r="U1185" s="5">
        <v>288</v>
      </c>
    </row>
    <row r="1186" spans="1:21" x14ac:dyDescent="0.25">
      <c r="A1186" s="5" t="s">
        <v>6766</v>
      </c>
      <c r="B1186" s="5" t="s">
        <v>6767</v>
      </c>
      <c r="C1186" s="5"/>
      <c r="D1186" s="5" t="s">
        <v>6688</v>
      </c>
      <c r="E1186" s="5" t="s">
        <v>6728</v>
      </c>
      <c r="F1186" s="5" t="s">
        <v>3509</v>
      </c>
      <c r="G1186" s="5"/>
      <c r="H1186" s="5"/>
      <c r="I1186" s="5" t="s">
        <v>3483</v>
      </c>
      <c r="J1186" s="5" t="s">
        <v>6690</v>
      </c>
      <c r="K1186" s="5" t="s">
        <v>6729</v>
      </c>
      <c r="L1186" s="5">
        <v>300</v>
      </c>
      <c r="M1186" s="5">
        <v>1</v>
      </c>
      <c r="N1186" s="5" t="s">
        <v>3510</v>
      </c>
      <c r="O1186" s="5"/>
      <c r="P1186" s="5"/>
      <c r="Q1186" s="5">
        <v>1</v>
      </c>
      <c r="R1186" s="5"/>
      <c r="S1186" s="5">
        <v>324</v>
      </c>
      <c r="T1186" s="5">
        <v>324</v>
      </c>
      <c r="U1186" s="5">
        <v>324</v>
      </c>
    </row>
    <row r="1187" spans="1:21" x14ac:dyDescent="0.25">
      <c r="A1187" s="5" t="s">
        <v>6768</v>
      </c>
      <c r="B1187" s="5" t="s">
        <v>6769</v>
      </c>
      <c r="C1187" s="5"/>
      <c r="D1187" s="5" t="s">
        <v>6688</v>
      </c>
      <c r="E1187" s="5" t="s">
        <v>6728</v>
      </c>
      <c r="F1187" s="5" t="s">
        <v>3489</v>
      </c>
      <c r="G1187" s="5"/>
      <c r="H1187" s="5"/>
      <c r="I1187" s="5" t="s">
        <v>3483</v>
      </c>
      <c r="J1187" s="5" t="s">
        <v>6690</v>
      </c>
      <c r="K1187" s="5" t="s">
        <v>6729</v>
      </c>
      <c r="L1187" s="5">
        <v>300</v>
      </c>
      <c r="M1187" s="5">
        <v>1</v>
      </c>
      <c r="N1187" s="5" t="s">
        <v>3490</v>
      </c>
      <c r="O1187" s="5"/>
      <c r="P1187" s="5"/>
      <c r="Q1187" s="5">
        <v>1</v>
      </c>
      <c r="R1187" s="5"/>
      <c r="S1187" s="5">
        <v>342</v>
      </c>
      <c r="T1187" s="5">
        <v>342</v>
      </c>
      <c r="U1187" s="5">
        <v>342</v>
      </c>
    </row>
    <row r="1188" spans="1:21" x14ac:dyDescent="0.25">
      <c r="A1188" s="5" t="s">
        <v>7360</v>
      </c>
      <c r="B1188" s="5" t="s">
        <v>7361</v>
      </c>
      <c r="C1188" s="5"/>
      <c r="D1188" s="5" t="s">
        <v>6688</v>
      </c>
      <c r="E1188" s="5" t="s">
        <v>6728</v>
      </c>
      <c r="F1188" s="5" t="s">
        <v>6882</v>
      </c>
      <c r="G1188" s="5"/>
      <c r="H1188" s="5"/>
      <c r="I1188" s="5" t="s">
        <v>3483</v>
      </c>
      <c r="J1188" s="5" t="s">
        <v>6690</v>
      </c>
      <c r="K1188" s="5" t="s">
        <v>6729</v>
      </c>
      <c r="L1188" s="5">
        <v>320</v>
      </c>
      <c r="M1188" s="5">
        <v>1</v>
      </c>
      <c r="N1188" s="5" t="s">
        <v>6883</v>
      </c>
      <c r="O1188" s="5"/>
      <c r="P1188" s="5"/>
      <c r="Q1188" s="5">
        <v>1</v>
      </c>
      <c r="R1188" s="5"/>
      <c r="S1188" s="5">
        <v>345</v>
      </c>
      <c r="T1188" s="5">
        <v>345</v>
      </c>
      <c r="U1188" s="5">
        <v>345</v>
      </c>
    </row>
    <row r="1189" spans="1:21" x14ac:dyDescent="0.25">
      <c r="A1189" s="5" t="s">
        <v>6774</v>
      </c>
      <c r="B1189" s="5" t="s">
        <v>6775</v>
      </c>
      <c r="C1189" s="5"/>
      <c r="D1189" s="5" t="s">
        <v>6688</v>
      </c>
      <c r="E1189" s="5" t="s">
        <v>6728</v>
      </c>
      <c r="F1189" s="5" t="s">
        <v>3509</v>
      </c>
      <c r="G1189" s="5"/>
      <c r="H1189" s="5"/>
      <c r="I1189" s="5" t="s">
        <v>3483</v>
      </c>
      <c r="J1189" s="5" t="s">
        <v>6690</v>
      </c>
      <c r="K1189" s="5" t="s">
        <v>6729</v>
      </c>
      <c r="L1189" s="5">
        <v>320</v>
      </c>
      <c r="M1189" s="5">
        <v>1</v>
      </c>
      <c r="N1189" s="5" t="s">
        <v>3510</v>
      </c>
      <c r="O1189" s="5"/>
      <c r="P1189" s="5"/>
      <c r="Q1189" s="5">
        <v>1</v>
      </c>
      <c r="R1189" s="5"/>
      <c r="S1189" s="5">
        <v>342</v>
      </c>
      <c r="T1189" s="5">
        <v>342</v>
      </c>
      <c r="U1189" s="5">
        <v>342</v>
      </c>
    </row>
    <row r="1190" spans="1:21" x14ac:dyDescent="0.25">
      <c r="A1190" s="5" t="s">
        <v>6776</v>
      </c>
      <c r="B1190" s="5" t="s">
        <v>6777</v>
      </c>
      <c r="C1190" s="5"/>
      <c r="D1190" s="5" t="s">
        <v>6688</v>
      </c>
      <c r="E1190" s="5" t="s">
        <v>6728</v>
      </c>
      <c r="F1190" s="5" t="s">
        <v>3489</v>
      </c>
      <c r="G1190" s="5"/>
      <c r="H1190" s="5"/>
      <c r="I1190" s="5" t="s">
        <v>3483</v>
      </c>
      <c r="J1190" s="5" t="s">
        <v>6690</v>
      </c>
      <c r="K1190" s="5" t="s">
        <v>6729</v>
      </c>
      <c r="L1190" s="5">
        <v>320</v>
      </c>
      <c r="M1190" s="5">
        <v>1</v>
      </c>
      <c r="N1190" s="5" t="s">
        <v>3490</v>
      </c>
      <c r="O1190" s="5"/>
      <c r="P1190" s="5"/>
      <c r="Q1190" s="5">
        <v>1</v>
      </c>
      <c r="R1190" s="5"/>
      <c r="S1190" s="5">
        <v>370</v>
      </c>
      <c r="T1190" s="5">
        <v>370</v>
      </c>
      <c r="U1190" s="5">
        <v>370</v>
      </c>
    </row>
    <row r="1191" spans="1:21" x14ac:dyDescent="0.25">
      <c r="A1191" s="5" t="s">
        <v>6780</v>
      </c>
      <c r="B1191" s="5" t="s">
        <v>6781</v>
      </c>
      <c r="C1191" s="5"/>
      <c r="D1191" s="5" t="s">
        <v>6688</v>
      </c>
      <c r="E1191" s="5" t="s">
        <v>6728</v>
      </c>
      <c r="F1191" s="5" t="s">
        <v>3509</v>
      </c>
      <c r="G1191" s="5"/>
      <c r="H1191" s="5"/>
      <c r="I1191" s="5" t="s">
        <v>3483</v>
      </c>
      <c r="J1191" s="5" t="s">
        <v>6690</v>
      </c>
      <c r="K1191" s="5" t="s">
        <v>6729</v>
      </c>
      <c r="L1191" s="5">
        <v>350</v>
      </c>
      <c r="M1191" s="5">
        <v>1</v>
      </c>
      <c r="N1191" s="5" t="s">
        <v>3510</v>
      </c>
      <c r="O1191" s="5"/>
      <c r="P1191" s="5"/>
      <c r="Q1191" s="5">
        <v>1</v>
      </c>
      <c r="R1191" s="5"/>
      <c r="S1191" s="5">
        <v>375</v>
      </c>
      <c r="T1191" s="5">
        <v>375</v>
      </c>
      <c r="U1191" s="5">
        <v>375</v>
      </c>
    </row>
    <row r="1192" spans="1:21" x14ac:dyDescent="0.25">
      <c r="A1192" s="5" t="s">
        <v>6782</v>
      </c>
      <c r="B1192" s="5" t="s">
        <v>6783</v>
      </c>
      <c r="C1192" s="5"/>
      <c r="D1192" s="5" t="s">
        <v>6688</v>
      </c>
      <c r="E1192" s="5" t="s">
        <v>6728</v>
      </c>
      <c r="F1192" s="5" t="s">
        <v>3489</v>
      </c>
      <c r="G1192" s="5"/>
      <c r="H1192" s="5"/>
      <c r="I1192" s="5" t="s">
        <v>3483</v>
      </c>
      <c r="J1192" s="5" t="s">
        <v>6690</v>
      </c>
      <c r="K1192" s="5" t="s">
        <v>6729</v>
      </c>
      <c r="L1192" s="5">
        <v>350</v>
      </c>
      <c r="M1192" s="5">
        <v>1</v>
      </c>
      <c r="N1192" s="5" t="s">
        <v>3490</v>
      </c>
      <c r="O1192" s="5"/>
      <c r="P1192" s="5"/>
      <c r="Q1192" s="5">
        <v>1</v>
      </c>
      <c r="R1192" s="5"/>
      <c r="S1192" s="5">
        <v>400</v>
      </c>
      <c r="T1192" s="5">
        <v>400</v>
      </c>
      <c r="U1192" s="5">
        <v>400</v>
      </c>
    </row>
    <row r="1193" spans="1:21" x14ac:dyDescent="0.25">
      <c r="A1193" s="5" t="s">
        <v>7362</v>
      </c>
      <c r="B1193" s="5" t="s">
        <v>7363</v>
      </c>
      <c r="C1193" s="5"/>
      <c r="D1193" s="5" t="s">
        <v>6688</v>
      </c>
      <c r="E1193" s="5" t="s">
        <v>6728</v>
      </c>
      <c r="F1193" s="5" t="s">
        <v>6882</v>
      </c>
      <c r="G1193" s="5"/>
      <c r="H1193" s="5"/>
      <c r="I1193" s="5" t="s">
        <v>3483</v>
      </c>
      <c r="J1193" s="5" t="s">
        <v>6690</v>
      </c>
      <c r="K1193" s="5" t="s">
        <v>6729</v>
      </c>
      <c r="L1193" s="5">
        <v>350</v>
      </c>
      <c r="M1193" s="5">
        <v>1</v>
      </c>
      <c r="N1193" s="5" t="s">
        <v>6883</v>
      </c>
      <c r="O1193" s="5"/>
      <c r="P1193" s="5"/>
      <c r="Q1193" s="5">
        <v>1</v>
      </c>
      <c r="R1193" s="5"/>
      <c r="S1193" s="5">
        <v>375</v>
      </c>
      <c r="T1193" s="5">
        <v>375</v>
      </c>
      <c r="U1193" s="5">
        <v>375</v>
      </c>
    </row>
    <row r="1194" spans="1:21" x14ac:dyDescent="0.25">
      <c r="A1194" s="5" t="s">
        <v>7364</v>
      </c>
      <c r="B1194" s="5" t="s">
        <v>7365</v>
      </c>
      <c r="C1194" s="5"/>
      <c r="D1194" s="5" t="s">
        <v>6688</v>
      </c>
      <c r="E1194" s="5" t="s">
        <v>6728</v>
      </c>
      <c r="F1194" s="5" t="s">
        <v>6882</v>
      </c>
      <c r="G1194" s="5"/>
      <c r="H1194" s="5"/>
      <c r="I1194" s="5" t="s">
        <v>3483</v>
      </c>
      <c r="J1194" s="5" t="s">
        <v>6690</v>
      </c>
      <c r="K1194" s="5" t="s">
        <v>6729</v>
      </c>
      <c r="L1194" s="5">
        <v>400</v>
      </c>
      <c r="M1194" s="5">
        <v>1</v>
      </c>
      <c r="N1194" s="5" t="s">
        <v>6883</v>
      </c>
      <c r="O1194" s="5"/>
      <c r="P1194" s="5"/>
      <c r="Q1194" s="5">
        <v>1</v>
      </c>
      <c r="R1194" s="5"/>
      <c r="S1194" s="5">
        <v>425</v>
      </c>
      <c r="T1194" s="5">
        <v>425</v>
      </c>
      <c r="U1194" s="5">
        <v>425</v>
      </c>
    </row>
    <row r="1195" spans="1:21" x14ac:dyDescent="0.25">
      <c r="A1195" s="5" t="s">
        <v>6790</v>
      </c>
      <c r="B1195" s="5" t="s">
        <v>6791</v>
      </c>
      <c r="C1195" s="5"/>
      <c r="D1195" s="5" t="s">
        <v>6688</v>
      </c>
      <c r="E1195" s="5" t="s">
        <v>6728</v>
      </c>
      <c r="F1195" s="5" t="s">
        <v>3509</v>
      </c>
      <c r="G1195" s="5"/>
      <c r="H1195" s="5"/>
      <c r="I1195" s="5" t="s">
        <v>3483</v>
      </c>
      <c r="J1195" s="5" t="s">
        <v>6690</v>
      </c>
      <c r="K1195" s="5" t="s">
        <v>6729</v>
      </c>
      <c r="L1195" s="5">
        <v>400</v>
      </c>
      <c r="M1195" s="5">
        <v>1</v>
      </c>
      <c r="N1195" s="5" t="s">
        <v>3510</v>
      </c>
      <c r="O1195" s="5"/>
      <c r="P1195" s="5"/>
      <c r="Q1195" s="5">
        <v>1</v>
      </c>
      <c r="R1195" s="5"/>
      <c r="S1195" s="5">
        <v>425</v>
      </c>
      <c r="T1195" s="5">
        <v>425</v>
      </c>
      <c r="U1195" s="5">
        <v>425</v>
      </c>
    </row>
    <row r="1196" spans="1:21" x14ac:dyDescent="0.25">
      <c r="A1196" s="5" t="s">
        <v>6792</v>
      </c>
      <c r="B1196" s="5" t="s">
        <v>6793</v>
      </c>
      <c r="C1196" s="5"/>
      <c r="D1196" s="5" t="s">
        <v>6688</v>
      </c>
      <c r="E1196" s="5" t="s">
        <v>6728</v>
      </c>
      <c r="F1196" s="5" t="s">
        <v>6752</v>
      </c>
      <c r="G1196" s="5"/>
      <c r="H1196" s="5"/>
      <c r="I1196" s="5" t="s">
        <v>3483</v>
      </c>
      <c r="J1196" s="5" t="s">
        <v>6690</v>
      </c>
      <c r="K1196" s="5" t="s">
        <v>6729</v>
      </c>
      <c r="L1196" s="5">
        <v>400</v>
      </c>
      <c r="M1196" s="5">
        <v>1</v>
      </c>
      <c r="N1196" s="5" t="s">
        <v>6753</v>
      </c>
      <c r="O1196" s="5"/>
      <c r="P1196" s="5"/>
      <c r="Q1196" s="5">
        <v>1</v>
      </c>
      <c r="R1196" s="5"/>
      <c r="S1196" s="5">
        <v>467</v>
      </c>
      <c r="T1196" s="5">
        <v>467</v>
      </c>
      <c r="U1196" s="5">
        <v>467</v>
      </c>
    </row>
    <row r="1197" spans="1:21" x14ac:dyDescent="0.25">
      <c r="A1197" s="5" t="s">
        <v>6794</v>
      </c>
      <c r="B1197" s="5" t="s">
        <v>6795</v>
      </c>
      <c r="C1197" s="5"/>
      <c r="D1197" s="5" t="s">
        <v>6688</v>
      </c>
      <c r="E1197" s="5" t="s">
        <v>6728</v>
      </c>
      <c r="F1197" s="5" t="s">
        <v>3489</v>
      </c>
      <c r="G1197" s="5"/>
      <c r="H1197" s="5"/>
      <c r="I1197" s="5" t="s">
        <v>3483</v>
      </c>
      <c r="J1197" s="5" t="s">
        <v>6690</v>
      </c>
      <c r="K1197" s="5" t="s">
        <v>6729</v>
      </c>
      <c r="L1197" s="5">
        <v>400</v>
      </c>
      <c r="M1197" s="5">
        <v>1</v>
      </c>
      <c r="N1197" s="5" t="s">
        <v>3490</v>
      </c>
      <c r="O1197" s="5"/>
      <c r="P1197" s="5"/>
      <c r="Q1197" s="5">
        <v>1</v>
      </c>
      <c r="R1197" s="5"/>
      <c r="S1197" s="5">
        <v>455</v>
      </c>
      <c r="T1197" s="5">
        <v>455</v>
      </c>
      <c r="U1197" s="5">
        <v>455</v>
      </c>
    </row>
    <row r="1198" spans="1:21" x14ac:dyDescent="0.25">
      <c r="A1198" s="5" t="s">
        <v>6796</v>
      </c>
      <c r="B1198" s="5" t="s">
        <v>6797</v>
      </c>
      <c r="C1198" s="5"/>
      <c r="D1198" s="5" t="s">
        <v>6688</v>
      </c>
      <c r="E1198" s="5" t="s">
        <v>6728</v>
      </c>
      <c r="F1198" s="5" t="s">
        <v>3509</v>
      </c>
      <c r="G1198" s="5"/>
      <c r="H1198" s="5"/>
      <c r="I1198" s="5" t="s">
        <v>3483</v>
      </c>
      <c r="J1198" s="5" t="s">
        <v>6690</v>
      </c>
      <c r="K1198" s="5" t="s">
        <v>6729</v>
      </c>
      <c r="L1198" s="5">
        <v>450</v>
      </c>
      <c r="M1198" s="5">
        <v>1</v>
      </c>
      <c r="N1198" s="5" t="s">
        <v>3510</v>
      </c>
      <c r="O1198" s="5"/>
      <c r="P1198" s="5"/>
      <c r="Q1198" s="5">
        <v>1</v>
      </c>
      <c r="R1198" s="5"/>
      <c r="S1198" s="5">
        <v>485</v>
      </c>
      <c r="T1198" s="5">
        <v>485</v>
      </c>
      <c r="U1198" s="5">
        <v>485</v>
      </c>
    </row>
    <row r="1199" spans="1:21" x14ac:dyDescent="0.25">
      <c r="A1199" s="5" t="s">
        <v>6798</v>
      </c>
      <c r="B1199" s="5" t="s">
        <v>6799</v>
      </c>
      <c r="C1199" s="5"/>
      <c r="D1199" s="5" t="s">
        <v>6688</v>
      </c>
      <c r="E1199" s="5" t="s">
        <v>6728</v>
      </c>
      <c r="F1199" s="5" t="s">
        <v>6752</v>
      </c>
      <c r="G1199" s="5"/>
      <c r="H1199" s="5"/>
      <c r="I1199" s="5" t="s">
        <v>3483</v>
      </c>
      <c r="J1199" s="5" t="s">
        <v>6690</v>
      </c>
      <c r="K1199" s="5" t="s">
        <v>6729</v>
      </c>
      <c r="L1199" s="5">
        <v>450</v>
      </c>
      <c r="M1199" s="5">
        <v>1</v>
      </c>
      <c r="N1199" s="5" t="s">
        <v>6753</v>
      </c>
      <c r="O1199" s="5"/>
      <c r="P1199" s="5"/>
      <c r="Q1199" s="5">
        <v>1</v>
      </c>
      <c r="R1199" s="5"/>
      <c r="S1199" s="5">
        <v>530</v>
      </c>
      <c r="T1199" s="5">
        <v>530</v>
      </c>
      <c r="U1199" s="5">
        <v>530</v>
      </c>
    </row>
    <row r="1200" spans="1:21" x14ac:dyDescent="0.25">
      <c r="A1200" s="5" t="s">
        <v>6800</v>
      </c>
      <c r="B1200" s="5" t="s">
        <v>6801</v>
      </c>
      <c r="C1200" s="5"/>
      <c r="D1200" s="5" t="s">
        <v>6688</v>
      </c>
      <c r="E1200" s="5" t="s">
        <v>6728</v>
      </c>
      <c r="F1200" s="5" t="s">
        <v>3489</v>
      </c>
      <c r="G1200" s="5"/>
      <c r="H1200" s="5"/>
      <c r="I1200" s="5" t="s">
        <v>3483</v>
      </c>
      <c r="J1200" s="5" t="s">
        <v>6690</v>
      </c>
      <c r="K1200" s="5" t="s">
        <v>6729</v>
      </c>
      <c r="L1200" s="5">
        <v>450</v>
      </c>
      <c r="M1200" s="5">
        <v>1</v>
      </c>
      <c r="N1200" s="5" t="s">
        <v>3490</v>
      </c>
      <c r="O1200" s="5"/>
      <c r="P1200" s="5"/>
      <c r="Q1200" s="5">
        <v>1</v>
      </c>
      <c r="R1200" s="5"/>
      <c r="S1200" s="5">
        <v>514</v>
      </c>
      <c r="T1200" s="5">
        <v>514</v>
      </c>
      <c r="U1200" s="5">
        <v>514</v>
      </c>
    </row>
    <row r="1201" spans="1:21" x14ac:dyDescent="0.25">
      <c r="A1201" s="5" t="s">
        <v>6802</v>
      </c>
      <c r="B1201" s="5" t="s">
        <v>6803</v>
      </c>
      <c r="C1201" s="5"/>
      <c r="D1201" s="5" t="s">
        <v>6688</v>
      </c>
      <c r="E1201" s="5" t="s">
        <v>6728</v>
      </c>
      <c r="F1201" s="5" t="s">
        <v>3489</v>
      </c>
      <c r="G1201" s="5"/>
      <c r="H1201" s="5"/>
      <c r="I1201" s="5" t="s">
        <v>3483</v>
      </c>
      <c r="J1201" s="5" t="s">
        <v>6690</v>
      </c>
      <c r="K1201" s="5" t="s">
        <v>6729</v>
      </c>
      <c r="L1201" s="5">
        <v>50</v>
      </c>
      <c r="M1201" s="5">
        <v>1</v>
      </c>
      <c r="N1201" s="5" t="s">
        <v>3490</v>
      </c>
      <c r="O1201" s="5"/>
      <c r="P1201" s="5"/>
      <c r="Q1201" s="5">
        <v>1</v>
      </c>
      <c r="R1201" s="5"/>
      <c r="S1201" s="5">
        <v>68</v>
      </c>
      <c r="T1201" s="5">
        <v>68</v>
      </c>
      <c r="U1201" s="5">
        <v>68</v>
      </c>
    </row>
    <row r="1202" spans="1:21" x14ac:dyDescent="0.25">
      <c r="A1202" s="5" t="s">
        <v>6806</v>
      </c>
      <c r="B1202" s="5" t="s">
        <v>6807</v>
      </c>
      <c r="C1202" s="5"/>
      <c r="D1202" s="5" t="s">
        <v>6688</v>
      </c>
      <c r="E1202" s="5" t="s">
        <v>6728</v>
      </c>
      <c r="F1202" s="5" t="s">
        <v>3489</v>
      </c>
      <c r="G1202" s="5"/>
      <c r="H1202" s="5"/>
      <c r="I1202" s="5" t="s">
        <v>3483</v>
      </c>
      <c r="J1202" s="5" t="s">
        <v>6690</v>
      </c>
      <c r="K1202" s="5" t="s">
        <v>6729</v>
      </c>
      <c r="L1202" s="5">
        <v>70</v>
      </c>
      <c r="M1202" s="5">
        <v>1</v>
      </c>
      <c r="N1202" s="5" t="s">
        <v>3490</v>
      </c>
      <c r="O1202" s="5"/>
      <c r="P1202" s="5"/>
      <c r="Q1202" s="5">
        <v>1</v>
      </c>
      <c r="R1202" s="5"/>
      <c r="S1202" s="5">
        <v>90</v>
      </c>
      <c r="T1202" s="5">
        <v>90</v>
      </c>
      <c r="U1202" s="5">
        <v>90</v>
      </c>
    </row>
    <row r="1203" spans="1:21" x14ac:dyDescent="0.25">
      <c r="A1203" s="5" t="s">
        <v>6808</v>
      </c>
      <c r="B1203" s="5" t="s">
        <v>6809</v>
      </c>
      <c r="C1203" s="5"/>
      <c r="D1203" s="5" t="s">
        <v>6688</v>
      </c>
      <c r="E1203" s="5" t="s">
        <v>6728</v>
      </c>
      <c r="F1203" s="5" t="s">
        <v>3489</v>
      </c>
      <c r="G1203" s="5"/>
      <c r="H1203" s="5"/>
      <c r="I1203" s="5" t="s">
        <v>3483</v>
      </c>
      <c r="J1203" s="5" t="s">
        <v>6690</v>
      </c>
      <c r="K1203" s="5" t="s">
        <v>6729</v>
      </c>
      <c r="L1203" s="5">
        <v>750</v>
      </c>
      <c r="M1203" s="5">
        <v>1</v>
      </c>
      <c r="N1203" s="5" t="s">
        <v>3490</v>
      </c>
      <c r="O1203" s="5"/>
      <c r="P1203" s="5"/>
      <c r="Q1203" s="5">
        <v>1</v>
      </c>
      <c r="R1203" s="5"/>
      <c r="S1203" s="5">
        <v>818</v>
      </c>
      <c r="T1203" s="5">
        <v>818</v>
      </c>
      <c r="U1203" s="5">
        <v>818</v>
      </c>
    </row>
    <row r="1204" spans="1:21" x14ac:dyDescent="0.25">
      <c r="A1204" s="5" t="s">
        <v>6810</v>
      </c>
      <c r="B1204" s="5" t="s">
        <v>6811</v>
      </c>
      <c r="C1204" s="5"/>
      <c r="D1204" s="5" t="s">
        <v>6688</v>
      </c>
      <c r="E1204" s="5" t="s">
        <v>6728</v>
      </c>
      <c r="F1204" s="5" t="s">
        <v>3489</v>
      </c>
      <c r="G1204" s="5"/>
      <c r="H1204" s="5"/>
      <c r="I1204" s="5" t="s">
        <v>3483</v>
      </c>
      <c r="J1204" s="5" t="s">
        <v>6690</v>
      </c>
      <c r="K1204" s="5" t="s">
        <v>6729</v>
      </c>
      <c r="L1204" s="5">
        <v>875</v>
      </c>
      <c r="M1204" s="5">
        <v>1</v>
      </c>
      <c r="N1204" s="5" t="s">
        <v>3490</v>
      </c>
      <c r="O1204" s="5"/>
      <c r="P1204" s="5"/>
      <c r="Q1204" s="5">
        <v>1</v>
      </c>
      <c r="R1204" s="5"/>
      <c r="S1204" s="5">
        <v>940</v>
      </c>
      <c r="T1204" s="5">
        <v>940</v>
      </c>
      <c r="U1204" s="5">
        <v>940</v>
      </c>
    </row>
    <row r="1205" spans="1:21" x14ac:dyDescent="0.25">
      <c r="A1205" s="5" t="s">
        <v>6812</v>
      </c>
      <c r="B1205" s="5" t="s">
        <v>6813</v>
      </c>
      <c r="C1205" s="5"/>
      <c r="D1205" s="5" t="s">
        <v>6814</v>
      </c>
      <c r="E1205" s="5"/>
      <c r="F1205" s="5" t="s">
        <v>6689</v>
      </c>
      <c r="G1205" s="5"/>
      <c r="H1205" s="5"/>
      <c r="I1205" s="5" t="s">
        <v>3483</v>
      </c>
      <c r="J1205" s="5" t="s">
        <v>6815</v>
      </c>
      <c r="K1205" s="5" t="s">
        <v>3485</v>
      </c>
      <c r="L1205" s="5">
        <v>1000</v>
      </c>
      <c r="M1205" s="5">
        <v>1</v>
      </c>
      <c r="N1205" s="5" t="s">
        <v>6691</v>
      </c>
      <c r="O1205" s="5"/>
      <c r="P1205" s="5"/>
      <c r="Q1205" s="5">
        <v>1</v>
      </c>
      <c r="R1205" s="5"/>
      <c r="S1205" s="5">
        <v>1100</v>
      </c>
      <c r="T1205" s="5">
        <v>1100</v>
      </c>
      <c r="U1205" s="5">
        <v>1100</v>
      </c>
    </row>
    <row r="1206" spans="1:21" x14ac:dyDescent="0.25">
      <c r="A1206" s="5" t="s">
        <v>6816</v>
      </c>
      <c r="B1206" s="5" t="s">
        <v>6817</v>
      </c>
      <c r="C1206" s="5"/>
      <c r="D1206" s="5" t="s">
        <v>6814</v>
      </c>
      <c r="E1206" s="5"/>
      <c r="F1206" s="5" t="s">
        <v>6689</v>
      </c>
      <c r="G1206" s="5"/>
      <c r="H1206" s="5"/>
      <c r="I1206" s="5" t="s">
        <v>3483</v>
      </c>
      <c r="J1206" s="5" t="s">
        <v>6815</v>
      </c>
      <c r="K1206" s="5" t="s">
        <v>3485</v>
      </c>
      <c r="L1206" s="5">
        <v>100</v>
      </c>
      <c r="M1206" s="5">
        <v>1</v>
      </c>
      <c r="N1206" s="5" t="s">
        <v>6691</v>
      </c>
      <c r="O1206" s="5"/>
      <c r="P1206" s="5"/>
      <c r="Q1206" s="5">
        <v>1</v>
      </c>
      <c r="R1206" s="5"/>
      <c r="S1206" s="5">
        <v>125</v>
      </c>
      <c r="T1206" s="5">
        <v>125</v>
      </c>
      <c r="U1206" s="5">
        <v>125</v>
      </c>
    </row>
    <row r="1207" spans="1:21" x14ac:dyDescent="0.25">
      <c r="A1207" s="5" t="s">
        <v>6818</v>
      </c>
      <c r="B1207" s="5" t="s">
        <v>6819</v>
      </c>
      <c r="C1207" s="5"/>
      <c r="D1207" s="5" t="s">
        <v>6814</v>
      </c>
      <c r="E1207" s="5"/>
      <c r="F1207" s="5" t="s">
        <v>6689</v>
      </c>
      <c r="G1207" s="5"/>
      <c r="H1207" s="5"/>
      <c r="I1207" s="5" t="s">
        <v>3483</v>
      </c>
      <c r="J1207" s="5" t="s">
        <v>6815</v>
      </c>
      <c r="K1207" s="5" t="s">
        <v>3485</v>
      </c>
      <c r="L1207" s="5">
        <v>160</v>
      </c>
      <c r="M1207" s="5">
        <v>1</v>
      </c>
      <c r="N1207" s="5" t="s">
        <v>6691</v>
      </c>
      <c r="O1207" s="5"/>
      <c r="P1207" s="5"/>
      <c r="Q1207" s="5">
        <v>1</v>
      </c>
      <c r="R1207" s="5"/>
      <c r="S1207" s="5">
        <v>160</v>
      </c>
      <c r="T1207" s="5">
        <v>160</v>
      </c>
      <c r="U1207" s="5">
        <v>160</v>
      </c>
    </row>
    <row r="1208" spans="1:21" x14ac:dyDescent="0.25">
      <c r="A1208" s="5" t="s">
        <v>6820</v>
      </c>
      <c r="B1208" s="5" t="s">
        <v>6821</v>
      </c>
      <c r="C1208" s="5"/>
      <c r="D1208" s="5" t="s">
        <v>6814</v>
      </c>
      <c r="E1208" s="5"/>
      <c r="F1208" s="5" t="s">
        <v>6689</v>
      </c>
      <c r="G1208" s="5"/>
      <c r="H1208" s="5"/>
      <c r="I1208" s="5" t="s">
        <v>3483</v>
      </c>
      <c r="J1208" s="5" t="s">
        <v>6815</v>
      </c>
      <c r="K1208" s="5" t="s">
        <v>3485</v>
      </c>
      <c r="L1208" s="5">
        <v>175</v>
      </c>
      <c r="M1208" s="5">
        <v>1</v>
      </c>
      <c r="N1208" s="5" t="s">
        <v>6691</v>
      </c>
      <c r="O1208" s="5"/>
      <c r="P1208" s="5"/>
      <c r="Q1208" s="5">
        <v>1</v>
      </c>
      <c r="R1208" s="5"/>
      <c r="S1208" s="5">
        <v>205</v>
      </c>
      <c r="T1208" s="5">
        <v>205</v>
      </c>
      <c r="U1208" s="5">
        <v>205</v>
      </c>
    </row>
    <row r="1209" spans="1:21" x14ac:dyDescent="0.25">
      <c r="A1209" s="5" t="s">
        <v>6822</v>
      </c>
      <c r="B1209" s="5" t="s">
        <v>6823</v>
      </c>
      <c r="C1209" s="5"/>
      <c r="D1209" s="5" t="s">
        <v>6814</v>
      </c>
      <c r="E1209" s="5"/>
      <c r="F1209" s="5" t="s">
        <v>6689</v>
      </c>
      <c r="G1209" s="5"/>
      <c r="H1209" s="5"/>
      <c r="I1209" s="5" t="s">
        <v>3483</v>
      </c>
      <c r="J1209" s="5" t="s">
        <v>6815</v>
      </c>
      <c r="K1209" s="5" t="s">
        <v>3485</v>
      </c>
      <c r="L1209" s="5">
        <v>250</v>
      </c>
      <c r="M1209" s="5">
        <v>1</v>
      </c>
      <c r="N1209" s="5" t="s">
        <v>6691</v>
      </c>
      <c r="O1209" s="5"/>
      <c r="P1209" s="5"/>
      <c r="Q1209" s="5">
        <v>1</v>
      </c>
      <c r="R1209" s="5"/>
      <c r="S1209" s="5">
        <v>290</v>
      </c>
      <c r="T1209" s="5">
        <v>290</v>
      </c>
      <c r="U1209" s="5">
        <v>290</v>
      </c>
    </row>
    <row r="1210" spans="1:21" x14ac:dyDescent="0.25">
      <c r="A1210" s="5" t="s">
        <v>6824</v>
      </c>
      <c r="B1210" s="5" t="s">
        <v>6825</v>
      </c>
      <c r="C1210" s="5"/>
      <c r="D1210" s="5" t="s">
        <v>6814</v>
      </c>
      <c r="E1210" s="5"/>
      <c r="F1210" s="5" t="s">
        <v>6689</v>
      </c>
      <c r="G1210" s="5"/>
      <c r="H1210" s="5"/>
      <c r="I1210" s="5" t="s">
        <v>3483</v>
      </c>
      <c r="J1210" s="5" t="s">
        <v>6815</v>
      </c>
      <c r="K1210" s="5" t="s">
        <v>3485</v>
      </c>
      <c r="L1210" s="5">
        <v>400</v>
      </c>
      <c r="M1210" s="5">
        <v>2</v>
      </c>
      <c r="N1210" s="5" t="s">
        <v>6691</v>
      </c>
      <c r="O1210" s="5"/>
      <c r="P1210" s="5"/>
      <c r="Q1210" s="5">
        <v>1</v>
      </c>
      <c r="R1210" s="5"/>
      <c r="S1210" s="5">
        <v>910</v>
      </c>
      <c r="T1210" s="5">
        <v>910</v>
      </c>
      <c r="U1210" s="5">
        <v>910</v>
      </c>
    </row>
    <row r="1211" spans="1:21" x14ac:dyDescent="0.25">
      <c r="A1211" s="5" t="s">
        <v>6826</v>
      </c>
      <c r="B1211" s="5" t="s">
        <v>6827</v>
      </c>
      <c r="C1211" s="5"/>
      <c r="D1211" s="5" t="s">
        <v>6814</v>
      </c>
      <c r="E1211" s="5"/>
      <c r="F1211" s="5" t="s">
        <v>6689</v>
      </c>
      <c r="G1211" s="5"/>
      <c r="H1211" s="5"/>
      <c r="I1211" s="5" t="s">
        <v>3483</v>
      </c>
      <c r="J1211" s="5" t="s">
        <v>6815</v>
      </c>
      <c r="K1211" s="5" t="s">
        <v>3485</v>
      </c>
      <c r="L1211" s="5">
        <v>400</v>
      </c>
      <c r="M1211" s="5">
        <v>1</v>
      </c>
      <c r="N1211" s="5" t="s">
        <v>6691</v>
      </c>
      <c r="O1211" s="5"/>
      <c r="P1211" s="5"/>
      <c r="Q1211" s="5">
        <v>1</v>
      </c>
      <c r="R1211" s="5"/>
      <c r="S1211" s="5">
        <v>455</v>
      </c>
      <c r="T1211" s="5">
        <v>455</v>
      </c>
      <c r="U1211" s="5">
        <v>455</v>
      </c>
    </row>
    <row r="1212" spans="1:21" x14ac:dyDescent="0.25">
      <c r="A1212" s="5" t="s">
        <v>6828</v>
      </c>
      <c r="B1212" s="5" t="s">
        <v>6829</v>
      </c>
      <c r="C1212" s="5"/>
      <c r="D1212" s="5" t="s">
        <v>6814</v>
      </c>
      <c r="E1212" s="5"/>
      <c r="F1212" s="5" t="s">
        <v>6689</v>
      </c>
      <c r="G1212" s="5"/>
      <c r="H1212" s="5"/>
      <c r="I1212" s="5" t="s">
        <v>3483</v>
      </c>
      <c r="J1212" s="5" t="s">
        <v>6815</v>
      </c>
      <c r="K1212" s="5" t="s">
        <v>3485</v>
      </c>
      <c r="L1212" s="5">
        <v>40</v>
      </c>
      <c r="M1212" s="5">
        <v>1</v>
      </c>
      <c r="N1212" s="5" t="s">
        <v>6691</v>
      </c>
      <c r="O1212" s="5"/>
      <c r="P1212" s="5"/>
      <c r="Q1212" s="5">
        <v>1</v>
      </c>
      <c r="R1212" s="5"/>
      <c r="S1212" s="5">
        <v>50</v>
      </c>
      <c r="T1212" s="5">
        <v>50</v>
      </c>
      <c r="U1212" s="5">
        <v>50</v>
      </c>
    </row>
    <row r="1213" spans="1:21" x14ac:dyDescent="0.25">
      <c r="A1213" s="5" t="s">
        <v>6830</v>
      </c>
      <c r="B1213" s="5" t="s">
        <v>6831</v>
      </c>
      <c r="C1213" s="5"/>
      <c r="D1213" s="5" t="s">
        <v>6814</v>
      </c>
      <c r="E1213" s="5"/>
      <c r="F1213" s="5" t="s">
        <v>6689</v>
      </c>
      <c r="G1213" s="5"/>
      <c r="H1213" s="5"/>
      <c r="I1213" s="5" t="s">
        <v>3483</v>
      </c>
      <c r="J1213" s="5" t="s">
        <v>6815</v>
      </c>
      <c r="K1213" s="5" t="s">
        <v>3485</v>
      </c>
      <c r="L1213" s="5">
        <v>50</v>
      </c>
      <c r="M1213" s="5">
        <v>1</v>
      </c>
      <c r="N1213" s="5" t="s">
        <v>6691</v>
      </c>
      <c r="O1213" s="5"/>
      <c r="P1213" s="5"/>
      <c r="Q1213" s="5">
        <v>1</v>
      </c>
      <c r="R1213" s="5"/>
      <c r="S1213" s="5">
        <v>74</v>
      </c>
      <c r="T1213" s="5">
        <v>74</v>
      </c>
      <c r="U1213" s="5">
        <v>74</v>
      </c>
    </row>
    <row r="1214" spans="1:21" x14ac:dyDescent="0.25">
      <c r="A1214" s="5" t="s">
        <v>6832</v>
      </c>
      <c r="B1214" s="5" t="s">
        <v>6833</v>
      </c>
      <c r="C1214" s="5"/>
      <c r="D1214" s="5" t="s">
        <v>6814</v>
      </c>
      <c r="E1214" s="5"/>
      <c r="F1214" s="5" t="s">
        <v>6689</v>
      </c>
      <c r="G1214" s="5"/>
      <c r="H1214" s="5"/>
      <c r="I1214" s="5" t="s">
        <v>3483</v>
      </c>
      <c r="J1214" s="5" t="s">
        <v>6815</v>
      </c>
      <c r="K1214" s="5" t="s">
        <v>3485</v>
      </c>
      <c r="L1214" s="5">
        <v>700</v>
      </c>
      <c r="M1214" s="5">
        <v>1</v>
      </c>
      <c r="N1214" s="5" t="s">
        <v>6691</v>
      </c>
      <c r="O1214" s="5"/>
      <c r="P1214" s="5"/>
      <c r="Q1214" s="5">
        <v>1</v>
      </c>
      <c r="R1214" s="5"/>
      <c r="S1214" s="5">
        <v>780</v>
      </c>
      <c r="T1214" s="5">
        <v>780</v>
      </c>
      <c r="U1214" s="5">
        <v>780</v>
      </c>
    </row>
    <row r="1215" spans="1:21" x14ac:dyDescent="0.25">
      <c r="A1215" s="5" t="s">
        <v>6834</v>
      </c>
      <c r="B1215" s="5" t="s">
        <v>6835</v>
      </c>
      <c r="C1215" s="5"/>
      <c r="D1215" s="5" t="s">
        <v>6814</v>
      </c>
      <c r="E1215" s="5"/>
      <c r="F1215" s="5" t="s">
        <v>6689</v>
      </c>
      <c r="G1215" s="5"/>
      <c r="H1215" s="5"/>
      <c r="I1215" s="5" t="s">
        <v>3483</v>
      </c>
      <c r="J1215" s="5" t="s">
        <v>6815</v>
      </c>
      <c r="K1215" s="5" t="s">
        <v>3485</v>
      </c>
      <c r="L1215" s="5">
        <v>75</v>
      </c>
      <c r="M1215" s="5">
        <v>1</v>
      </c>
      <c r="N1215" s="5" t="s">
        <v>6691</v>
      </c>
      <c r="O1215" s="5"/>
      <c r="P1215" s="5"/>
      <c r="Q1215" s="5">
        <v>1</v>
      </c>
      <c r="R1215" s="5"/>
      <c r="S1215" s="5">
        <v>93</v>
      </c>
      <c r="T1215" s="5">
        <v>93</v>
      </c>
      <c r="U1215" s="5">
        <v>93</v>
      </c>
    </row>
    <row r="1216" spans="1:21" x14ac:dyDescent="0.25">
      <c r="A1216" s="5" t="s">
        <v>7366</v>
      </c>
      <c r="B1216" s="5" t="s">
        <v>7367</v>
      </c>
      <c r="C1216" s="5" t="s">
        <v>3548</v>
      </c>
      <c r="D1216" s="5" t="s">
        <v>3782</v>
      </c>
      <c r="E1216" s="5" t="s">
        <v>7368</v>
      </c>
      <c r="F1216" s="5" t="s">
        <v>5618</v>
      </c>
      <c r="G1216" s="5" t="s">
        <v>3501</v>
      </c>
      <c r="H1216" s="5"/>
      <c r="I1216" s="5" t="s">
        <v>3448</v>
      </c>
      <c r="J1216" s="5" t="s">
        <v>3783</v>
      </c>
      <c r="K1216" s="5" t="s">
        <v>7369</v>
      </c>
      <c r="L1216" s="5">
        <v>25</v>
      </c>
      <c r="M1216" s="5">
        <v>2</v>
      </c>
      <c r="N1216" s="5" t="s">
        <v>5620</v>
      </c>
      <c r="O1216" s="5" t="s">
        <v>5621</v>
      </c>
      <c r="P1216" s="5">
        <v>4</v>
      </c>
      <c r="Q1216" s="5">
        <v>1</v>
      </c>
      <c r="R1216" s="5"/>
      <c r="S1216" s="5">
        <v>56</v>
      </c>
      <c r="T1216" s="5">
        <v>56</v>
      </c>
      <c r="U1216" s="5">
        <v>56</v>
      </c>
    </row>
    <row r="1217" spans="1:21" x14ac:dyDescent="0.25">
      <c r="A1217" s="5" t="s">
        <v>7370</v>
      </c>
      <c r="B1217" s="5" t="s">
        <v>7371</v>
      </c>
      <c r="C1217" s="5" t="s">
        <v>3548</v>
      </c>
      <c r="D1217" s="5" t="s">
        <v>3782</v>
      </c>
      <c r="E1217" s="5" t="s">
        <v>7368</v>
      </c>
      <c r="F1217" s="5" t="s">
        <v>5618</v>
      </c>
      <c r="G1217" s="5" t="s">
        <v>3501</v>
      </c>
      <c r="H1217" s="5"/>
      <c r="I1217" s="5" t="s">
        <v>3448</v>
      </c>
      <c r="J1217" s="5" t="s">
        <v>3783</v>
      </c>
      <c r="K1217" s="5" t="s">
        <v>7369</v>
      </c>
      <c r="L1217" s="5">
        <v>25</v>
      </c>
      <c r="M1217" s="5">
        <v>3</v>
      </c>
      <c r="N1217" s="5" t="s">
        <v>5620</v>
      </c>
      <c r="O1217" s="5" t="s">
        <v>5621</v>
      </c>
      <c r="P1217" s="5">
        <v>4</v>
      </c>
      <c r="Q1217" s="5">
        <v>1</v>
      </c>
      <c r="R1217" s="5"/>
      <c r="S1217" s="5">
        <v>86</v>
      </c>
      <c r="T1217" s="5">
        <v>86</v>
      </c>
      <c r="U1217" s="5">
        <v>86</v>
      </c>
    </row>
    <row r="1218" spans="1:21" x14ac:dyDescent="0.25">
      <c r="A1218" s="5" t="s">
        <v>7372</v>
      </c>
      <c r="B1218" s="5" t="s">
        <v>7373</v>
      </c>
      <c r="C1218" s="5" t="s">
        <v>3548</v>
      </c>
      <c r="D1218" s="5" t="s">
        <v>3782</v>
      </c>
      <c r="E1218" s="5" t="s">
        <v>7368</v>
      </c>
      <c r="F1218" s="5" t="s">
        <v>5618</v>
      </c>
      <c r="G1218" s="5" t="s">
        <v>3501</v>
      </c>
      <c r="H1218" s="5"/>
      <c r="I1218" s="5" t="s">
        <v>3448</v>
      </c>
      <c r="J1218" s="5" t="s">
        <v>3783</v>
      </c>
      <c r="K1218" s="5" t="s">
        <v>7369</v>
      </c>
      <c r="L1218" s="5">
        <v>25</v>
      </c>
      <c r="M1218" s="5">
        <v>1</v>
      </c>
      <c r="N1218" s="5" t="s">
        <v>5620</v>
      </c>
      <c r="O1218" s="5" t="s">
        <v>5621</v>
      </c>
      <c r="P1218" s="5">
        <v>4</v>
      </c>
      <c r="Q1218" s="5">
        <v>1</v>
      </c>
      <c r="R1218" s="5"/>
      <c r="S1218" s="5">
        <v>30</v>
      </c>
      <c r="T1218" s="5">
        <v>30</v>
      </c>
      <c r="U1218" s="5">
        <v>30</v>
      </c>
    </row>
    <row r="1219" spans="1:21" x14ac:dyDescent="0.25">
      <c r="A1219" s="5" t="s">
        <v>7374</v>
      </c>
      <c r="B1219" s="5" t="s">
        <v>7375</v>
      </c>
      <c r="C1219" s="5" t="s">
        <v>3548</v>
      </c>
      <c r="D1219" s="5" t="s">
        <v>3782</v>
      </c>
      <c r="E1219" s="5" t="s">
        <v>7368</v>
      </c>
      <c r="F1219" s="5" t="s">
        <v>5618</v>
      </c>
      <c r="G1219" s="5" t="s">
        <v>3501</v>
      </c>
      <c r="H1219" s="5"/>
      <c r="I1219" s="5" t="s">
        <v>3448</v>
      </c>
      <c r="J1219" s="5" t="s">
        <v>3783</v>
      </c>
      <c r="K1219" s="5" t="s">
        <v>7369</v>
      </c>
      <c r="L1219" s="5">
        <v>25</v>
      </c>
      <c r="M1219" s="5">
        <v>4</v>
      </c>
      <c r="N1219" s="5" t="s">
        <v>5620</v>
      </c>
      <c r="O1219" s="5" t="s">
        <v>5621</v>
      </c>
      <c r="P1219" s="5">
        <v>4</v>
      </c>
      <c r="Q1219" s="5">
        <v>1</v>
      </c>
      <c r="R1219" s="5"/>
      <c r="S1219" s="5">
        <v>111</v>
      </c>
      <c r="T1219" s="5">
        <v>111</v>
      </c>
      <c r="U1219" s="5">
        <v>111</v>
      </c>
    </row>
    <row r="1220" spans="1:21" x14ac:dyDescent="0.25">
      <c r="A1220" s="5" t="s">
        <v>7376</v>
      </c>
      <c r="B1220" s="5" t="s">
        <v>7377</v>
      </c>
      <c r="C1220" s="5" t="s">
        <v>3548</v>
      </c>
      <c r="D1220" s="5" t="s">
        <v>3782</v>
      </c>
      <c r="E1220" s="5" t="s">
        <v>7368</v>
      </c>
      <c r="F1220" s="5" t="s">
        <v>5618</v>
      </c>
      <c r="G1220" s="5" t="s">
        <v>3501</v>
      </c>
      <c r="H1220" s="5"/>
      <c r="I1220" s="5" t="s">
        <v>3448</v>
      </c>
      <c r="J1220" s="5" t="s">
        <v>3783</v>
      </c>
      <c r="K1220" s="5" t="s">
        <v>7369</v>
      </c>
      <c r="L1220" s="5">
        <v>25</v>
      </c>
      <c r="M1220" s="5">
        <v>6</v>
      </c>
      <c r="N1220" s="5" t="s">
        <v>5620</v>
      </c>
      <c r="O1220" s="5" t="s">
        <v>5621</v>
      </c>
      <c r="P1220" s="5">
        <v>4</v>
      </c>
      <c r="Q1220" s="5">
        <v>2</v>
      </c>
      <c r="R1220" s="5"/>
      <c r="S1220" s="5">
        <v>168</v>
      </c>
      <c r="T1220" s="5">
        <v>168</v>
      </c>
      <c r="U1220" s="5">
        <v>168</v>
      </c>
    </row>
    <row r="1221" spans="1:21" x14ac:dyDescent="0.25">
      <c r="A1221" s="5" t="s">
        <v>7378</v>
      </c>
      <c r="B1221" s="5" t="s">
        <v>7379</v>
      </c>
      <c r="C1221" s="5" t="s">
        <v>3548</v>
      </c>
      <c r="D1221" s="5" t="s">
        <v>3782</v>
      </c>
      <c r="E1221" s="5" t="s">
        <v>7368</v>
      </c>
      <c r="F1221" s="5" t="s">
        <v>5618</v>
      </c>
      <c r="G1221" s="5" t="s">
        <v>3501</v>
      </c>
      <c r="H1221" s="5"/>
      <c r="I1221" s="5" t="s">
        <v>3448</v>
      </c>
      <c r="J1221" s="5" t="s">
        <v>3783</v>
      </c>
      <c r="K1221" s="5" t="s">
        <v>7369</v>
      </c>
      <c r="L1221" s="5">
        <v>25</v>
      </c>
      <c r="M1221" s="5">
        <v>8</v>
      </c>
      <c r="N1221" s="5" t="s">
        <v>5620</v>
      </c>
      <c r="O1221" s="5" t="s">
        <v>5621</v>
      </c>
      <c r="P1221" s="5">
        <v>4</v>
      </c>
      <c r="Q1221" s="5">
        <v>2</v>
      </c>
      <c r="R1221" s="5"/>
      <c r="S1221" s="5">
        <v>222</v>
      </c>
      <c r="T1221" s="5">
        <v>222</v>
      </c>
      <c r="U1221" s="5">
        <v>222</v>
      </c>
    </row>
    <row r="1222" spans="1:21" x14ac:dyDescent="0.25">
      <c r="A1222" s="5" t="s">
        <v>7380</v>
      </c>
      <c r="B1222" s="5" t="s">
        <v>7381</v>
      </c>
      <c r="C1222" s="5" t="s">
        <v>3548</v>
      </c>
      <c r="D1222" s="5" t="s">
        <v>3782</v>
      </c>
      <c r="E1222" s="5" t="s">
        <v>7368</v>
      </c>
      <c r="F1222" s="5" t="s">
        <v>5618</v>
      </c>
      <c r="G1222" s="5" t="s">
        <v>3501</v>
      </c>
      <c r="H1222" s="5"/>
      <c r="I1222" s="5" t="s">
        <v>3448</v>
      </c>
      <c r="J1222" s="5" t="s">
        <v>3783</v>
      </c>
      <c r="K1222" s="5" t="s">
        <v>7369</v>
      </c>
      <c r="L1222" s="5">
        <v>25</v>
      </c>
      <c r="M1222" s="5">
        <v>10</v>
      </c>
      <c r="N1222" s="5" t="s">
        <v>5620</v>
      </c>
      <c r="O1222" s="5" t="s">
        <v>5621</v>
      </c>
      <c r="P1222" s="5">
        <v>4</v>
      </c>
      <c r="Q1222" s="5">
        <v>3</v>
      </c>
      <c r="R1222" s="5"/>
      <c r="S1222" s="5">
        <v>278</v>
      </c>
      <c r="T1222" s="5">
        <v>278</v>
      </c>
      <c r="U1222" s="5">
        <v>278</v>
      </c>
    </row>
    <row r="1223" spans="1:21" x14ac:dyDescent="0.25">
      <c r="A1223" s="5" t="s">
        <v>7382</v>
      </c>
      <c r="B1223" s="5" t="s">
        <v>7383</v>
      </c>
      <c r="C1223" s="5" t="s">
        <v>3548</v>
      </c>
      <c r="D1223" s="5" t="s">
        <v>3782</v>
      </c>
      <c r="E1223" s="5" t="s">
        <v>7368</v>
      </c>
      <c r="F1223" s="5" t="s">
        <v>5618</v>
      </c>
      <c r="G1223" s="5" t="s">
        <v>3501</v>
      </c>
      <c r="H1223" s="5"/>
      <c r="I1223" s="5" t="s">
        <v>3448</v>
      </c>
      <c r="J1223" s="5" t="s">
        <v>3783</v>
      </c>
      <c r="K1223" s="5" t="s">
        <v>7369</v>
      </c>
      <c r="L1223" s="5">
        <v>28</v>
      </c>
      <c r="M1223" s="5">
        <v>2</v>
      </c>
      <c r="N1223" s="5" t="s">
        <v>5620</v>
      </c>
      <c r="O1223" s="5" t="s">
        <v>5621</v>
      </c>
      <c r="P1223" s="5">
        <v>4</v>
      </c>
      <c r="Q1223" s="5">
        <v>1</v>
      </c>
      <c r="R1223" s="5"/>
      <c r="S1223" s="5">
        <v>65</v>
      </c>
      <c r="T1223" s="5">
        <v>65</v>
      </c>
      <c r="U1223" s="5">
        <v>65</v>
      </c>
    </row>
    <row r="1224" spans="1:21" x14ac:dyDescent="0.25">
      <c r="A1224" s="5" t="s">
        <v>7384</v>
      </c>
      <c r="B1224" s="5" t="s">
        <v>7385</v>
      </c>
      <c r="C1224" s="5" t="s">
        <v>3548</v>
      </c>
      <c r="D1224" s="5" t="s">
        <v>3782</v>
      </c>
      <c r="E1224" s="5" t="s">
        <v>7368</v>
      </c>
      <c r="F1224" s="5" t="s">
        <v>5618</v>
      </c>
      <c r="G1224" s="5" t="s">
        <v>5666</v>
      </c>
      <c r="H1224" s="5"/>
      <c r="I1224" s="5" t="s">
        <v>3448</v>
      </c>
      <c r="J1224" s="5" t="s">
        <v>3783</v>
      </c>
      <c r="K1224" s="5" t="s">
        <v>7369</v>
      </c>
      <c r="L1224" s="5">
        <v>28</v>
      </c>
      <c r="M1224" s="5">
        <v>3</v>
      </c>
      <c r="N1224" s="5" t="s">
        <v>5620</v>
      </c>
      <c r="O1224" s="5" t="s">
        <v>5621</v>
      </c>
      <c r="P1224" s="5">
        <v>4</v>
      </c>
      <c r="Q1224" s="5">
        <v>1</v>
      </c>
      <c r="R1224" s="5"/>
      <c r="S1224" s="5">
        <v>96</v>
      </c>
      <c r="T1224" s="5">
        <v>96</v>
      </c>
      <c r="U1224" s="5">
        <v>96</v>
      </c>
    </row>
    <row r="1225" spans="1:21" x14ac:dyDescent="0.25">
      <c r="A1225" s="5" t="s">
        <v>7386</v>
      </c>
      <c r="B1225" s="5" t="s">
        <v>7387</v>
      </c>
      <c r="C1225" s="5" t="s">
        <v>3548</v>
      </c>
      <c r="D1225" s="5" t="s">
        <v>3782</v>
      </c>
      <c r="E1225" s="5" t="s">
        <v>7368</v>
      </c>
      <c r="F1225" s="5" t="s">
        <v>5618</v>
      </c>
      <c r="G1225" s="5" t="s">
        <v>5666</v>
      </c>
      <c r="H1225" s="5"/>
      <c r="I1225" s="5" t="s">
        <v>3448</v>
      </c>
      <c r="J1225" s="5" t="s">
        <v>3783</v>
      </c>
      <c r="K1225" s="5" t="s">
        <v>7369</v>
      </c>
      <c r="L1225" s="5">
        <v>28</v>
      </c>
      <c r="M1225" s="5">
        <v>1</v>
      </c>
      <c r="N1225" s="5" t="s">
        <v>5620</v>
      </c>
      <c r="O1225" s="5" t="s">
        <v>5621</v>
      </c>
      <c r="P1225" s="5">
        <v>4</v>
      </c>
      <c r="Q1225" s="5">
        <v>1</v>
      </c>
      <c r="R1225" s="5"/>
      <c r="S1225" s="5">
        <v>33</v>
      </c>
      <c r="T1225" s="5">
        <v>33</v>
      </c>
      <c r="U1225" s="5">
        <v>33</v>
      </c>
    </row>
    <row r="1226" spans="1:21" x14ac:dyDescent="0.25">
      <c r="A1226" s="5" t="s">
        <v>7388</v>
      </c>
      <c r="B1226" s="5" t="s">
        <v>7389</v>
      </c>
      <c r="C1226" s="5" t="s">
        <v>3548</v>
      </c>
      <c r="D1226" s="5" t="s">
        <v>3782</v>
      </c>
      <c r="E1226" s="5" t="s">
        <v>7368</v>
      </c>
      <c r="F1226" s="5" t="s">
        <v>5618</v>
      </c>
      <c r="G1226" s="5" t="s">
        <v>5666</v>
      </c>
      <c r="H1226" s="5"/>
      <c r="I1226" s="5" t="s">
        <v>3448</v>
      </c>
      <c r="J1226" s="5" t="s">
        <v>3783</v>
      </c>
      <c r="K1226" s="5" t="s">
        <v>7369</v>
      </c>
      <c r="L1226" s="5">
        <v>28</v>
      </c>
      <c r="M1226" s="5">
        <v>4</v>
      </c>
      <c r="N1226" s="5" t="s">
        <v>5620</v>
      </c>
      <c r="O1226" s="5" t="s">
        <v>5621</v>
      </c>
      <c r="P1226" s="5">
        <v>4</v>
      </c>
      <c r="Q1226" s="5">
        <v>1</v>
      </c>
      <c r="R1226" s="5"/>
      <c r="S1226" s="5">
        <v>123</v>
      </c>
      <c r="T1226" s="5">
        <v>123</v>
      </c>
      <c r="U1226" s="5">
        <v>123</v>
      </c>
    </row>
    <row r="1227" spans="1:21" x14ac:dyDescent="0.25">
      <c r="A1227" s="5" t="s">
        <v>7390</v>
      </c>
      <c r="B1227" s="5" t="s">
        <v>7391</v>
      </c>
      <c r="C1227" s="5" t="s">
        <v>3548</v>
      </c>
      <c r="D1227" s="5" t="s">
        <v>3782</v>
      </c>
      <c r="E1227" s="5" t="s">
        <v>7368</v>
      </c>
      <c r="F1227" s="5" t="s">
        <v>5618</v>
      </c>
      <c r="G1227" s="5" t="s">
        <v>5666</v>
      </c>
      <c r="H1227" s="5"/>
      <c r="I1227" s="5" t="s">
        <v>3448</v>
      </c>
      <c r="J1227" s="5" t="s">
        <v>3783</v>
      </c>
      <c r="K1227" s="5" t="s">
        <v>7369</v>
      </c>
      <c r="L1227" s="5">
        <v>28</v>
      </c>
      <c r="M1227" s="5">
        <v>6</v>
      </c>
      <c r="N1227" s="5" t="s">
        <v>5620</v>
      </c>
      <c r="O1227" s="5" t="s">
        <v>5621</v>
      </c>
      <c r="P1227" s="5">
        <v>4</v>
      </c>
      <c r="Q1227" s="5">
        <v>2</v>
      </c>
      <c r="R1227" s="5"/>
      <c r="S1227" s="5">
        <v>195</v>
      </c>
      <c r="T1227" s="5">
        <v>195</v>
      </c>
      <c r="U1227" s="5">
        <v>195</v>
      </c>
    </row>
    <row r="1228" spans="1:21" x14ac:dyDescent="0.25">
      <c r="A1228" s="5" t="s">
        <v>7392</v>
      </c>
      <c r="B1228" s="5" t="s">
        <v>7393</v>
      </c>
      <c r="C1228" s="5" t="s">
        <v>3548</v>
      </c>
      <c r="D1228" s="5" t="s">
        <v>3782</v>
      </c>
      <c r="E1228" s="5" t="s">
        <v>7368</v>
      </c>
      <c r="F1228" s="5" t="s">
        <v>5618</v>
      </c>
      <c r="G1228" s="5" t="s">
        <v>5666</v>
      </c>
      <c r="H1228" s="5"/>
      <c r="I1228" s="5" t="s">
        <v>3448</v>
      </c>
      <c r="J1228" s="5" t="s">
        <v>3783</v>
      </c>
      <c r="K1228" s="5" t="s">
        <v>7369</v>
      </c>
      <c r="L1228" s="5">
        <v>28</v>
      </c>
      <c r="M1228" s="5">
        <v>8</v>
      </c>
      <c r="N1228" s="5" t="s">
        <v>5620</v>
      </c>
      <c r="O1228" s="5" t="s">
        <v>5621</v>
      </c>
      <c r="P1228" s="5">
        <v>4</v>
      </c>
      <c r="Q1228" s="5">
        <v>2</v>
      </c>
      <c r="R1228" s="5"/>
      <c r="S1228" s="5">
        <v>246</v>
      </c>
      <c r="T1228" s="5">
        <v>248</v>
      </c>
      <c r="U1228" s="5">
        <v>246</v>
      </c>
    </row>
    <row r="1229" spans="1:21" x14ac:dyDescent="0.25">
      <c r="A1229" s="5" t="s">
        <v>7394</v>
      </c>
      <c r="B1229" s="5" t="s">
        <v>7395</v>
      </c>
      <c r="C1229" s="5" t="s">
        <v>3548</v>
      </c>
      <c r="D1229" s="5" t="s">
        <v>3782</v>
      </c>
      <c r="E1229" s="5" t="s">
        <v>7368</v>
      </c>
      <c r="F1229" s="5" t="s">
        <v>5618</v>
      </c>
      <c r="G1229" s="5" t="s">
        <v>5666</v>
      </c>
      <c r="H1229" s="5"/>
      <c r="I1229" s="5" t="s">
        <v>3448</v>
      </c>
      <c r="J1229" s="5" t="s">
        <v>3783</v>
      </c>
      <c r="K1229" s="5" t="s">
        <v>7369</v>
      </c>
      <c r="L1229" s="5">
        <v>28</v>
      </c>
      <c r="M1229" s="5">
        <v>10</v>
      </c>
      <c r="N1229" s="5" t="s">
        <v>5620</v>
      </c>
      <c r="O1229" s="5" t="s">
        <v>5621</v>
      </c>
      <c r="P1229" s="5">
        <v>4</v>
      </c>
      <c r="Q1229" s="5">
        <v>3</v>
      </c>
      <c r="R1229" s="5"/>
      <c r="S1229" s="5">
        <v>310</v>
      </c>
      <c r="T1229" s="5">
        <v>310</v>
      </c>
      <c r="U1229" s="5">
        <v>310</v>
      </c>
    </row>
    <row r="1230" spans="1:21" x14ac:dyDescent="0.25">
      <c r="A1230" s="5" t="s">
        <v>7396</v>
      </c>
      <c r="B1230" s="5" t="s">
        <v>7397</v>
      </c>
      <c r="C1230" s="5" t="s">
        <v>3548</v>
      </c>
      <c r="D1230" s="5" t="s">
        <v>3782</v>
      </c>
      <c r="E1230" s="5" t="s">
        <v>7368</v>
      </c>
      <c r="F1230" s="5" t="s">
        <v>5618</v>
      </c>
      <c r="G1230" s="5" t="s">
        <v>5666</v>
      </c>
      <c r="H1230" s="5"/>
      <c r="I1230" s="5" t="s">
        <v>3448</v>
      </c>
      <c r="J1230" s="5" t="s">
        <v>3783</v>
      </c>
      <c r="K1230" s="5" t="s">
        <v>7369</v>
      </c>
      <c r="L1230" s="5">
        <v>32</v>
      </c>
      <c r="M1230" s="5">
        <v>2</v>
      </c>
      <c r="N1230" s="5" t="s">
        <v>5620</v>
      </c>
      <c r="O1230" s="5" t="s">
        <v>5621</v>
      </c>
      <c r="P1230" s="5">
        <v>4</v>
      </c>
      <c r="Q1230" s="5">
        <v>1</v>
      </c>
      <c r="R1230" s="5"/>
      <c r="S1230" s="5">
        <v>73</v>
      </c>
      <c r="T1230" s="5">
        <v>73</v>
      </c>
      <c r="U1230" s="5">
        <v>73</v>
      </c>
    </row>
    <row r="1231" spans="1:21" x14ac:dyDescent="0.25">
      <c r="A1231" s="5" t="s">
        <v>7398</v>
      </c>
      <c r="B1231" s="5" t="s">
        <v>7399</v>
      </c>
      <c r="C1231" s="5" t="s">
        <v>3548</v>
      </c>
      <c r="D1231" s="5" t="s">
        <v>3782</v>
      </c>
      <c r="E1231" s="5" t="s">
        <v>7368</v>
      </c>
      <c r="F1231" s="5" t="s">
        <v>5173</v>
      </c>
      <c r="G1231" s="5" t="s">
        <v>5666</v>
      </c>
      <c r="H1231" s="5"/>
      <c r="I1231" s="5" t="s">
        <v>3448</v>
      </c>
      <c r="J1231" s="5" t="s">
        <v>3783</v>
      </c>
      <c r="K1231" s="5" t="s">
        <v>7369</v>
      </c>
      <c r="L1231" s="5">
        <v>32</v>
      </c>
      <c r="M1231" s="5">
        <v>2</v>
      </c>
      <c r="N1231" s="5" t="s">
        <v>5174</v>
      </c>
      <c r="O1231" s="5" t="s">
        <v>5621</v>
      </c>
      <c r="P1231" s="5">
        <v>4</v>
      </c>
      <c r="Q1231" s="5">
        <v>1</v>
      </c>
      <c r="R1231" s="5"/>
      <c r="S1231" s="5">
        <v>73</v>
      </c>
      <c r="T1231" s="5">
        <v>73</v>
      </c>
      <c r="U1231" s="5">
        <v>73</v>
      </c>
    </row>
    <row r="1232" spans="1:21" x14ac:dyDescent="0.25">
      <c r="A1232" s="5" t="s">
        <v>7400</v>
      </c>
      <c r="B1232" s="5" t="s">
        <v>7401</v>
      </c>
      <c r="C1232" s="5" t="s">
        <v>3548</v>
      </c>
      <c r="D1232" s="5" t="s">
        <v>3782</v>
      </c>
      <c r="E1232" s="5" t="s">
        <v>7368</v>
      </c>
      <c r="F1232" s="5" t="s">
        <v>5709</v>
      </c>
      <c r="G1232" s="5" t="s">
        <v>5666</v>
      </c>
      <c r="H1232" s="5"/>
      <c r="I1232" s="5" t="s">
        <v>3448</v>
      </c>
      <c r="J1232" s="5" t="s">
        <v>3783</v>
      </c>
      <c r="K1232" s="5" t="s">
        <v>7369</v>
      </c>
      <c r="L1232" s="5">
        <v>32</v>
      </c>
      <c r="M1232" s="5">
        <v>2</v>
      </c>
      <c r="N1232" s="5" t="s">
        <v>5710</v>
      </c>
      <c r="O1232" s="5" t="s">
        <v>5621</v>
      </c>
      <c r="P1232" s="5">
        <v>4</v>
      </c>
      <c r="Q1232" s="5">
        <v>1</v>
      </c>
      <c r="R1232" s="5"/>
      <c r="S1232" s="5">
        <v>73</v>
      </c>
      <c r="T1232" s="5">
        <v>73</v>
      </c>
      <c r="U1232" s="5">
        <v>73</v>
      </c>
    </row>
    <row r="1233" spans="1:21" x14ac:dyDescent="0.25">
      <c r="A1233" s="5" t="s">
        <v>7402</v>
      </c>
      <c r="B1233" s="5" t="s">
        <v>7403</v>
      </c>
      <c r="C1233" s="5" t="s">
        <v>3548</v>
      </c>
      <c r="D1233" s="5" t="s">
        <v>3782</v>
      </c>
      <c r="E1233" s="5" t="s">
        <v>7368</v>
      </c>
      <c r="F1233" s="5" t="s">
        <v>5618</v>
      </c>
      <c r="G1233" s="5" t="s">
        <v>5666</v>
      </c>
      <c r="H1233" s="5"/>
      <c r="I1233" s="5" t="s">
        <v>3448</v>
      </c>
      <c r="J1233" s="5" t="s">
        <v>3783</v>
      </c>
      <c r="K1233" s="5" t="s">
        <v>7369</v>
      </c>
      <c r="L1233" s="5">
        <v>32</v>
      </c>
      <c r="M1233" s="5">
        <v>3</v>
      </c>
      <c r="N1233" s="5" t="s">
        <v>5620</v>
      </c>
      <c r="O1233" s="5" t="s">
        <v>5621</v>
      </c>
      <c r="P1233" s="5">
        <v>4</v>
      </c>
      <c r="Q1233" s="5">
        <v>1</v>
      </c>
      <c r="R1233" s="5"/>
      <c r="S1233" s="5">
        <v>109</v>
      </c>
      <c r="T1233" s="5">
        <v>109</v>
      </c>
      <c r="U1233" s="5">
        <v>109</v>
      </c>
    </row>
    <row r="1234" spans="1:21" x14ac:dyDescent="0.25">
      <c r="A1234" s="5" t="s">
        <v>7404</v>
      </c>
      <c r="B1234" s="5" t="s">
        <v>7405</v>
      </c>
      <c r="C1234" s="5" t="s">
        <v>3548</v>
      </c>
      <c r="D1234" s="5" t="s">
        <v>3782</v>
      </c>
      <c r="E1234" s="5" t="s">
        <v>7368</v>
      </c>
      <c r="F1234" s="5" t="s">
        <v>5173</v>
      </c>
      <c r="G1234" s="5" t="s">
        <v>5666</v>
      </c>
      <c r="H1234" s="5"/>
      <c r="I1234" s="5" t="s">
        <v>3448</v>
      </c>
      <c r="J1234" s="5" t="s">
        <v>3783</v>
      </c>
      <c r="K1234" s="5" t="s">
        <v>7369</v>
      </c>
      <c r="L1234" s="5">
        <v>32</v>
      </c>
      <c r="M1234" s="5">
        <v>3</v>
      </c>
      <c r="N1234" s="5" t="s">
        <v>5174</v>
      </c>
      <c r="O1234" s="5" t="s">
        <v>5621</v>
      </c>
      <c r="P1234" s="5">
        <v>4</v>
      </c>
      <c r="Q1234" s="5">
        <v>1</v>
      </c>
      <c r="R1234" s="5"/>
      <c r="S1234" s="5">
        <v>110</v>
      </c>
      <c r="T1234" s="5">
        <v>110</v>
      </c>
      <c r="U1234" s="5">
        <v>110</v>
      </c>
    </row>
    <row r="1235" spans="1:21" x14ac:dyDescent="0.25">
      <c r="A1235" s="5" t="s">
        <v>7406</v>
      </c>
      <c r="B1235" s="5" t="s">
        <v>7407</v>
      </c>
      <c r="C1235" s="5" t="s">
        <v>3548</v>
      </c>
      <c r="D1235" s="5" t="s">
        <v>3782</v>
      </c>
      <c r="E1235" s="5" t="s">
        <v>7368</v>
      </c>
      <c r="F1235" s="5" t="s">
        <v>5709</v>
      </c>
      <c r="G1235" s="5" t="s">
        <v>5666</v>
      </c>
      <c r="H1235" s="5"/>
      <c r="I1235" s="5" t="s">
        <v>3448</v>
      </c>
      <c r="J1235" s="5" t="s">
        <v>3783</v>
      </c>
      <c r="K1235" s="5" t="s">
        <v>7369</v>
      </c>
      <c r="L1235" s="5">
        <v>32</v>
      </c>
      <c r="M1235" s="5">
        <v>3</v>
      </c>
      <c r="N1235" s="5" t="s">
        <v>5710</v>
      </c>
      <c r="O1235" s="5" t="s">
        <v>5621</v>
      </c>
      <c r="P1235" s="5">
        <v>4</v>
      </c>
      <c r="Q1235" s="5">
        <v>1</v>
      </c>
      <c r="R1235" s="5"/>
      <c r="S1235" s="5">
        <v>110</v>
      </c>
      <c r="T1235" s="5">
        <v>110</v>
      </c>
      <c r="U1235" s="5">
        <v>110</v>
      </c>
    </row>
    <row r="1236" spans="1:21" x14ac:dyDescent="0.25">
      <c r="A1236" s="5" t="s">
        <v>7408</v>
      </c>
      <c r="B1236" s="5" t="s">
        <v>7409</v>
      </c>
      <c r="C1236" s="5" t="s">
        <v>3548</v>
      </c>
      <c r="D1236" s="5" t="s">
        <v>3782</v>
      </c>
      <c r="E1236" s="5" t="s">
        <v>7368</v>
      </c>
      <c r="F1236" s="5" t="s">
        <v>5618</v>
      </c>
      <c r="G1236" s="5" t="s">
        <v>5666</v>
      </c>
      <c r="H1236" s="5"/>
      <c r="I1236" s="5" t="s">
        <v>3448</v>
      </c>
      <c r="J1236" s="5" t="s">
        <v>3783</v>
      </c>
      <c r="K1236" s="5" t="s">
        <v>7369</v>
      </c>
      <c r="L1236" s="5">
        <v>32</v>
      </c>
      <c r="M1236" s="5">
        <v>1</v>
      </c>
      <c r="N1236" s="5" t="s">
        <v>5620</v>
      </c>
      <c r="O1236" s="5" t="s">
        <v>5621</v>
      </c>
      <c r="P1236" s="5">
        <v>4</v>
      </c>
      <c r="Q1236" s="5">
        <v>1</v>
      </c>
      <c r="R1236" s="5"/>
      <c r="S1236" s="5">
        <v>38</v>
      </c>
      <c r="T1236" s="5">
        <v>38</v>
      </c>
      <c r="U1236" s="5">
        <v>38</v>
      </c>
    </row>
    <row r="1237" spans="1:21" x14ac:dyDescent="0.25">
      <c r="A1237" s="5" t="s">
        <v>7410</v>
      </c>
      <c r="B1237" s="5" t="s">
        <v>7411</v>
      </c>
      <c r="C1237" s="5" t="s">
        <v>3548</v>
      </c>
      <c r="D1237" s="5" t="s">
        <v>3782</v>
      </c>
      <c r="E1237" s="5" t="s">
        <v>7368</v>
      </c>
      <c r="F1237" s="5" t="s">
        <v>5173</v>
      </c>
      <c r="G1237" s="5" t="s">
        <v>5672</v>
      </c>
      <c r="H1237" s="5"/>
      <c r="I1237" s="5" t="s">
        <v>3448</v>
      </c>
      <c r="J1237" s="5" t="s">
        <v>3783</v>
      </c>
      <c r="K1237" s="5" t="s">
        <v>7369</v>
      </c>
      <c r="L1237" s="5">
        <v>32</v>
      </c>
      <c r="M1237" s="5">
        <v>1</v>
      </c>
      <c r="N1237" s="5" t="s">
        <v>5174</v>
      </c>
      <c r="O1237" s="5" t="s">
        <v>5621</v>
      </c>
      <c r="P1237" s="5">
        <v>4</v>
      </c>
      <c r="Q1237" s="5">
        <v>1</v>
      </c>
      <c r="R1237" s="5"/>
      <c r="S1237" s="5">
        <v>39</v>
      </c>
      <c r="T1237" s="5">
        <v>39</v>
      </c>
      <c r="U1237" s="5">
        <v>39</v>
      </c>
    </row>
    <row r="1238" spans="1:21" x14ac:dyDescent="0.25">
      <c r="A1238" s="5" t="s">
        <v>7412</v>
      </c>
      <c r="B1238" s="5" t="s">
        <v>7413</v>
      </c>
      <c r="C1238" s="5" t="s">
        <v>3548</v>
      </c>
      <c r="D1238" s="5" t="s">
        <v>3782</v>
      </c>
      <c r="E1238" s="5" t="s">
        <v>7368</v>
      </c>
      <c r="F1238" s="5" t="s">
        <v>5709</v>
      </c>
      <c r="G1238" s="5" t="s">
        <v>5666</v>
      </c>
      <c r="H1238" s="5"/>
      <c r="I1238" s="5" t="s">
        <v>3448</v>
      </c>
      <c r="J1238" s="5" t="s">
        <v>3783</v>
      </c>
      <c r="K1238" s="5" t="s">
        <v>7369</v>
      </c>
      <c r="L1238" s="5">
        <v>32</v>
      </c>
      <c r="M1238" s="5">
        <v>1</v>
      </c>
      <c r="N1238" s="5" t="s">
        <v>5710</v>
      </c>
      <c r="O1238" s="5" t="s">
        <v>5621</v>
      </c>
      <c r="P1238" s="5">
        <v>4</v>
      </c>
      <c r="Q1238" s="5">
        <v>1</v>
      </c>
      <c r="R1238" s="5"/>
      <c r="S1238" s="5">
        <v>39</v>
      </c>
      <c r="T1238" s="5">
        <v>39</v>
      </c>
      <c r="U1238" s="5">
        <v>39</v>
      </c>
    </row>
    <row r="1239" spans="1:21" x14ac:dyDescent="0.25">
      <c r="A1239" s="5" t="s">
        <v>7414</v>
      </c>
      <c r="B1239" s="5" t="s">
        <v>7415</v>
      </c>
      <c r="C1239" s="5" t="s">
        <v>3548</v>
      </c>
      <c r="D1239" s="5" t="s">
        <v>3782</v>
      </c>
      <c r="E1239" s="5" t="s">
        <v>7368</v>
      </c>
      <c r="F1239" s="5" t="s">
        <v>5618</v>
      </c>
      <c r="G1239" s="5" t="s">
        <v>5666</v>
      </c>
      <c r="H1239" s="5"/>
      <c r="I1239" s="5" t="s">
        <v>3448</v>
      </c>
      <c r="J1239" s="5" t="s">
        <v>3783</v>
      </c>
      <c r="K1239" s="5" t="s">
        <v>7369</v>
      </c>
      <c r="L1239" s="5">
        <v>32</v>
      </c>
      <c r="M1239" s="5">
        <v>4</v>
      </c>
      <c r="N1239" s="5" t="s">
        <v>5620</v>
      </c>
      <c r="O1239" s="5" t="s">
        <v>5621</v>
      </c>
      <c r="P1239" s="5">
        <v>4</v>
      </c>
      <c r="Q1239" s="5">
        <v>1</v>
      </c>
      <c r="R1239" s="5"/>
      <c r="S1239" s="5">
        <v>142</v>
      </c>
      <c r="T1239" s="5">
        <v>142</v>
      </c>
      <c r="U1239" s="5">
        <v>142</v>
      </c>
    </row>
    <row r="1240" spans="1:21" x14ac:dyDescent="0.25">
      <c r="A1240" s="5" t="s">
        <v>7416</v>
      </c>
      <c r="B1240" s="5" t="s">
        <v>7417</v>
      </c>
      <c r="C1240" s="5" t="s">
        <v>3548</v>
      </c>
      <c r="D1240" s="5" t="s">
        <v>3782</v>
      </c>
      <c r="E1240" s="5" t="s">
        <v>7368</v>
      </c>
      <c r="F1240" s="5" t="s">
        <v>5173</v>
      </c>
      <c r="G1240" s="5" t="s">
        <v>5666</v>
      </c>
      <c r="H1240" s="5"/>
      <c r="I1240" s="5" t="s">
        <v>3448</v>
      </c>
      <c r="J1240" s="5" t="s">
        <v>3783</v>
      </c>
      <c r="K1240" s="5" t="s">
        <v>7369</v>
      </c>
      <c r="L1240" s="5">
        <v>32</v>
      </c>
      <c r="M1240" s="5">
        <v>4</v>
      </c>
      <c r="N1240" s="5" t="s">
        <v>5174</v>
      </c>
      <c r="O1240" s="5" t="s">
        <v>5621</v>
      </c>
      <c r="P1240" s="5">
        <v>4</v>
      </c>
      <c r="Q1240" s="5">
        <v>1</v>
      </c>
      <c r="R1240" s="5"/>
      <c r="S1240" s="5">
        <v>148</v>
      </c>
      <c r="T1240" s="5">
        <v>148</v>
      </c>
      <c r="U1240" s="5">
        <v>148</v>
      </c>
    </row>
    <row r="1241" spans="1:21" x14ac:dyDescent="0.25">
      <c r="A1241" s="5" t="s">
        <v>7418</v>
      </c>
      <c r="B1241" s="5" t="s">
        <v>7419</v>
      </c>
      <c r="C1241" s="5" t="s">
        <v>3548</v>
      </c>
      <c r="D1241" s="5" t="s">
        <v>3782</v>
      </c>
      <c r="E1241" s="5" t="s">
        <v>7368</v>
      </c>
      <c r="F1241" s="5" t="s">
        <v>5709</v>
      </c>
      <c r="G1241" s="5" t="s">
        <v>5666</v>
      </c>
      <c r="H1241" s="5"/>
      <c r="I1241" s="5" t="s">
        <v>3448</v>
      </c>
      <c r="J1241" s="5" t="s">
        <v>3783</v>
      </c>
      <c r="K1241" s="5" t="s">
        <v>7369</v>
      </c>
      <c r="L1241" s="5">
        <v>32</v>
      </c>
      <c r="M1241" s="5">
        <v>4</v>
      </c>
      <c r="N1241" s="5" t="s">
        <v>5710</v>
      </c>
      <c r="O1241" s="5" t="s">
        <v>5621</v>
      </c>
      <c r="P1241" s="5">
        <v>4</v>
      </c>
      <c r="Q1241" s="5">
        <v>1</v>
      </c>
      <c r="R1241" s="5"/>
      <c r="S1241" s="5">
        <v>143</v>
      </c>
      <c r="T1241" s="5">
        <v>143</v>
      </c>
      <c r="U1241" s="5">
        <v>143</v>
      </c>
    </row>
    <row r="1242" spans="1:21" x14ac:dyDescent="0.25">
      <c r="A1242" s="5" t="s">
        <v>7420</v>
      </c>
      <c r="B1242" s="5" t="s">
        <v>7421</v>
      </c>
      <c r="C1242" s="5" t="s">
        <v>3548</v>
      </c>
      <c r="D1242" s="5" t="s">
        <v>3782</v>
      </c>
      <c r="E1242" s="5" t="s">
        <v>7368</v>
      </c>
      <c r="F1242" s="5" t="s">
        <v>5618</v>
      </c>
      <c r="G1242" s="5" t="s">
        <v>5666</v>
      </c>
      <c r="H1242" s="5"/>
      <c r="I1242" s="5" t="s">
        <v>3448</v>
      </c>
      <c r="J1242" s="5" t="s">
        <v>3783</v>
      </c>
      <c r="K1242" s="5" t="s">
        <v>7369</v>
      </c>
      <c r="L1242" s="5">
        <v>32</v>
      </c>
      <c r="M1242" s="5">
        <v>6</v>
      </c>
      <c r="N1242" s="5" t="s">
        <v>5620</v>
      </c>
      <c r="O1242" s="5" t="s">
        <v>5621</v>
      </c>
      <c r="P1242" s="5">
        <v>4</v>
      </c>
      <c r="Q1242" s="5">
        <v>1</v>
      </c>
      <c r="R1242" s="5"/>
      <c r="S1242" s="5">
        <v>213</v>
      </c>
      <c r="T1242" s="5">
        <v>213</v>
      </c>
      <c r="U1242" s="5">
        <v>213</v>
      </c>
    </row>
    <row r="1243" spans="1:21" x14ac:dyDescent="0.25">
      <c r="A1243" s="5" t="s">
        <v>7422</v>
      </c>
      <c r="B1243" s="5" t="s">
        <v>7423</v>
      </c>
      <c r="C1243" s="5" t="s">
        <v>3548</v>
      </c>
      <c r="D1243" s="5" t="s">
        <v>3782</v>
      </c>
      <c r="E1243" s="5" t="s">
        <v>7368</v>
      </c>
      <c r="F1243" s="5" t="s">
        <v>5618</v>
      </c>
      <c r="G1243" s="5" t="s">
        <v>5666</v>
      </c>
      <c r="H1243" s="5"/>
      <c r="I1243" s="5" t="s">
        <v>3448</v>
      </c>
      <c r="J1243" s="5" t="s">
        <v>3783</v>
      </c>
      <c r="K1243" s="5" t="s">
        <v>7369</v>
      </c>
      <c r="L1243" s="5">
        <v>32</v>
      </c>
      <c r="M1243" s="5">
        <v>8</v>
      </c>
      <c r="N1243" s="5" t="s">
        <v>5620</v>
      </c>
      <c r="O1243" s="5" t="s">
        <v>5621</v>
      </c>
      <c r="P1243" s="5">
        <v>4</v>
      </c>
      <c r="Q1243" s="5">
        <v>2</v>
      </c>
      <c r="R1243" s="5"/>
      <c r="S1243" s="5">
        <v>286</v>
      </c>
      <c r="T1243" s="5">
        <v>284</v>
      </c>
      <c r="U1243" s="5">
        <v>286</v>
      </c>
    </row>
    <row r="1244" spans="1:21" x14ac:dyDescent="0.25">
      <c r="A1244" s="5" t="s">
        <v>7424</v>
      </c>
      <c r="B1244" s="5" t="s">
        <v>7425</v>
      </c>
      <c r="C1244" s="5" t="s">
        <v>3548</v>
      </c>
      <c r="D1244" s="5" t="s">
        <v>3782</v>
      </c>
      <c r="E1244" s="5" t="s">
        <v>7368</v>
      </c>
      <c r="F1244" s="5" t="s">
        <v>5618</v>
      </c>
      <c r="G1244" s="5" t="s">
        <v>5666</v>
      </c>
      <c r="H1244" s="5"/>
      <c r="I1244" s="5" t="s">
        <v>3448</v>
      </c>
      <c r="J1244" s="5" t="s">
        <v>3783</v>
      </c>
      <c r="K1244" s="5" t="s">
        <v>7369</v>
      </c>
      <c r="L1244" s="5">
        <v>32</v>
      </c>
      <c r="M1244" s="5">
        <v>10</v>
      </c>
      <c r="N1244" s="5" t="s">
        <v>5620</v>
      </c>
      <c r="O1244" s="5" t="s">
        <v>5621</v>
      </c>
      <c r="P1244" s="5">
        <v>4</v>
      </c>
      <c r="Q1244" s="5">
        <v>3</v>
      </c>
      <c r="R1244" s="5"/>
      <c r="S1244" s="5">
        <v>357</v>
      </c>
      <c r="T1244" s="5">
        <v>357</v>
      </c>
      <c r="U1244" s="5">
        <v>357</v>
      </c>
    </row>
    <row r="1245" spans="1:21" x14ac:dyDescent="0.25">
      <c r="A1245" s="5" t="s">
        <v>7426</v>
      </c>
      <c r="B1245" s="5" t="s">
        <v>7427</v>
      </c>
      <c r="C1245" s="5" t="s">
        <v>3548</v>
      </c>
      <c r="D1245" s="5" t="s">
        <v>3782</v>
      </c>
      <c r="E1245" s="5" t="s">
        <v>7368</v>
      </c>
      <c r="F1245" s="5" t="s">
        <v>4835</v>
      </c>
      <c r="G1245" s="5" t="s">
        <v>5666</v>
      </c>
      <c r="H1245" s="5"/>
      <c r="I1245" s="5" t="s">
        <v>3448</v>
      </c>
      <c r="J1245" s="5" t="s">
        <v>3783</v>
      </c>
      <c r="K1245" s="5" t="s">
        <v>7369</v>
      </c>
      <c r="L1245" s="5">
        <v>32</v>
      </c>
      <c r="M1245" s="5">
        <v>6</v>
      </c>
      <c r="N1245" s="5" t="s">
        <v>4836</v>
      </c>
      <c r="O1245" s="5" t="s">
        <v>5621</v>
      </c>
      <c r="P1245" s="5">
        <v>4</v>
      </c>
      <c r="Q1245" s="5">
        <v>1</v>
      </c>
      <c r="R1245" s="5"/>
      <c r="S1245" s="5">
        <v>215</v>
      </c>
      <c r="T1245" s="5">
        <v>215</v>
      </c>
      <c r="U1245" s="5">
        <v>215</v>
      </c>
    </row>
    <row r="1246" spans="1:21" x14ac:dyDescent="0.25">
      <c r="A1246" s="5" t="s">
        <v>6836</v>
      </c>
      <c r="B1246" s="5" t="s">
        <v>6837</v>
      </c>
      <c r="C1246" s="5" t="s">
        <v>3548</v>
      </c>
      <c r="D1246" s="5" t="s">
        <v>3562</v>
      </c>
      <c r="E1246" s="5" t="s">
        <v>3564</v>
      </c>
      <c r="F1246" s="5" t="s">
        <v>3584</v>
      </c>
      <c r="G1246" s="5"/>
      <c r="H1246" s="5"/>
      <c r="I1246" s="5" t="s">
        <v>3448</v>
      </c>
      <c r="J1246" s="5" t="s">
        <v>3449</v>
      </c>
      <c r="K1246" s="5" t="s">
        <v>6286</v>
      </c>
      <c r="L1246" s="5">
        <v>65</v>
      </c>
      <c r="M1246" s="5">
        <v>1</v>
      </c>
      <c r="N1246" s="5" t="s">
        <v>3585</v>
      </c>
      <c r="O1246" s="5"/>
      <c r="P1246" s="5"/>
      <c r="Q1246" s="5">
        <v>1</v>
      </c>
      <c r="R1246" s="5"/>
      <c r="S1246" s="5">
        <v>65</v>
      </c>
      <c r="T1246" s="5">
        <v>65</v>
      </c>
      <c r="U1246" s="5">
        <v>65</v>
      </c>
    </row>
    <row r="1247" spans="1:21" x14ac:dyDescent="0.25">
      <c r="A1247" s="5" t="s">
        <v>6838</v>
      </c>
      <c r="B1247" s="5" t="s">
        <v>6839</v>
      </c>
      <c r="C1247" s="5" t="s">
        <v>3548</v>
      </c>
      <c r="D1247" s="5" t="s">
        <v>3562</v>
      </c>
      <c r="E1247" s="5" t="s">
        <v>3564</v>
      </c>
      <c r="F1247" s="5" t="s">
        <v>3584</v>
      </c>
      <c r="G1247" s="5"/>
      <c r="H1247" s="5"/>
      <c r="I1247" s="5" t="s">
        <v>3448</v>
      </c>
      <c r="J1247" s="5" t="s">
        <v>3449</v>
      </c>
      <c r="K1247" s="5" t="s">
        <v>6286</v>
      </c>
      <c r="L1247" s="5">
        <v>85</v>
      </c>
      <c r="M1247" s="5">
        <v>1</v>
      </c>
      <c r="N1247" s="5" t="s">
        <v>3585</v>
      </c>
      <c r="O1247" s="5"/>
      <c r="P1247" s="5"/>
      <c r="Q1247" s="5">
        <v>1</v>
      </c>
      <c r="R1247" s="5"/>
      <c r="S1247" s="5">
        <v>85</v>
      </c>
      <c r="T1247" s="5">
        <v>85</v>
      </c>
      <c r="U1247" s="5">
        <v>85</v>
      </c>
    </row>
    <row r="1248" spans="1:21" x14ac:dyDescent="0.25">
      <c r="A1248" s="5" t="s">
        <v>6840</v>
      </c>
      <c r="B1248" s="5" t="s">
        <v>6841</v>
      </c>
      <c r="C1248" s="5" t="s">
        <v>3548</v>
      </c>
      <c r="D1248" s="5" t="s">
        <v>3562</v>
      </c>
      <c r="E1248" s="5" t="s">
        <v>3564</v>
      </c>
      <c r="F1248" s="5" t="s">
        <v>3584</v>
      </c>
      <c r="G1248" s="5"/>
      <c r="H1248" s="5"/>
      <c r="I1248" s="5" t="s">
        <v>3448</v>
      </c>
      <c r="J1248" s="5" t="s">
        <v>3449</v>
      </c>
      <c r="K1248" s="5" t="s">
        <v>6286</v>
      </c>
      <c r="L1248" s="5">
        <v>105</v>
      </c>
      <c r="M1248" s="5">
        <v>1</v>
      </c>
      <c r="N1248" s="5" t="s">
        <v>3585</v>
      </c>
      <c r="O1248" s="5"/>
      <c r="P1248" s="5"/>
      <c r="Q1248" s="5">
        <v>1</v>
      </c>
      <c r="R1248" s="5"/>
      <c r="S1248" s="5">
        <v>105</v>
      </c>
      <c r="T1248" s="5">
        <v>105</v>
      </c>
      <c r="U1248" s="5">
        <v>105</v>
      </c>
    </row>
    <row r="1249" spans="1:21" x14ac:dyDescent="0.25">
      <c r="A1249" s="5" t="s">
        <v>6842</v>
      </c>
      <c r="B1249" s="5" t="s">
        <v>6843</v>
      </c>
      <c r="C1249" s="5" t="s">
        <v>3548</v>
      </c>
      <c r="D1249" s="5" t="s">
        <v>3562</v>
      </c>
      <c r="E1249" s="5" t="s">
        <v>3564</v>
      </c>
      <c r="F1249" s="5" t="s">
        <v>3584</v>
      </c>
      <c r="G1249" s="5"/>
      <c r="H1249" s="5"/>
      <c r="I1249" s="5" t="s">
        <v>3448</v>
      </c>
      <c r="J1249" s="5" t="s">
        <v>3449</v>
      </c>
      <c r="K1249" s="5" t="s">
        <v>6286</v>
      </c>
      <c r="L1249" s="5">
        <v>150</v>
      </c>
      <c r="M1249" s="5">
        <v>1</v>
      </c>
      <c r="N1249" s="5" t="s">
        <v>3585</v>
      </c>
      <c r="O1249" s="5"/>
      <c r="P1249" s="5"/>
      <c r="Q1249" s="5">
        <v>1</v>
      </c>
      <c r="R1249" s="5"/>
      <c r="S1249" s="5">
        <v>150</v>
      </c>
      <c r="T1249" s="5">
        <v>150</v>
      </c>
      <c r="U1249" s="5">
        <v>150</v>
      </c>
    </row>
    <row r="1250" spans="1:21" x14ac:dyDescent="0.25">
      <c r="A1250" s="5" t="s">
        <v>6844</v>
      </c>
      <c r="B1250" s="5" t="s">
        <v>6845</v>
      </c>
      <c r="C1250" s="5" t="s">
        <v>3548</v>
      </c>
      <c r="D1250" s="5" t="s">
        <v>3562</v>
      </c>
      <c r="E1250" s="5" t="s">
        <v>3564</v>
      </c>
      <c r="F1250" s="5" t="s">
        <v>3564</v>
      </c>
      <c r="G1250" s="5"/>
      <c r="H1250" s="5"/>
      <c r="I1250" s="5" t="s">
        <v>3448</v>
      </c>
      <c r="J1250" s="5" t="s">
        <v>3449</v>
      </c>
      <c r="K1250" s="5" t="s">
        <v>6286</v>
      </c>
      <c r="L1250" s="5">
        <v>40</v>
      </c>
      <c r="M1250" s="5">
        <v>1</v>
      </c>
      <c r="N1250" s="5" t="s">
        <v>3566</v>
      </c>
      <c r="O1250" s="5"/>
      <c r="P1250" s="5"/>
      <c r="Q1250" s="5">
        <v>1</v>
      </c>
      <c r="R1250" s="5"/>
      <c r="S1250" s="5">
        <v>40</v>
      </c>
      <c r="T1250" s="5">
        <v>40</v>
      </c>
      <c r="U1250" s="5">
        <v>40</v>
      </c>
    </row>
    <row r="1251" spans="1:21" x14ac:dyDescent="0.25">
      <c r="A1251" s="5" t="s">
        <v>6846</v>
      </c>
      <c r="B1251" s="5" t="s">
        <v>6847</v>
      </c>
      <c r="C1251" s="5" t="s">
        <v>3548</v>
      </c>
      <c r="D1251" s="5" t="s">
        <v>3562</v>
      </c>
      <c r="E1251" s="5" t="s">
        <v>3564</v>
      </c>
      <c r="F1251" s="5" t="s">
        <v>3564</v>
      </c>
      <c r="G1251" s="5"/>
      <c r="H1251" s="5"/>
      <c r="I1251" s="5" t="s">
        <v>3448</v>
      </c>
      <c r="J1251" s="5" t="s">
        <v>3449</v>
      </c>
      <c r="K1251" s="5" t="s">
        <v>6286</v>
      </c>
      <c r="L1251" s="5">
        <v>60</v>
      </c>
      <c r="M1251" s="5">
        <v>1</v>
      </c>
      <c r="N1251" s="5" t="s">
        <v>3566</v>
      </c>
      <c r="O1251" s="5"/>
      <c r="P1251" s="5"/>
      <c r="Q1251" s="5">
        <v>1</v>
      </c>
      <c r="R1251" s="5"/>
      <c r="S1251" s="5">
        <v>60</v>
      </c>
      <c r="T1251" s="5">
        <v>60</v>
      </c>
      <c r="U1251" s="5">
        <v>60</v>
      </c>
    </row>
    <row r="1252" spans="1:21" x14ac:dyDescent="0.25">
      <c r="A1252" s="5" t="s">
        <v>6848</v>
      </c>
      <c r="B1252" s="5" t="s">
        <v>6849</v>
      </c>
      <c r="C1252" s="5" t="s">
        <v>3548</v>
      </c>
      <c r="D1252" s="5" t="s">
        <v>3562</v>
      </c>
      <c r="E1252" s="5" t="s">
        <v>3564</v>
      </c>
      <c r="F1252" s="5" t="s">
        <v>3564</v>
      </c>
      <c r="G1252" s="5"/>
      <c r="H1252" s="5"/>
      <c r="I1252" s="5" t="s">
        <v>3448</v>
      </c>
      <c r="J1252" s="5" t="s">
        <v>3449</v>
      </c>
      <c r="K1252" s="5" t="s">
        <v>6286</v>
      </c>
      <c r="L1252" s="5">
        <v>80</v>
      </c>
      <c r="M1252" s="5">
        <v>1</v>
      </c>
      <c r="N1252" s="5" t="s">
        <v>3566</v>
      </c>
      <c r="O1252" s="5"/>
      <c r="P1252" s="5"/>
      <c r="Q1252" s="5">
        <v>1</v>
      </c>
      <c r="R1252" s="5"/>
      <c r="S1252" s="5">
        <v>80</v>
      </c>
      <c r="T1252" s="5">
        <v>80</v>
      </c>
      <c r="U1252" s="5">
        <v>80</v>
      </c>
    </row>
    <row r="1253" spans="1:21" x14ac:dyDescent="0.25">
      <c r="A1253" s="5" t="s">
        <v>6850</v>
      </c>
      <c r="B1253" s="5" t="s">
        <v>6851</v>
      </c>
      <c r="C1253" s="5" t="s">
        <v>3548</v>
      </c>
      <c r="D1253" s="5" t="s">
        <v>3562</v>
      </c>
      <c r="E1253" s="5" t="s">
        <v>3564</v>
      </c>
      <c r="F1253" s="5" t="s">
        <v>3564</v>
      </c>
      <c r="G1253" s="5"/>
      <c r="H1253" s="5"/>
      <c r="I1253" s="5" t="s">
        <v>3448</v>
      </c>
      <c r="J1253" s="5" t="s">
        <v>3449</v>
      </c>
      <c r="K1253" s="5" t="s">
        <v>6286</v>
      </c>
      <c r="L1253" s="5">
        <v>100</v>
      </c>
      <c r="M1253" s="5">
        <v>1</v>
      </c>
      <c r="N1253" s="5" t="s">
        <v>3566</v>
      </c>
      <c r="O1253" s="5"/>
      <c r="P1253" s="5"/>
      <c r="Q1253" s="5">
        <v>1</v>
      </c>
      <c r="R1253" s="5"/>
      <c r="S1253" s="5">
        <v>100</v>
      </c>
      <c r="T1253" s="5">
        <v>100</v>
      </c>
      <c r="U1253" s="5">
        <v>100</v>
      </c>
    </row>
    <row r="1254" spans="1:21" x14ac:dyDescent="0.25">
      <c r="A1254" s="5" t="s">
        <v>6852</v>
      </c>
      <c r="B1254" s="5" t="s">
        <v>6853</v>
      </c>
      <c r="C1254" s="5" t="s">
        <v>3548</v>
      </c>
      <c r="D1254" s="5" t="s">
        <v>3562</v>
      </c>
      <c r="E1254" s="5" t="s">
        <v>3564</v>
      </c>
      <c r="F1254" s="5" t="s">
        <v>3564</v>
      </c>
      <c r="G1254" s="5"/>
      <c r="H1254" s="5"/>
      <c r="I1254" s="5" t="s">
        <v>3448</v>
      </c>
      <c r="J1254" s="5" t="s">
        <v>3449</v>
      </c>
      <c r="K1254" s="5" t="s">
        <v>6286</v>
      </c>
      <c r="L1254" s="5">
        <v>150</v>
      </c>
      <c r="M1254" s="5">
        <v>1</v>
      </c>
      <c r="N1254" s="5" t="s">
        <v>3566</v>
      </c>
      <c r="O1254" s="5"/>
      <c r="P1254" s="5"/>
      <c r="Q1254" s="5">
        <v>1</v>
      </c>
      <c r="R1254" s="5"/>
      <c r="S1254" s="5">
        <v>120</v>
      </c>
      <c r="T1254" s="5">
        <v>120</v>
      </c>
      <c r="U1254" s="5">
        <v>120</v>
      </c>
    </row>
    <row r="1255" spans="1:21" x14ac:dyDescent="0.25">
      <c r="A1255" s="5" t="s">
        <v>6852</v>
      </c>
      <c r="B1255" s="5" t="s">
        <v>6853</v>
      </c>
      <c r="C1255" s="5" t="s">
        <v>3548</v>
      </c>
      <c r="D1255" s="5" t="s">
        <v>3562</v>
      </c>
      <c r="E1255" s="5" t="s">
        <v>3564</v>
      </c>
      <c r="F1255" s="5" t="s">
        <v>3564</v>
      </c>
      <c r="G1255" s="5"/>
      <c r="H1255" s="5"/>
      <c r="I1255" s="5" t="s">
        <v>3448</v>
      </c>
      <c r="J1255" s="5" t="s">
        <v>3449</v>
      </c>
      <c r="K1255" s="5" t="s">
        <v>6286</v>
      </c>
      <c r="L1255" s="5">
        <v>150</v>
      </c>
      <c r="M1255" s="5">
        <v>1</v>
      </c>
      <c r="N1255" s="5" t="s">
        <v>3566</v>
      </c>
      <c r="O1255" s="5"/>
      <c r="P1255" s="5"/>
      <c r="Q1255" s="5">
        <v>1</v>
      </c>
      <c r="R1255" s="5"/>
      <c r="S1255" s="5">
        <v>150</v>
      </c>
      <c r="T1255" s="5">
        <v>150</v>
      </c>
      <c r="U1255" s="5">
        <v>150</v>
      </c>
    </row>
    <row r="1256" spans="1:21" x14ac:dyDescent="0.25">
      <c r="A1256" s="5" t="s">
        <v>6852</v>
      </c>
      <c r="B1256" s="5" t="s">
        <v>6853</v>
      </c>
      <c r="C1256" s="5" t="s">
        <v>3548</v>
      </c>
      <c r="D1256" s="5" t="s">
        <v>3562</v>
      </c>
      <c r="E1256" s="5" t="s">
        <v>3564</v>
      </c>
      <c r="F1256" s="5" t="s">
        <v>3564</v>
      </c>
      <c r="G1256" s="5"/>
      <c r="H1256" s="5"/>
      <c r="I1256" s="5" t="s">
        <v>3448</v>
      </c>
      <c r="J1256" s="5" t="s">
        <v>3449</v>
      </c>
      <c r="K1256" s="5" t="s">
        <v>6286</v>
      </c>
      <c r="L1256" s="5">
        <v>150</v>
      </c>
      <c r="M1256" s="5">
        <v>1</v>
      </c>
      <c r="N1256" s="5" t="s">
        <v>3566</v>
      </c>
      <c r="O1256" s="5"/>
      <c r="P1256" s="5"/>
      <c r="Q1256" s="5">
        <v>1</v>
      </c>
      <c r="R1256" s="5"/>
      <c r="S1256" s="5">
        <v>180</v>
      </c>
      <c r="T1256" s="5">
        <v>180</v>
      </c>
      <c r="U1256" s="5">
        <v>180</v>
      </c>
    </row>
    <row r="1257" spans="1:21" x14ac:dyDescent="0.25">
      <c r="A1257" s="5" t="s">
        <v>6854</v>
      </c>
      <c r="B1257" s="5" t="s">
        <v>6855</v>
      </c>
      <c r="C1257" s="5" t="s">
        <v>3548</v>
      </c>
      <c r="D1257" s="5" t="s">
        <v>3562</v>
      </c>
      <c r="E1257" s="5" t="s">
        <v>3564</v>
      </c>
      <c r="F1257" s="5" t="s">
        <v>3564</v>
      </c>
      <c r="G1257" s="5"/>
      <c r="H1257" s="5"/>
      <c r="I1257" s="5" t="s">
        <v>3448</v>
      </c>
      <c r="J1257" s="5" t="s">
        <v>3449</v>
      </c>
      <c r="K1257" s="5" t="s">
        <v>6286</v>
      </c>
      <c r="L1257" s="5">
        <v>200</v>
      </c>
      <c r="M1257" s="5">
        <v>1</v>
      </c>
      <c r="N1257" s="5" t="s">
        <v>3566</v>
      </c>
      <c r="O1257" s="5"/>
      <c r="P1257" s="5"/>
      <c r="Q1257" s="5">
        <v>1</v>
      </c>
      <c r="R1257" s="5"/>
      <c r="S1257" s="5">
        <v>200</v>
      </c>
      <c r="T1257" s="5">
        <v>200</v>
      </c>
      <c r="U1257" s="5">
        <v>200</v>
      </c>
    </row>
    <row r="1258" spans="1:21" x14ac:dyDescent="0.25">
      <c r="A1258" s="5" t="s">
        <v>6856</v>
      </c>
      <c r="B1258" s="5" t="s">
        <v>6857</v>
      </c>
      <c r="C1258" s="5" t="s">
        <v>3548</v>
      </c>
      <c r="D1258" s="5" t="s">
        <v>3562</v>
      </c>
      <c r="E1258" s="5" t="s">
        <v>3639</v>
      </c>
      <c r="F1258" s="5" t="s">
        <v>3564</v>
      </c>
      <c r="G1258" s="5"/>
      <c r="H1258" s="5"/>
      <c r="I1258" s="5" t="s">
        <v>3448</v>
      </c>
      <c r="J1258" s="5" t="s">
        <v>3449</v>
      </c>
      <c r="K1258" s="5" t="s">
        <v>3640</v>
      </c>
      <c r="L1258" s="5">
        <v>52</v>
      </c>
      <c r="M1258" s="5">
        <v>1</v>
      </c>
      <c r="N1258" s="5" t="s">
        <v>3566</v>
      </c>
      <c r="O1258" s="5"/>
      <c r="P1258" s="5"/>
      <c r="Q1258" s="5">
        <v>1</v>
      </c>
      <c r="R1258" s="5"/>
      <c r="S1258" s="5">
        <v>52</v>
      </c>
      <c r="T1258" s="5">
        <v>52</v>
      </c>
      <c r="U1258" s="5">
        <v>52</v>
      </c>
    </row>
    <row r="1259" spans="1:21" x14ac:dyDescent="0.25">
      <c r="A1259" s="5" t="s">
        <v>6858</v>
      </c>
      <c r="B1259" s="5" t="s">
        <v>6859</v>
      </c>
      <c r="C1259" s="5" t="s">
        <v>3548</v>
      </c>
      <c r="D1259" s="5" t="s">
        <v>3562</v>
      </c>
      <c r="E1259" s="5" t="s">
        <v>3639</v>
      </c>
      <c r="F1259" s="5" t="s">
        <v>3564</v>
      </c>
      <c r="G1259" s="5"/>
      <c r="H1259" s="5"/>
      <c r="I1259" s="5" t="s">
        <v>3448</v>
      </c>
      <c r="J1259" s="5" t="s">
        <v>3449</v>
      </c>
      <c r="K1259" s="5" t="s">
        <v>3640</v>
      </c>
      <c r="L1259" s="5">
        <v>65</v>
      </c>
      <c r="M1259" s="5">
        <v>1</v>
      </c>
      <c r="N1259" s="5" t="s">
        <v>3566</v>
      </c>
      <c r="O1259" s="5"/>
      <c r="P1259" s="5"/>
      <c r="Q1259" s="5">
        <v>1</v>
      </c>
      <c r="R1259" s="5"/>
      <c r="S1259" s="5">
        <v>65</v>
      </c>
      <c r="T1259" s="5">
        <v>65</v>
      </c>
      <c r="U1259" s="5">
        <v>65</v>
      </c>
    </row>
    <row r="1260" spans="1:21" x14ac:dyDescent="0.25">
      <c r="A1260" s="5" t="s">
        <v>6858</v>
      </c>
      <c r="B1260" s="5" t="s">
        <v>6859</v>
      </c>
      <c r="C1260" s="5" t="s">
        <v>3548</v>
      </c>
      <c r="D1260" s="5" t="s">
        <v>3562</v>
      </c>
      <c r="E1260" s="5" t="s">
        <v>3639</v>
      </c>
      <c r="F1260" s="5" t="s">
        <v>3564</v>
      </c>
      <c r="G1260" s="5"/>
      <c r="H1260" s="5"/>
      <c r="I1260" s="5" t="s">
        <v>3448</v>
      </c>
      <c r="J1260" s="5" t="s">
        <v>3449</v>
      </c>
      <c r="K1260" s="5" t="s">
        <v>3640</v>
      </c>
      <c r="L1260" s="5">
        <v>65</v>
      </c>
      <c r="M1260" s="5">
        <v>1</v>
      </c>
      <c r="N1260" s="5" t="s">
        <v>3566</v>
      </c>
      <c r="O1260" s="5"/>
      <c r="P1260" s="5"/>
      <c r="Q1260" s="5">
        <v>1</v>
      </c>
      <c r="R1260" s="5"/>
      <c r="S1260" s="5">
        <v>68</v>
      </c>
      <c r="T1260" s="5">
        <v>68</v>
      </c>
      <c r="U1260" s="5">
        <v>68</v>
      </c>
    </row>
    <row r="1261" spans="1:21" x14ac:dyDescent="0.25">
      <c r="A1261" s="5" t="s">
        <v>6860</v>
      </c>
      <c r="B1261" s="5" t="s">
        <v>6861</v>
      </c>
      <c r="C1261" s="5" t="s">
        <v>3548</v>
      </c>
      <c r="D1261" s="5" t="s">
        <v>3562</v>
      </c>
      <c r="E1261" s="5" t="s">
        <v>3639</v>
      </c>
      <c r="F1261" s="5" t="s">
        <v>3564</v>
      </c>
      <c r="G1261" s="5"/>
      <c r="H1261" s="5"/>
      <c r="I1261" s="5" t="s">
        <v>3448</v>
      </c>
      <c r="J1261" s="5" t="s">
        <v>3449</v>
      </c>
      <c r="K1261" s="5" t="s">
        <v>3640</v>
      </c>
      <c r="L1261" s="5">
        <v>80</v>
      </c>
      <c r="M1261" s="5">
        <v>1</v>
      </c>
      <c r="N1261" s="5" t="s">
        <v>3566</v>
      </c>
      <c r="O1261" s="5"/>
      <c r="P1261" s="5"/>
      <c r="Q1261" s="5">
        <v>1</v>
      </c>
      <c r="R1261" s="5"/>
      <c r="S1261" s="5">
        <v>80</v>
      </c>
      <c r="T1261" s="5">
        <v>80</v>
      </c>
      <c r="U1261" s="5">
        <v>80</v>
      </c>
    </row>
    <row r="1262" spans="1:21" x14ac:dyDescent="0.25">
      <c r="A1262" s="5" t="s">
        <v>7428</v>
      </c>
      <c r="B1262" s="5" t="s">
        <v>7429</v>
      </c>
      <c r="C1262" s="5" t="s">
        <v>3706</v>
      </c>
      <c r="D1262" s="5" t="s">
        <v>3563</v>
      </c>
      <c r="E1262" s="5"/>
      <c r="F1262" s="5"/>
      <c r="G1262" s="5"/>
      <c r="H1262" s="5"/>
      <c r="I1262" s="5" t="s">
        <v>7430</v>
      </c>
      <c r="J1262" s="5" t="s">
        <v>3565</v>
      </c>
      <c r="K1262" s="5"/>
      <c r="L1262" s="5">
        <v>0</v>
      </c>
      <c r="M1262" s="5">
        <v>1</v>
      </c>
      <c r="N1262" s="5"/>
      <c r="O1262" s="5"/>
      <c r="P1262" s="5"/>
      <c r="Q1262" s="5"/>
      <c r="R1262" s="5"/>
      <c r="S1262" s="5">
        <v>0</v>
      </c>
      <c r="T1262" s="5">
        <v>0</v>
      </c>
      <c r="U1262" s="5">
        <v>0</v>
      </c>
    </row>
    <row r="1263" spans="1:21" x14ac:dyDescent="0.25">
      <c r="A1263" s="5" t="s">
        <v>6862</v>
      </c>
      <c r="B1263" s="5" t="s">
        <v>6863</v>
      </c>
      <c r="C1263" s="5" t="s">
        <v>3548</v>
      </c>
      <c r="D1263" s="5" t="s">
        <v>3562</v>
      </c>
      <c r="E1263" s="5" t="s">
        <v>3639</v>
      </c>
      <c r="F1263" s="5" t="s">
        <v>3564</v>
      </c>
      <c r="G1263" s="5"/>
      <c r="H1263" s="5"/>
      <c r="I1263" s="5" t="s">
        <v>3448</v>
      </c>
      <c r="J1263" s="5" t="s">
        <v>3449</v>
      </c>
      <c r="K1263" s="5" t="s">
        <v>3640</v>
      </c>
      <c r="L1263" s="5">
        <v>85</v>
      </c>
      <c r="M1263" s="5">
        <v>1</v>
      </c>
      <c r="N1263" s="5" t="s">
        <v>3566</v>
      </c>
      <c r="O1263" s="5"/>
      <c r="P1263" s="5"/>
      <c r="Q1263" s="5">
        <v>1</v>
      </c>
      <c r="R1263" s="5"/>
      <c r="S1263" s="5">
        <v>85</v>
      </c>
      <c r="T1263" s="5">
        <v>85</v>
      </c>
      <c r="U1263" s="5">
        <v>85</v>
      </c>
    </row>
    <row r="1264" spans="1:21" x14ac:dyDescent="0.25">
      <c r="A1264" s="5" t="s">
        <v>6864</v>
      </c>
      <c r="B1264" s="5" t="s">
        <v>6865</v>
      </c>
      <c r="C1264" s="5" t="s">
        <v>3548</v>
      </c>
      <c r="D1264" s="5" t="s">
        <v>3562</v>
      </c>
      <c r="E1264" s="5" t="s">
        <v>3639</v>
      </c>
      <c r="F1264" s="5" t="s">
        <v>3564</v>
      </c>
      <c r="G1264" s="5"/>
      <c r="H1264" s="5"/>
      <c r="I1264" s="5" t="s">
        <v>3448</v>
      </c>
      <c r="J1264" s="5" t="s">
        <v>3449</v>
      </c>
      <c r="K1264" s="5" t="s">
        <v>3640</v>
      </c>
      <c r="L1264" s="5">
        <v>100</v>
      </c>
      <c r="M1264" s="5">
        <v>1</v>
      </c>
      <c r="N1264" s="5" t="s">
        <v>3566</v>
      </c>
      <c r="O1264" s="5"/>
      <c r="P1264" s="5"/>
      <c r="Q1264" s="5">
        <v>1</v>
      </c>
      <c r="R1264" s="5"/>
      <c r="S1264" s="5">
        <v>100</v>
      </c>
      <c r="T1264" s="5">
        <v>100</v>
      </c>
      <c r="U1264" s="5">
        <v>100</v>
      </c>
    </row>
    <row r="1265" spans="1:21" x14ac:dyDescent="0.25">
      <c r="A1265" s="5" t="s">
        <v>6866</v>
      </c>
      <c r="B1265" s="5" t="s">
        <v>6867</v>
      </c>
      <c r="C1265" s="5" t="s">
        <v>3548</v>
      </c>
      <c r="D1265" s="5" t="s">
        <v>3562</v>
      </c>
      <c r="E1265" s="5" t="s">
        <v>3639</v>
      </c>
      <c r="F1265" s="5" t="s">
        <v>3564</v>
      </c>
      <c r="G1265" s="5"/>
      <c r="H1265" s="5"/>
      <c r="I1265" s="5" t="s">
        <v>3448</v>
      </c>
      <c r="J1265" s="5" t="s">
        <v>3449</v>
      </c>
      <c r="K1265" s="5" t="s">
        <v>3640</v>
      </c>
      <c r="L1265" s="5">
        <v>125</v>
      </c>
      <c r="M1265" s="5">
        <v>1</v>
      </c>
      <c r="N1265" s="5" t="s">
        <v>3566</v>
      </c>
      <c r="O1265" s="5"/>
      <c r="P1265" s="5"/>
      <c r="Q1265" s="5">
        <v>1</v>
      </c>
      <c r="R1265" s="5"/>
      <c r="S1265" s="5">
        <v>125</v>
      </c>
      <c r="T1265" s="5">
        <v>125</v>
      </c>
      <c r="U1265" s="5">
        <v>125</v>
      </c>
    </row>
    <row r="1266" spans="1:21" x14ac:dyDescent="0.25">
      <c r="A1266" s="5" t="s">
        <v>6868</v>
      </c>
      <c r="B1266" s="5" t="s">
        <v>6869</v>
      </c>
      <c r="C1266" s="5" t="s">
        <v>3548</v>
      </c>
      <c r="D1266" s="5" t="s">
        <v>3562</v>
      </c>
      <c r="E1266" s="5" t="s">
        <v>3639</v>
      </c>
      <c r="F1266" s="5" t="s">
        <v>3564</v>
      </c>
      <c r="G1266" s="5"/>
      <c r="H1266" s="5"/>
      <c r="I1266" s="5" t="s">
        <v>3448</v>
      </c>
      <c r="J1266" s="5" t="s">
        <v>3449</v>
      </c>
      <c r="K1266" s="5" t="s">
        <v>3640</v>
      </c>
      <c r="L1266" s="5">
        <v>150</v>
      </c>
      <c r="M1266" s="5">
        <v>1</v>
      </c>
      <c r="N1266" s="5" t="s">
        <v>3566</v>
      </c>
      <c r="O1266" s="5"/>
      <c r="P1266" s="5"/>
      <c r="Q1266" s="5">
        <v>1</v>
      </c>
      <c r="R1266" s="5"/>
      <c r="S1266" s="5">
        <v>150</v>
      </c>
      <c r="T1266" s="5">
        <v>150</v>
      </c>
      <c r="U1266" s="5">
        <v>150</v>
      </c>
    </row>
    <row r="1267" spans="1:21" x14ac:dyDescent="0.25">
      <c r="A1267" s="5" t="s">
        <v>6870</v>
      </c>
      <c r="B1267" s="5" t="s">
        <v>6871</v>
      </c>
      <c r="C1267" s="5" t="s">
        <v>3548</v>
      </c>
      <c r="D1267" s="5" t="s">
        <v>3562</v>
      </c>
      <c r="E1267" s="5" t="s">
        <v>3639</v>
      </c>
      <c r="F1267" s="5" t="s">
        <v>3564</v>
      </c>
      <c r="G1267" s="5"/>
      <c r="H1267" s="5"/>
      <c r="I1267" s="5" t="s">
        <v>3448</v>
      </c>
      <c r="J1267" s="5" t="s">
        <v>3449</v>
      </c>
      <c r="K1267" s="5" t="s">
        <v>3640</v>
      </c>
      <c r="L1267" s="5">
        <v>200</v>
      </c>
      <c r="M1267" s="5">
        <v>1</v>
      </c>
      <c r="N1267" s="5" t="s">
        <v>3566</v>
      </c>
      <c r="O1267" s="5"/>
      <c r="P1267" s="5"/>
      <c r="Q1267" s="5">
        <v>1</v>
      </c>
      <c r="R1267" s="5"/>
      <c r="S1267" s="5">
        <v>200</v>
      </c>
      <c r="T1267" s="5">
        <v>200</v>
      </c>
      <c r="U1267" s="5">
        <v>200</v>
      </c>
    </row>
    <row r="1268" spans="1:21" x14ac:dyDescent="0.25">
      <c r="A1268" s="5" t="s">
        <v>6872</v>
      </c>
      <c r="B1268" s="5" t="s">
        <v>7431</v>
      </c>
      <c r="C1268" s="5" t="s">
        <v>3548</v>
      </c>
      <c r="D1268" s="5" t="s">
        <v>3562</v>
      </c>
      <c r="E1268" s="5" t="s">
        <v>3706</v>
      </c>
      <c r="F1268" s="5" t="s">
        <v>3584</v>
      </c>
      <c r="G1268" s="5"/>
      <c r="H1268" s="5"/>
      <c r="I1268" s="5" t="s">
        <v>3448</v>
      </c>
      <c r="J1268" s="5" t="s">
        <v>3449</v>
      </c>
      <c r="K1268" s="5" t="s">
        <v>6901</v>
      </c>
      <c r="L1268" s="5">
        <v>57</v>
      </c>
      <c r="M1268" s="5">
        <v>1</v>
      </c>
      <c r="N1268" s="5" t="s">
        <v>3585</v>
      </c>
      <c r="O1268" s="5"/>
      <c r="P1268" s="5"/>
      <c r="Q1268" s="5">
        <v>1</v>
      </c>
      <c r="R1268" s="5"/>
      <c r="S1268" s="5">
        <v>57</v>
      </c>
      <c r="T1268" s="5">
        <v>57</v>
      </c>
      <c r="U1268" s="5">
        <v>57</v>
      </c>
    </row>
    <row r="1269" spans="1:21" x14ac:dyDescent="0.25">
      <c r="A1269" s="5" t="s">
        <v>6873</v>
      </c>
      <c r="B1269" s="5" t="s">
        <v>7432</v>
      </c>
      <c r="C1269" s="5" t="s">
        <v>3548</v>
      </c>
      <c r="D1269" s="5" t="s">
        <v>3562</v>
      </c>
      <c r="E1269" s="5" t="s">
        <v>3706</v>
      </c>
      <c r="F1269" s="5" t="s">
        <v>3584</v>
      </c>
      <c r="G1269" s="5"/>
      <c r="H1269" s="5"/>
      <c r="I1269" s="5" t="s">
        <v>3448</v>
      </c>
      <c r="J1269" s="5" t="s">
        <v>3449</v>
      </c>
      <c r="K1269" s="5" t="s">
        <v>6901</v>
      </c>
      <c r="L1269" s="5">
        <v>60</v>
      </c>
      <c r="M1269" s="5">
        <v>1</v>
      </c>
      <c r="N1269" s="5" t="s">
        <v>3585</v>
      </c>
      <c r="O1269" s="5"/>
      <c r="P1269" s="5"/>
      <c r="Q1269" s="5">
        <v>1</v>
      </c>
      <c r="R1269" s="5"/>
      <c r="S1269" s="5">
        <v>60</v>
      </c>
      <c r="T1269" s="5">
        <v>60</v>
      </c>
      <c r="U1269" s="5">
        <v>60</v>
      </c>
    </row>
    <row r="1270" spans="1:21" x14ac:dyDescent="0.25">
      <c r="A1270" s="5" t="s">
        <v>6874</v>
      </c>
      <c r="B1270" s="5" t="s">
        <v>7433</v>
      </c>
      <c r="C1270" s="5" t="s">
        <v>3548</v>
      </c>
      <c r="D1270" s="5" t="s">
        <v>3562</v>
      </c>
      <c r="E1270" s="5" t="s">
        <v>3706</v>
      </c>
      <c r="F1270" s="5" t="s">
        <v>3584</v>
      </c>
      <c r="G1270" s="5"/>
      <c r="H1270" s="5"/>
      <c r="I1270" s="5" t="s">
        <v>3448</v>
      </c>
      <c r="J1270" s="5" t="s">
        <v>3449</v>
      </c>
      <c r="K1270" s="5" t="s">
        <v>6901</v>
      </c>
      <c r="L1270" s="5">
        <v>70</v>
      </c>
      <c r="M1270" s="5">
        <v>1</v>
      </c>
      <c r="N1270" s="5" t="s">
        <v>3585</v>
      </c>
      <c r="O1270" s="5"/>
      <c r="P1270" s="5"/>
      <c r="Q1270" s="5">
        <v>1</v>
      </c>
      <c r="R1270" s="5"/>
      <c r="S1270" s="5">
        <v>70</v>
      </c>
      <c r="T1270" s="5">
        <v>70</v>
      </c>
      <c r="U1270" s="5">
        <v>70</v>
      </c>
    </row>
    <row r="1271" spans="1:21" x14ac:dyDescent="0.25">
      <c r="A1271" s="5" t="s">
        <v>6875</v>
      </c>
      <c r="B1271" s="5" t="s">
        <v>7434</v>
      </c>
      <c r="C1271" s="5" t="s">
        <v>3548</v>
      </c>
      <c r="D1271" s="5" t="s">
        <v>3562</v>
      </c>
      <c r="E1271" s="5" t="s">
        <v>3706</v>
      </c>
      <c r="F1271" s="5" t="s">
        <v>3584</v>
      </c>
      <c r="G1271" s="5"/>
      <c r="H1271" s="5"/>
      <c r="I1271" s="5" t="s">
        <v>3448</v>
      </c>
      <c r="J1271" s="5" t="s">
        <v>3449</v>
      </c>
      <c r="K1271" s="5" t="s">
        <v>6901</v>
      </c>
      <c r="L1271" s="5">
        <v>120</v>
      </c>
      <c r="M1271" s="5">
        <v>1</v>
      </c>
      <c r="N1271" s="5" t="s">
        <v>3585</v>
      </c>
      <c r="O1271" s="5"/>
      <c r="P1271" s="5"/>
      <c r="Q1271" s="5">
        <v>1</v>
      </c>
      <c r="R1271" s="5"/>
      <c r="S1271" s="5">
        <v>120</v>
      </c>
      <c r="T1271" s="5">
        <v>120</v>
      </c>
      <c r="U1271" s="5">
        <v>120</v>
      </c>
    </row>
    <row r="1272" spans="1:21" x14ac:dyDescent="0.25">
      <c r="A1272" s="5" t="s">
        <v>7435</v>
      </c>
      <c r="B1272" s="5" t="s">
        <v>7436</v>
      </c>
      <c r="C1272" s="5" t="s">
        <v>3548</v>
      </c>
      <c r="D1272" s="5" t="s">
        <v>3782</v>
      </c>
      <c r="E1272" s="5" t="s">
        <v>4213</v>
      </c>
      <c r="F1272" s="5" t="s">
        <v>4004</v>
      </c>
      <c r="G1272" s="5" t="s">
        <v>3493</v>
      </c>
      <c r="H1272" s="5"/>
      <c r="I1272" s="5" t="s">
        <v>3448</v>
      </c>
      <c r="J1272" s="5" t="s">
        <v>3783</v>
      </c>
      <c r="K1272" s="5" t="s">
        <v>4213</v>
      </c>
      <c r="L1272" s="5">
        <v>28</v>
      </c>
      <c r="M1272" s="5">
        <v>1</v>
      </c>
      <c r="N1272" s="5" t="s">
        <v>4005</v>
      </c>
      <c r="O1272" s="5" t="s">
        <v>5631</v>
      </c>
      <c r="P1272" s="5">
        <v>4</v>
      </c>
      <c r="Q1272" s="5">
        <v>1</v>
      </c>
      <c r="R1272" s="5"/>
      <c r="S1272" s="5">
        <v>27</v>
      </c>
      <c r="T1272" s="5">
        <v>27</v>
      </c>
      <c r="U1272" s="5">
        <v>27</v>
      </c>
    </row>
    <row r="1273" spans="1:21" x14ac:dyDescent="0.25">
      <c r="A1273" s="5" t="s">
        <v>7437</v>
      </c>
      <c r="B1273" s="5" t="s">
        <v>7438</v>
      </c>
      <c r="C1273" s="5" t="s">
        <v>3548</v>
      </c>
      <c r="D1273" s="5" t="s">
        <v>3782</v>
      </c>
      <c r="E1273" s="5" t="s">
        <v>4213</v>
      </c>
      <c r="F1273" s="5" t="s">
        <v>4004</v>
      </c>
      <c r="G1273" s="5" t="s">
        <v>3493</v>
      </c>
      <c r="H1273" s="5"/>
      <c r="I1273" s="5" t="s">
        <v>3448</v>
      </c>
      <c r="J1273" s="5" t="s">
        <v>3783</v>
      </c>
      <c r="K1273" s="5" t="s">
        <v>4213</v>
      </c>
      <c r="L1273" s="5">
        <v>28</v>
      </c>
      <c r="M1273" s="5">
        <v>2</v>
      </c>
      <c r="N1273" s="5" t="s">
        <v>4005</v>
      </c>
      <c r="O1273" s="5" t="s">
        <v>5631</v>
      </c>
      <c r="P1273" s="5">
        <v>4</v>
      </c>
      <c r="Q1273" s="5">
        <v>1</v>
      </c>
      <c r="R1273" s="5"/>
      <c r="S1273" s="5">
        <v>55</v>
      </c>
      <c r="T1273" s="5">
        <v>55</v>
      </c>
      <c r="U1273" s="5">
        <v>55</v>
      </c>
    </row>
    <row r="1274" spans="1:21" x14ac:dyDescent="0.25">
      <c r="A1274" s="5" t="s">
        <v>7439</v>
      </c>
      <c r="B1274" s="5" t="s">
        <v>7440</v>
      </c>
      <c r="C1274" s="5" t="s">
        <v>3548</v>
      </c>
      <c r="D1274" s="5" t="s">
        <v>3782</v>
      </c>
      <c r="E1274" s="5" t="s">
        <v>4213</v>
      </c>
      <c r="F1274" s="5" t="s">
        <v>4004</v>
      </c>
      <c r="G1274" s="5" t="s">
        <v>3493</v>
      </c>
      <c r="H1274" s="5"/>
      <c r="I1274" s="5" t="s">
        <v>3448</v>
      </c>
      <c r="J1274" s="5" t="s">
        <v>3783</v>
      </c>
      <c r="K1274" s="5" t="s">
        <v>4213</v>
      </c>
      <c r="L1274" s="5">
        <v>28</v>
      </c>
      <c r="M1274" s="5">
        <v>3</v>
      </c>
      <c r="N1274" s="5" t="s">
        <v>4005</v>
      </c>
      <c r="O1274" s="5" t="s">
        <v>5631</v>
      </c>
      <c r="P1274" s="5">
        <v>4</v>
      </c>
      <c r="Q1274" s="5">
        <v>2</v>
      </c>
      <c r="R1274" s="5"/>
      <c r="S1274" s="5">
        <v>82</v>
      </c>
      <c r="T1274" s="5">
        <v>82</v>
      </c>
      <c r="U1274" s="5">
        <v>82</v>
      </c>
    </row>
    <row r="1275" spans="1:21" x14ac:dyDescent="0.25">
      <c r="A1275" s="5" t="s">
        <v>7441</v>
      </c>
      <c r="B1275" s="5" t="s">
        <v>7442</v>
      </c>
      <c r="C1275" s="5" t="s">
        <v>3548</v>
      </c>
      <c r="D1275" s="5" t="s">
        <v>3782</v>
      </c>
      <c r="E1275" s="5" t="s">
        <v>4213</v>
      </c>
      <c r="F1275" s="5" t="s">
        <v>4004</v>
      </c>
      <c r="G1275" s="5" t="s">
        <v>3493</v>
      </c>
      <c r="H1275" s="5"/>
      <c r="I1275" s="5" t="s">
        <v>3448</v>
      </c>
      <c r="J1275" s="5" t="s">
        <v>3783</v>
      </c>
      <c r="K1275" s="5" t="s">
        <v>4213</v>
      </c>
      <c r="L1275" s="5">
        <v>28</v>
      </c>
      <c r="M1275" s="5">
        <v>4</v>
      </c>
      <c r="N1275" s="5" t="s">
        <v>4005</v>
      </c>
      <c r="O1275" s="5" t="s">
        <v>5631</v>
      </c>
      <c r="P1275" s="5">
        <v>4</v>
      </c>
      <c r="Q1275" s="5">
        <v>2</v>
      </c>
      <c r="R1275" s="5"/>
      <c r="S1275" s="5">
        <v>109</v>
      </c>
      <c r="T1275" s="5">
        <v>109</v>
      </c>
      <c r="U1275" s="5">
        <v>109</v>
      </c>
    </row>
    <row r="1276" spans="1:21" x14ac:dyDescent="0.25">
      <c r="A1276" s="5" t="s">
        <v>7443</v>
      </c>
      <c r="B1276" s="5" t="s">
        <v>7444</v>
      </c>
      <c r="C1276" s="5" t="s">
        <v>3548</v>
      </c>
      <c r="D1276" s="5" t="s">
        <v>3782</v>
      </c>
      <c r="E1276" s="5" t="s">
        <v>4213</v>
      </c>
      <c r="F1276" s="5" t="s">
        <v>4004</v>
      </c>
      <c r="G1276" s="5" t="s">
        <v>3782</v>
      </c>
      <c r="H1276" s="5"/>
      <c r="I1276" s="5" t="s">
        <v>3448</v>
      </c>
      <c r="J1276" s="5" t="s">
        <v>3783</v>
      </c>
      <c r="K1276" s="5" t="s">
        <v>4213</v>
      </c>
      <c r="L1276" s="5">
        <v>28</v>
      </c>
      <c r="M1276" s="5">
        <v>1</v>
      </c>
      <c r="N1276" s="5" t="s">
        <v>4005</v>
      </c>
      <c r="O1276" s="5" t="s">
        <v>5626</v>
      </c>
      <c r="P1276" s="5">
        <v>4</v>
      </c>
      <c r="Q1276" s="5">
        <v>1</v>
      </c>
      <c r="R1276" s="5"/>
      <c r="S1276" s="5">
        <v>24</v>
      </c>
      <c r="T1276" s="5">
        <v>24</v>
      </c>
      <c r="U1276" s="5">
        <v>24</v>
      </c>
    </row>
    <row r="1277" spans="1:21" x14ac:dyDescent="0.25">
      <c r="A1277" s="5" t="s">
        <v>7445</v>
      </c>
      <c r="B1277" s="5" t="s">
        <v>7446</v>
      </c>
      <c r="C1277" s="5" t="s">
        <v>3548</v>
      </c>
      <c r="D1277" s="5" t="s">
        <v>3782</v>
      </c>
      <c r="E1277" s="5" t="s">
        <v>4213</v>
      </c>
      <c r="F1277" s="5" t="s">
        <v>4004</v>
      </c>
      <c r="G1277" s="5" t="s">
        <v>3782</v>
      </c>
      <c r="H1277" s="5"/>
      <c r="I1277" s="5" t="s">
        <v>3448</v>
      </c>
      <c r="J1277" s="5" t="s">
        <v>3783</v>
      </c>
      <c r="K1277" s="5" t="s">
        <v>4213</v>
      </c>
      <c r="L1277" s="5">
        <v>28</v>
      </c>
      <c r="M1277" s="5">
        <v>2</v>
      </c>
      <c r="N1277" s="5" t="s">
        <v>4005</v>
      </c>
      <c r="O1277" s="5" t="s">
        <v>5626</v>
      </c>
      <c r="P1277" s="5">
        <v>4</v>
      </c>
      <c r="Q1277" s="5">
        <v>1</v>
      </c>
      <c r="R1277" s="5"/>
      <c r="S1277" s="5">
        <v>47</v>
      </c>
      <c r="T1277" s="5">
        <v>47</v>
      </c>
      <c r="U1277" s="5">
        <v>47</v>
      </c>
    </row>
    <row r="1278" spans="1:21" x14ac:dyDescent="0.25">
      <c r="A1278" s="5" t="s">
        <v>7447</v>
      </c>
      <c r="B1278" s="5" t="s">
        <v>7448</v>
      </c>
      <c r="C1278" s="5" t="s">
        <v>3548</v>
      </c>
      <c r="D1278" s="5" t="s">
        <v>3782</v>
      </c>
      <c r="E1278" s="5" t="s">
        <v>4213</v>
      </c>
      <c r="F1278" s="5" t="s">
        <v>4004</v>
      </c>
      <c r="G1278" s="5" t="s">
        <v>3782</v>
      </c>
      <c r="H1278" s="5"/>
      <c r="I1278" s="5" t="s">
        <v>3448</v>
      </c>
      <c r="J1278" s="5" t="s">
        <v>3783</v>
      </c>
      <c r="K1278" s="5" t="s">
        <v>4213</v>
      </c>
      <c r="L1278" s="5">
        <v>28</v>
      </c>
      <c r="M1278" s="5">
        <v>3</v>
      </c>
      <c r="N1278" s="5" t="s">
        <v>4005</v>
      </c>
      <c r="O1278" s="5" t="s">
        <v>5626</v>
      </c>
      <c r="P1278" s="5">
        <v>4</v>
      </c>
      <c r="Q1278" s="5">
        <v>2</v>
      </c>
      <c r="R1278" s="5"/>
      <c r="S1278" s="5">
        <v>71</v>
      </c>
      <c r="T1278" s="5">
        <v>71</v>
      </c>
      <c r="U1278" s="5">
        <v>71</v>
      </c>
    </row>
    <row r="1279" spans="1:21" x14ac:dyDescent="0.25">
      <c r="A1279" s="5" t="s">
        <v>7449</v>
      </c>
      <c r="B1279" s="5" t="s">
        <v>7450</v>
      </c>
      <c r="C1279" s="5" t="s">
        <v>3548</v>
      </c>
      <c r="D1279" s="5" t="s">
        <v>3782</v>
      </c>
      <c r="E1279" s="5" t="s">
        <v>4213</v>
      </c>
      <c r="F1279" s="5" t="s">
        <v>4004</v>
      </c>
      <c r="G1279" s="5" t="s">
        <v>3782</v>
      </c>
      <c r="H1279" s="5"/>
      <c r="I1279" s="5" t="s">
        <v>3448</v>
      </c>
      <c r="J1279" s="5" t="s">
        <v>3783</v>
      </c>
      <c r="K1279" s="5" t="s">
        <v>4213</v>
      </c>
      <c r="L1279" s="5">
        <v>28</v>
      </c>
      <c r="M1279" s="5">
        <v>4</v>
      </c>
      <c r="N1279" s="5" t="s">
        <v>4005</v>
      </c>
      <c r="O1279" s="5" t="s">
        <v>5626</v>
      </c>
      <c r="P1279" s="5">
        <v>4</v>
      </c>
      <c r="Q1279" s="5">
        <v>2</v>
      </c>
      <c r="R1279" s="5"/>
      <c r="S1279" s="5">
        <v>94</v>
      </c>
      <c r="T1279" s="5">
        <v>94</v>
      </c>
      <c r="U1279" s="5">
        <v>94</v>
      </c>
    </row>
    <row r="1280" spans="1:21" x14ac:dyDescent="0.25">
      <c r="A1280" s="5" t="s">
        <v>7451</v>
      </c>
      <c r="B1280" s="5" t="s">
        <v>7452</v>
      </c>
      <c r="C1280" s="5" t="s">
        <v>3548</v>
      </c>
      <c r="D1280" s="5" t="s">
        <v>3782</v>
      </c>
      <c r="E1280" s="5" t="s">
        <v>7453</v>
      </c>
      <c r="F1280" s="5" t="s">
        <v>4004</v>
      </c>
      <c r="G1280" s="5" t="s">
        <v>3501</v>
      </c>
      <c r="H1280" s="5"/>
      <c r="I1280" s="5" t="s">
        <v>3448</v>
      </c>
      <c r="J1280" s="5" t="s">
        <v>3783</v>
      </c>
      <c r="K1280" s="5" t="s">
        <v>7454</v>
      </c>
      <c r="L1280" s="5">
        <v>54</v>
      </c>
      <c r="M1280" s="5">
        <v>6</v>
      </c>
      <c r="N1280" s="5" t="s">
        <v>4005</v>
      </c>
      <c r="O1280" s="5" t="s">
        <v>3502</v>
      </c>
      <c r="P1280" s="5">
        <v>4</v>
      </c>
      <c r="Q1280" s="5">
        <v>3</v>
      </c>
      <c r="R1280" s="5"/>
      <c r="S1280" s="5">
        <v>351</v>
      </c>
      <c r="T1280" s="5">
        <v>351</v>
      </c>
      <c r="U1280" s="5">
        <v>351</v>
      </c>
    </row>
    <row r="1281" spans="1:21" x14ac:dyDescent="0.25">
      <c r="A1281" s="5" t="s">
        <v>7455</v>
      </c>
      <c r="B1281" s="5" t="s">
        <v>7456</v>
      </c>
      <c r="C1281" s="5" t="s">
        <v>3548</v>
      </c>
      <c r="D1281" s="5" t="s">
        <v>3782</v>
      </c>
      <c r="E1281" s="5" t="s">
        <v>7453</v>
      </c>
      <c r="F1281" s="5" t="s">
        <v>4004</v>
      </c>
      <c r="G1281" s="5" t="s">
        <v>3501</v>
      </c>
      <c r="H1281" s="5"/>
      <c r="I1281" s="5" t="s">
        <v>3448</v>
      </c>
      <c r="J1281" s="5" t="s">
        <v>3783</v>
      </c>
      <c r="K1281" s="5" t="s">
        <v>7454</v>
      </c>
      <c r="L1281" s="5">
        <v>54</v>
      </c>
      <c r="M1281" s="5">
        <v>8</v>
      </c>
      <c r="N1281" s="5" t="s">
        <v>4005</v>
      </c>
      <c r="O1281" s="5" t="s">
        <v>3502</v>
      </c>
      <c r="P1281" s="5">
        <v>4</v>
      </c>
      <c r="Q1281" s="5">
        <v>3</v>
      </c>
      <c r="R1281" s="5"/>
      <c r="S1281" s="5">
        <v>458</v>
      </c>
      <c r="T1281" s="5">
        <v>458</v>
      </c>
      <c r="U1281" s="5">
        <v>458</v>
      </c>
    </row>
    <row r="1282" spans="1:21" x14ac:dyDescent="0.25">
      <c r="A1282" s="5" t="s">
        <v>7457</v>
      </c>
      <c r="B1282" s="5" t="s">
        <v>7458</v>
      </c>
      <c r="C1282" s="5" t="s">
        <v>3548</v>
      </c>
      <c r="D1282" s="5" t="s">
        <v>3782</v>
      </c>
      <c r="E1282" s="5" t="s">
        <v>7453</v>
      </c>
      <c r="F1282" s="5" t="s">
        <v>4004</v>
      </c>
      <c r="G1282" s="5" t="s">
        <v>3501</v>
      </c>
      <c r="H1282" s="5"/>
      <c r="I1282" s="5" t="s">
        <v>3448</v>
      </c>
      <c r="J1282" s="5" t="s">
        <v>3783</v>
      </c>
      <c r="K1282" s="5" t="s">
        <v>7454</v>
      </c>
      <c r="L1282" s="5">
        <v>54</v>
      </c>
      <c r="M1282" s="5">
        <v>10</v>
      </c>
      <c r="N1282" s="5" t="s">
        <v>4005</v>
      </c>
      <c r="O1282" s="5" t="s">
        <v>3502</v>
      </c>
      <c r="P1282" s="5">
        <v>4</v>
      </c>
      <c r="Q1282" s="5">
        <v>3</v>
      </c>
      <c r="R1282" s="5"/>
      <c r="S1282" s="5">
        <v>573</v>
      </c>
      <c r="T1282" s="5">
        <v>573</v>
      </c>
      <c r="U1282" s="5">
        <v>573</v>
      </c>
    </row>
    <row r="1283" spans="1:21" x14ac:dyDescent="0.25">
      <c r="A1283" s="5" t="s">
        <v>7459</v>
      </c>
      <c r="B1283" s="5" t="s">
        <v>7460</v>
      </c>
      <c r="C1283" s="5" t="s">
        <v>3548</v>
      </c>
      <c r="D1283" s="5" t="s">
        <v>3782</v>
      </c>
      <c r="E1283" s="5" t="s">
        <v>7453</v>
      </c>
      <c r="F1283" s="5" t="s">
        <v>4004</v>
      </c>
      <c r="G1283" s="5" t="s">
        <v>4255</v>
      </c>
      <c r="H1283" s="5"/>
      <c r="I1283" s="5" t="s">
        <v>3448</v>
      </c>
      <c r="J1283" s="5" t="s">
        <v>3783</v>
      </c>
      <c r="K1283" s="5" t="s">
        <v>7454</v>
      </c>
      <c r="L1283" s="5">
        <v>39</v>
      </c>
      <c r="M1283" s="5">
        <v>4</v>
      </c>
      <c r="N1283" s="5" t="s">
        <v>4005</v>
      </c>
      <c r="O1283" s="5" t="s">
        <v>4256</v>
      </c>
      <c r="P1283" s="5">
        <v>3</v>
      </c>
      <c r="Q1283" s="5">
        <v>1</v>
      </c>
      <c r="R1283" s="5"/>
      <c r="S1283" s="5">
        <v>170</v>
      </c>
      <c r="T1283" s="5">
        <v>170</v>
      </c>
      <c r="U1283" s="5">
        <v>170</v>
      </c>
    </row>
    <row r="1284" spans="1:21" x14ac:dyDescent="0.25">
      <c r="A1284" s="5" t="s">
        <v>7461</v>
      </c>
      <c r="B1284" s="5" t="s">
        <v>7462</v>
      </c>
      <c r="C1284" s="5" t="s">
        <v>3548</v>
      </c>
      <c r="D1284" s="5" t="s">
        <v>3782</v>
      </c>
      <c r="E1284" s="5" t="s">
        <v>7453</v>
      </c>
      <c r="F1284" s="5" t="s">
        <v>4004</v>
      </c>
      <c r="G1284" s="5" t="s">
        <v>4255</v>
      </c>
      <c r="H1284" s="5"/>
      <c r="I1284" s="5" t="s">
        <v>3448</v>
      </c>
      <c r="J1284" s="5" t="s">
        <v>3783</v>
      </c>
      <c r="K1284" s="5" t="s">
        <v>7454</v>
      </c>
      <c r="L1284" s="5">
        <v>49</v>
      </c>
      <c r="M1284" s="5">
        <v>10</v>
      </c>
      <c r="N1284" s="5" t="s">
        <v>4005</v>
      </c>
      <c r="O1284" s="5" t="s">
        <v>4256</v>
      </c>
      <c r="P1284" s="5">
        <v>4</v>
      </c>
      <c r="Q1284" s="5">
        <v>1</v>
      </c>
      <c r="R1284" s="5"/>
      <c r="S1284" s="5">
        <v>541</v>
      </c>
      <c r="T1284" s="5">
        <v>541</v>
      </c>
      <c r="U1284" s="5">
        <v>541</v>
      </c>
    </row>
    <row r="1285" spans="1:21" x14ac:dyDescent="0.25">
      <c r="A1285" s="5" t="s">
        <v>7463</v>
      </c>
      <c r="B1285" s="5" t="s">
        <v>7464</v>
      </c>
      <c r="C1285" s="5" t="s">
        <v>3548</v>
      </c>
      <c r="D1285" s="5" t="s">
        <v>3782</v>
      </c>
      <c r="E1285" s="5" t="s">
        <v>7453</v>
      </c>
      <c r="F1285" s="5" t="s">
        <v>4004</v>
      </c>
      <c r="G1285" s="5" t="s">
        <v>4255</v>
      </c>
      <c r="H1285" s="5"/>
      <c r="I1285" s="5" t="s">
        <v>3448</v>
      </c>
      <c r="J1285" s="5" t="s">
        <v>3783</v>
      </c>
      <c r="K1285" s="5" t="s">
        <v>7454</v>
      </c>
      <c r="L1285" s="5">
        <v>49</v>
      </c>
      <c r="M1285" s="5">
        <v>12</v>
      </c>
      <c r="N1285" s="5" t="s">
        <v>4005</v>
      </c>
      <c r="O1285" s="5" t="s">
        <v>4256</v>
      </c>
      <c r="P1285" s="5">
        <v>4</v>
      </c>
      <c r="Q1285" s="5">
        <v>1</v>
      </c>
      <c r="R1285" s="5"/>
      <c r="S1285" s="5">
        <v>648</v>
      </c>
      <c r="T1285" s="5">
        <v>648</v>
      </c>
      <c r="U1285" s="5">
        <v>648</v>
      </c>
    </row>
    <row r="1286" spans="1:21" x14ac:dyDescent="0.25">
      <c r="A1286" s="5" t="s">
        <v>7465</v>
      </c>
      <c r="B1286" s="5" t="s">
        <v>7466</v>
      </c>
      <c r="C1286" s="5" t="s">
        <v>3548</v>
      </c>
      <c r="D1286" s="5" t="s">
        <v>3782</v>
      </c>
      <c r="E1286" s="5" t="s">
        <v>7453</v>
      </c>
      <c r="F1286" s="5" t="s">
        <v>4004</v>
      </c>
      <c r="G1286" s="5" t="s">
        <v>4255</v>
      </c>
      <c r="H1286" s="5"/>
      <c r="I1286" s="5" t="s">
        <v>3448</v>
      </c>
      <c r="J1286" s="5" t="s">
        <v>3783</v>
      </c>
      <c r="K1286" s="5" t="s">
        <v>7454</v>
      </c>
      <c r="L1286" s="5">
        <v>49</v>
      </c>
      <c r="M1286" s="5">
        <v>4</v>
      </c>
      <c r="N1286" s="5" t="s">
        <v>4005</v>
      </c>
      <c r="O1286" s="5" t="s">
        <v>4256</v>
      </c>
      <c r="P1286" s="5">
        <v>4</v>
      </c>
      <c r="Q1286" s="5">
        <v>1</v>
      </c>
      <c r="R1286" s="5"/>
      <c r="S1286" s="5">
        <v>216</v>
      </c>
      <c r="T1286" s="5">
        <v>216</v>
      </c>
      <c r="U1286" s="5">
        <v>216</v>
      </c>
    </row>
    <row r="1287" spans="1:21" x14ac:dyDescent="0.25">
      <c r="A1287" s="5" t="s">
        <v>7467</v>
      </c>
      <c r="B1287" s="5" t="s">
        <v>7468</v>
      </c>
      <c r="C1287" s="5" t="s">
        <v>3548</v>
      </c>
      <c r="D1287" s="5" t="s">
        <v>3782</v>
      </c>
      <c r="E1287" s="5" t="s">
        <v>7453</v>
      </c>
      <c r="F1287" s="5" t="s">
        <v>4004</v>
      </c>
      <c r="G1287" s="5" t="s">
        <v>4255</v>
      </c>
      <c r="H1287" s="5"/>
      <c r="I1287" s="5" t="s">
        <v>3448</v>
      </c>
      <c r="J1287" s="5" t="s">
        <v>3783</v>
      </c>
      <c r="K1287" s="5" t="s">
        <v>7454</v>
      </c>
      <c r="L1287" s="5">
        <v>49</v>
      </c>
      <c r="M1287" s="5">
        <v>6</v>
      </c>
      <c r="N1287" s="5" t="s">
        <v>4005</v>
      </c>
      <c r="O1287" s="5" t="s">
        <v>4256</v>
      </c>
      <c r="P1287" s="5">
        <v>4</v>
      </c>
      <c r="Q1287" s="5">
        <v>1</v>
      </c>
      <c r="R1287" s="5"/>
      <c r="S1287" s="5">
        <v>330</v>
      </c>
      <c r="T1287" s="5">
        <v>330</v>
      </c>
      <c r="U1287" s="5">
        <v>330</v>
      </c>
    </row>
    <row r="1288" spans="1:21" x14ac:dyDescent="0.25">
      <c r="A1288" s="5" t="s">
        <v>7469</v>
      </c>
      <c r="B1288" s="5" t="s">
        <v>7470</v>
      </c>
      <c r="C1288" s="5" t="s">
        <v>3548</v>
      </c>
      <c r="D1288" s="5" t="s">
        <v>3782</v>
      </c>
      <c r="E1288" s="5" t="s">
        <v>7453</v>
      </c>
      <c r="F1288" s="5" t="s">
        <v>4004</v>
      </c>
      <c r="G1288" s="5" t="s">
        <v>4255</v>
      </c>
      <c r="H1288" s="5"/>
      <c r="I1288" s="5" t="s">
        <v>3448</v>
      </c>
      <c r="J1288" s="5" t="s">
        <v>3783</v>
      </c>
      <c r="K1288" s="5" t="s">
        <v>7454</v>
      </c>
      <c r="L1288" s="5">
        <v>49</v>
      </c>
      <c r="M1288" s="5">
        <v>8</v>
      </c>
      <c r="N1288" s="5" t="s">
        <v>4005</v>
      </c>
      <c r="O1288" s="5" t="s">
        <v>4256</v>
      </c>
      <c r="P1288" s="5">
        <v>4</v>
      </c>
      <c r="Q1288" s="5">
        <v>1</v>
      </c>
      <c r="R1288" s="5"/>
      <c r="S1288" s="5">
        <v>432</v>
      </c>
      <c r="T1288" s="5">
        <v>432</v>
      </c>
      <c r="U1288" s="5">
        <v>432</v>
      </c>
    </row>
    <row r="1289" spans="1:21" x14ac:dyDescent="0.25">
      <c r="A1289" s="5" t="s">
        <v>5489</v>
      </c>
      <c r="B1289" s="5" t="s">
        <v>5490</v>
      </c>
      <c r="C1289" s="5" t="s">
        <v>3548</v>
      </c>
      <c r="D1289" s="5" t="s">
        <v>3782</v>
      </c>
      <c r="E1289" s="5" t="s">
        <v>4363</v>
      </c>
      <c r="F1289" s="5" t="s">
        <v>4004</v>
      </c>
      <c r="G1289" s="5" t="s">
        <v>3493</v>
      </c>
      <c r="H1289" s="5"/>
      <c r="I1289" s="5" t="s">
        <v>3448</v>
      </c>
      <c r="J1289" s="5" t="s">
        <v>3783</v>
      </c>
      <c r="K1289" s="5" t="s">
        <v>4363</v>
      </c>
      <c r="L1289" s="5">
        <v>32</v>
      </c>
      <c r="M1289" s="5">
        <v>6</v>
      </c>
      <c r="N1289" s="5" t="s">
        <v>4005</v>
      </c>
      <c r="O1289" s="5" t="s">
        <v>3494</v>
      </c>
      <c r="P1289" s="5">
        <v>4</v>
      </c>
      <c r="Q1289" s="5">
        <v>2</v>
      </c>
      <c r="R1289" s="5"/>
      <c r="S1289" s="5">
        <v>171</v>
      </c>
      <c r="T1289" s="5">
        <v>171</v>
      </c>
      <c r="U1289" s="5">
        <v>171</v>
      </c>
    </row>
    <row r="1290" spans="1:21" x14ac:dyDescent="0.25">
      <c r="A1290" s="5" t="s">
        <v>5499</v>
      </c>
      <c r="B1290" s="5" t="s">
        <v>5500</v>
      </c>
      <c r="C1290" s="5" t="s">
        <v>3548</v>
      </c>
      <c r="D1290" s="5" t="s">
        <v>3782</v>
      </c>
      <c r="E1290" s="5" t="s">
        <v>4363</v>
      </c>
      <c r="F1290" s="5" t="s">
        <v>4004</v>
      </c>
      <c r="G1290" s="5" t="s">
        <v>3493</v>
      </c>
      <c r="H1290" s="5"/>
      <c r="I1290" s="5" t="s">
        <v>3448</v>
      </c>
      <c r="J1290" s="5" t="s">
        <v>3783</v>
      </c>
      <c r="K1290" s="5" t="s">
        <v>4363</v>
      </c>
      <c r="L1290" s="5">
        <v>32</v>
      </c>
      <c r="M1290" s="5">
        <v>6</v>
      </c>
      <c r="N1290" s="5" t="s">
        <v>4005</v>
      </c>
      <c r="O1290" s="5" t="s">
        <v>3494</v>
      </c>
      <c r="P1290" s="5">
        <v>4</v>
      </c>
      <c r="Q1290" s="5">
        <v>1</v>
      </c>
      <c r="R1290" s="5"/>
      <c r="S1290" s="5">
        <v>171</v>
      </c>
      <c r="T1290" s="5">
        <v>171</v>
      </c>
      <c r="U1290" s="5">
        <v>171</v>
      </c>
    </row>
    <row r="1291" spans="1:21" x14ac:dyDescent="0.25">
      <c r="A1291" s="5" t="s">
        <v>7471</v>
      </c>
      <c r="B1291" s="5" t="s">
        <v>7472</v>
      </c>
      <c r="C1291" s="5"/>
      <c r="D1291" s="5" t="s">
        <v>6688</v>
      </c>
      <c r="E1291" s="5" t="s">
        <v>6728</v>
      </c>
      <c r="F1291" s="5" t="s">
        <v>6882</v>
      </c>
      <c r="G1291" s="5"/>
      <c r="H1291" s="5"/>
      <c r="I1291" s="5" t="s">
        <v>3483</v>
      </c>
      <c r="J1291" s="5" t="s">
        <v>6690</v>
      </c>
      <c r="K1291" s="5" t="s">
        <v>6729</v>
      </c>
      <c r="L1291" s="5">
        <v>575</v>
      </c>
      <c r="M1291" s="5">
        <v>1</v>
      </c>
      <c r="N1291" s="5" t="s">
        <v>6883</v>
      </c>
      <c r="O1291" s="5"/>
      <c r="P1291" s="5"/>
      <c r="Q1291" s="5">
        <v>1</v>
      </c>
      <c r="R1291" s="5"/>
      <c r="S1291" s="5">
        <v>575</v>
      </c>
      <c r="T1291" s="5">
        <v>575</v>
      </c>
      <c r="U1291" s="5">
        <v>575</v>
      </c>
    </row>
    <row r="1292" spans="1:21" x14ac:dyDescent="0.25">
      <c r="A1292" s="5" t="s">
        <v>7473</v>
      </c>
      <c r="B1292" s="5" t="s">
        <v>7474</v>
      </c>
      <c r="C1292" s="5" t="s">
        <v>3548</v>
      </c>
      <c r="D1292" s="5" t="s">
        <v>3549</v>
      </c>
      <c r="E1292" s="5"/>
      <c r="F1292" s="5"/>
      <c r="G1292" s="5"/>
      <c r="H1292" s="5"/>
      <c r="I1292" s="5" t="s">
        <v>3448</v>
      </c>
      <c r="J1292" s="5" t="s">
        <v>3550</v>
      </c>
      <c r="K1292" s="5" t="s">
        <v>3551</v>
      </c>
      <c r="L1292" s="5">
        <v>15</v>
      </c>
      <c r="M1292" s="5">
        <v>1</v>
      </c>
      <c r="N1292" s="5"/>
      <c r="O1292" s="5"/>
      <c r="P1292" s="5"/>
      <c r="Q1292" s="5"/>
      <c r="R1292" s="5"/>
      <c r="S1292" s="5">
        <v>8</v>
      </c>
      <c r="T1292" s="5">
        <v>8</v>
      </c>
      <c r="U1292" s="5">
        <v>8</v>
      </c>
    </row>
    <row r="1293" spans="1:21" x14ac:dyDescent="0.25">
      <c r="A1293" s="5" t="s">
        <v>5489</v>
      </c>
      <c r="B1293" s="5" t="s">
        <v>7475</v>
      </c>
      <c r="C1293" s="5" t="s">
        <v>3548</v>
      </c>
      <c r="D1293" s="5" t="s">
        <v>3782</v>
      </c>
      <c r="E1293" s="5" t="s">
        <v>4363</v>
      </c>
      <c r="F1293" s="5" t="s">
        <v>4004</v>
      </c>
      <c r="G1293" s="5" t="s">
        <v>3493</v>
      </c>
      <c r="H1293" s="5"/>
      <c r="I1293" s="5" t="s">
        <v>3448</v>
      </c>
      <c r="J1293" s="5" t="s">
        <v>3783</v>
      </c>
      <c r="K1293" s="5" t="s">
        <v>4363</v>
      </c>
      <c r="L1293" s="5">
        <v>32</v>
      </c>
      <c r="M1293" s="5">
        <v>6</v>
      </c>
      <c r="N1293" s="5"/>
      <c r="O1293" s="5"/>
      <c r="P1293" s="5">
        <v>4</v>
      </c>
      <c r="Q1293" s="5">
        <v>2</v>
      </c>
      <c r="R1293" s="5"/>
      <c r="S1293" s="5">
        <v>171</v>
      </c>
      <c r="T1293" s="5">
        <v>171</v>
      </c>
      <c r="U1293" s="5">
        <v>171</v>
      </c>
    </row>
    <row r="1294" spans="1:21" x14ac:dyDescent="0.25">
      <c r="A1294" s="5" t="s">
        <v>5499</v>
      </c>
      <c r="B1294" s="5" t="s">
        <v>7475</v>
      </c>
      <c r="C1294" s="5" t="s">
        <v>3548</v>
      </c>
      <c r="D1294" s="5" t="s">
        <v>3782</v>
      </c>
      <c r="E1294" s="5" t="s">
        <v>4363</v>
      </c>
      <c r="F1294" s="5" t="s">
        <v>4004</v>
      </c>
      <c r="G1294" s="5" t="s">
        <v>3493</v>
      </c>
      <c r="H1294" s="5"/>
      <c r="I1294" s="5" t="s">
        <v>3448</v>
      </c>
      <c r="J1294" s="5" t="s">
        <v>3783</v>
      </c>
      <c r="K1294" s="5" t="s">
        <v>4363</v>
      </c>
      <c r="L1294" s="5">
        <v>32</v>
      </c>
      <c r="M1294" s="5">
        <v>6</v>
      </c>
      <c r="N1294" s="5"/>
      <c r="O1294" s="5"/>
      <c r="P1294" s="5">
        <v>4</v>
      </c>
      <c r="Q1294" s="5">
        <v>1</v>
      </c>
      <c r="R1294" s="5"/>
      <c r="S1294" s="5">
        <v>171</v>
      </c>
      <c r="T1294" s="5">
        <v>171</v>
      </c>
      <c r="U1294" s="5">
        <v>171</v>
      </c>
    </row>
    <row r="1295" spans="1:21" x14ac:dyDescent="0.25">
      <c r="A1295" s="5" t="s">
        <v>7476</v>
      </c>
      <c r="B1295" s="5" t="s">
        <v>7477</v>
      </c>
      <c r="C1295" s="5" t="s">
        <v>3548</v>
      </c>
      <c r="D1295" s="5" t="s">
        <v>3782</v>
      </c>
      <c r="E1295" s="5" t="s">
        <v>5617</v>
      </c>
      <c r="F1295" s="5" t="s">
        <v>5709</v>
      </c>
      <c r="G1295" s="5" t="s">
        <v>5666</v>
      </c>
      <c r="H1295" s="5"/>
      <c r="I1295" s="5" t="s">
        <v>3448</v>
      </c>
      <c r="J1295" s="5" t="s">
        <v>3783</v>
      </c>
      <c r="K1295" s="5" t="s">
        <v>5619</v>
      </c>
      <c r="L1295" s="5">
        <v>25</v>
      </c>
      <c r="M1295" s="5">
        <v>1</v>
      </c>
      <c r="N1295" s="5" t="s">
        <v>5710</v>
      </c>
      <c r="O1295" s="5" t="s">
        <v>5621</v>
      </c>
      <c r="P1295" s="5">
        <v>4</v>
      </c>
      <c r="Q1295" s="5">
        <v>1</v>
      </c>
      <c r="R1295" s="5"/>
      <c r="S1295" s="5">
        <v>30</v>
      </c>
      <c r="T1295" s="5">
        <v>30</v>
      </c>
      <c r="U1295" s="5">
        <v>30</v>
      </c>
    </row>
    <row r="1296" spans="1:21" x14ac:dyDescent="0.25">
      <c r="A1296" s="5" t="s">
        <v>7478</v>
      </c>
      <c r="B1296" s="5" t="s">
        <v>7479</v>
      </c>
      <c r="C1296" s="5" t="s">
        <v>3548</v>
      </c>
      <c r="D1296" s="5" t="s">
        <v>3782</v>
      </c>
      <c r="E1296" s="5" t="s">
        <v>5617</v>
      </c>
      <c r="F1296" s="5" t="s">
        <v>5709</v>
      </c>
      <c r="G1296" s="5" t="s">
        <v>5669</v>
      </c>
      <c r="H1296" s="5"/>
      <c r="I1296" s="5" t="s">
        <v>3448</v>
      </c>
      <c r="J1296" s="5" t="s">
        <v>3783</v>
      </c>
      <c r="K1296" s="5" t="s">
        <v>5619</v>
      </c>
      <c r="L1296" s="5">
        <v>25</v>
      </c>
      <c r="M1296" s="5">
        <v>1</v>
      </c>
      <c r="N1296" s="5" t="s">
        <v>5710</v>
      </c>
      <c r="O1296" s="5" t="s">
        <v>5626</v>
      </c>
      <c r="P1296" s="5">
        <v>4</v>
      </c>
      <c r="Q1296" s="5">
        <v>1</v>
      </c>
      <c r="R1296" s="5"/>
      <c r="S1296" s="5">
        <v>20</v>
      </c>
      <c r="T1296" s="5">
        <v>20</v>
      </c>
      <c r="U1296" s="5">
        <v>20</v>
      </c>
    </row>
    <row r="1297" spans="1:21" x14ac:dyDescent="0.25">
      <c r="A1297" s="5" t="s">
        <v>7480</v>
      </c>
      <c r="B1297" s="5" t="s">
        <v>7481</v>
      </c>
      <c r="C1297" s="5" t="s">
        <v>3548</v>
      </c>
      <c r="D1297" s="5" t="s">
        <v>3782</v>
      </c>
      <c r="E1297" s="5" t="s">
        <v>5617</v>
      </c>
      <c r="F1297" s="5" t="s">
        <v>5709</v>
      </c>
      <c r="G1297" s="5" t="s">
        <v>5672</v>
      </c>
      <c r="H1297" s="5"/>
      <c r="I1297" s="5" t="s">
        <v>3448</v>
      </c>
      <c r="J1297" s="5" t="s">
        <v>3783</v>
      </c>
      <c r="K1297" s="5" t="s">
        <v>5619</v>
      </c>
      <c r="L1297" s="5">
        <v>25</v>
      </c>
      <c r="M1297" s="5">
        <v>1</v>
      </c>
      <c r="N1297" s="5" t="s">
        <v>5710</v>
      </c>
      <c r="O1297" s="5" t="s">
        <v>5631</v>
      </c>
      <c r="P1297" s="5">
        <v>4</v>
      </c>
      <c r="Q1297" s="5">
        <v>1</v>
      </c>
      <c r="R1297" s="5"/>
      <c r="S1297" s="5">
        <v>22</v>
      </c>
      <c r="T1297" s="5">
        <v>22</v>
      </c>
      <c r="U1297" s="5">
        <v>22</v>
      </c>
    </row>
    <row r="1298" spans="1:21" x14ac:dyDescent="0.25">
      <c r="A1298" s="5" t="s">
        <v>7482</v>
      </c>
      <c r="B1298" s="5" t="s">
        <v>5616</v>
      </c>
      <c r="C1298" s="5" t="s">
        <v>3548</v>
      </c>
      <c r="D1298" s="5" t="s">
        <v>3782</v>
      </c>
      <c r="E1298" s="5" t="s">
        <v>5617</v>
      </c>
      <c r="F1298" s="5" t="s">
        <v>5618</v>
      </c>
      <c r="G1298" s="5" t="s">
        <v>5666</v>
      </c>
      <c r="H1298" s="5"/>
      <c r="I1298" s="5" t="s">
        <v>3448</v>
      </c>
      <c r="J1298" s="5" t="s">
        <v>3783</v>
      </c>
      <c r="K1298" s="5" t="s">
        <v>5619</v>
      </c>
      <c r="L1298" s="5">
        <v>25</v>
      </c>
      <c r="M1298" s="5">
        <v>2</v>
      </c>
      <c r="N1298" s="5" t="s">
        <v>5620</v>
      </c>
      <c r="O1298" s="5" t="s">
        <v>5621</v>
      </c>
      <c r="P1298" s="5">
        <v>4</v>
      </c>
      <c r="Q1298" s="5">
        <v>1</v>
      </c>
      <c r="R1298" s="5"/>
      <c r="S1298" s="5">
        <v>60</v>
      </c>
      <c r="T1298" s="5">
        <v>60</v>
      </c>
      <c r="U1298" s="5">
        <v>60</v>
      </c>
    </row>
    <row r="1299" spans="1:21" x14ac:dyDescent="0.25">
      <c r="A1299" s="5" t="s">
        <v>7483</v>
      </c>
      <c r="B1299" s="5" t="s">
        <v>5625</v>
      </c>
      <c r="C1299" s="5" t="s">
        <v>3548</v>
      </c>
      <c r="D1299" s="5" t="s">
        <v>3782</v>
      </c>
      <c r="E1299" s="5" t="s">
        <v>5617</v>
      </c>
      <c r="F1299" s="5" t="s">
        <v>5618</v>
      </c>
      <c r="G1299" s="5" t="s">
        <v>5669</v>
      </c>
      <c r="H1299" s="5"/>
      <c r="I1299" s="5" t="s">
        <v>3448</v>
      </c>
      <c r="J1299" s="5" t="s">
        <v>3783</v>
      </c>
      <c r="K1299" s="5" t="s">
        <v>5619</v>
      </c>
      <c r="L1299" s="5">
        <v>25</v>
      </c>
      <c r="M1299" s="5">
        <v>2</v>
      </c>
      <c r="N1299" s="5" t="s">
        <v>5620</v>
      </c>
      <c r="O1299" s="5" t="s">
        <v>5626</v>
      </c>
      <c r="P1299" s="5">
        <v>4</v>
      </c>
      <c r="Q1299" s="5">
        <v>1</v>
      </c>
      <c r="R1299" s="5"/>
      <c r="S1299" s="5">
        <v>38</v>
      </c>
      <c r="T1299" s="5">
        <v>38</v>
      </c>
      <c r="U1299" s="5">
        <v>38</v>
      </c>
    </row>
    <row r="1300" spans="1:21" x14ac:dyDescent="0.25">
      <c r="A1300" s="5" t="s">
        <v>7484</v>
      </c>
      <c r="B1300" s="5" t="s">
        <v>5630</v>
      </c>
      <c r="C1300" s="5" t="s">
        <v>3548</v>
      </c>
      <c r="D1300" s="5" t="s">
        <v>3782</v>
      </c>
      <c r="E1300" s="5" t="s">
        <v>5617</v>
      </c>
      <c r="F1300" s="5" t="s">
        <v>5618</v>
      </c>
      <c r="G1300" s="5" t="s">
        <v>5672</v>
      </c>
      <c r="H1300" s="5"/>
      <c r="I1300" s="5" t="s">
        <v>3448</v>
      </c>
      <c r="J1300" s="5" t="s">
        <v>3783</v>
      </c>
      <c r="K1300" s="5" t="s">
        <v>5619</v>
      </c>
      <c r="L1300" s="5">
        <v>25</v>
      </c>
      <c r="M1300" s="5">
        <v>2</v>
      </c>
      <c r="N1300" s="5" t="s">
        <v>5620</v>
      </c>
      <c r="O1300" s="5" t="s">
        <v>5631</v>
      </c>
      <c r="P1300" s="5">
        <v>4</v>
      </c>
      <c r="Q1300" s="5">
        <v>1</v>
      </c>
      <c r="R1300" s="5"/>
      <c r="S1300" s="5">
        <v>44</v>
      </c>
      <c r="T1300" s="5">
        <v>44</v>
      </c>
      <c r="U1300" s="5">
        <v>44</v>
      </c>
    </row>
    <row r="1301" spans="1:21" x14ac:dyDescent="0.25">
      <c r="A1301" s="5" t="s">
        <v>7485</v>
      </c>
      <c r="B1301" s="5" t="s">
        <v>7486</v>
      </c>
      <c r="C1301" s="5" t="s">
        <v>3548</v>
      </c>
      <c r="D1301" s="5" t="s">
        <v>3782</v>
      </c>
      <c r="E1301" s="5" t="s">
        <v>5617</v>
      </c>
      <c r="F1301" s="5" t="s">
        <v>5709</v>
      </c>
      <c r="G1301" s="5" t="s">
        <v>5666</v>
      </c>
      <c r="H1301" s="5"/>
      <c r="I1301" s="5" t="s">
        <v>3448</v>
      </c>
      <c r="J1301" s="5" t="s">
        <v>3783</v>
      </c>
      <c r="K1301" s="5" t="s">
        <v>5619</v>
      </c>
      <c r="L1301" s="5">
        <v>25</v>
      </c>
      <c r="M1301" s="5">
        <v>3</v>
      </c>
      <c r="N1301" s="5" t="s">
        <v>5710</v>
      </c>
      <c r="O1301" s="5" t="s">
        <v>5621</v>
      </c>
      <c r="P1301" s="5">
        <v>4</v>
      </c>
      <c r="Q1301" s="5">
        <v>1</v>
      </c>
      <c r="R1301" s="5"/>
      <c r="S1301" s="5">
        <v>85</v>
      </c>
      <c r="T1301" s="5">
        <v>85</v>
      </c>
      <c r="U1301" s="5">
        <v>85</v>
      </c>
    </row>
    <row r="1302" spans="1:21" x14ac:dyDescent="0.25">
      <c r="A1302" s="5" t="s">
        <v>7487</v>
      </c>
      <c r="B1302" s="5" t="s">
        <v>7488</v>
      </c>
      <c r="C1302" s="5" t="s">
        <v>3548</v>
      </c>
      <c r="D1302" s="5" t="s">
        <v>3782</v>
      </c>
      <c r="E1302" s="5" t="s">
        <v>5617</v>
      </c>
      <c r="F1302" s="5" t="s">
        <v>5709</v>
      </c>
      <c r="G1302" s="5" t="s">
        <v>5669</v>
      </c>
      <c r="H1302" s="5"/>
      <c r="I1302" s="5" t="s">
        <v>3448</v>
      </c>
      <c r="J1302" s="5" t="s">
        <v>3783</v>
      </c>
      <c r="K1302" s="5" t="s">
        <v>5619</v>
      </c>
      <c r="L1302" s="5">
        <v>25</v>
      </c>
      <c r="M1302" s="5">
        <v>3</v>
      </c>
      <c r="N1302" s="5" t="s">
        <v>5710</v>
      </c>
      <c r="O1302" s="5" t="s">
        <v>5626</v>
      </c>
      <c r="P1302" s="5">
        <v>4</v>
      </c>
      <c r="Q1302" s="5">
        <v>1</v>
      </c>
      <c r="R1302" s="5"/>
      <c r="S1302" s="5">
        <v>57</v>
      </c>
      <c r="T1302" s="5">
        <v>57</v>
      </c>
      <c r="U1302" s="5">
        <v>57</v>
      </c>
    </row>
    <row r="1303" spans="1:21" x14ac:dyDescent="0.25">
      <c r="A1303" s="5" t="s">
        <v>7489</v>
      </c>
      <c r="B1303" s="5" t="s">
        <v>7490</v>
      </c>
      <c r="C1303" s="5" t="s">
        <v>3548</v>
      </c>
      <c r="D1303" s="5" t="s">
        <v>3782</v>
      </c>
      <c r="E1303" s="5" t="s">
        <v>5617</v>
      </c>
      <c r="F1303" s="5" t="s">
        <v>5709</v>
      </c>
      <c r="G1303" s="5" t="s">
        <v>5672</v>
      </c>
      <c r="H1303" s="5"/>
      <c r="I1303" s="5" t="s">
        <v>3448</v>
      </c>
      <c r="J1303" s="5" t="s">
        <v>3783</v>
      </c>
      <c r="K1303" s="5" t="s">
        <v>5619</v>
      </c>
      <c r="L1303" s="5">
        <v>25</v>
      </c>
      <c r="M1303" s="5">
        <v>3</v>
      </c>
      <c r="N1303" s="5" t="s">
        <v>5710</v>
      </c>
      <c r="O1303" s="5" t="s">
        <v>5631</v>
      </c>
      <c r="P1303" s="5">
        <v>4</v>
      </c>
      <c r="Q1303" s="5">
        <v>1</v>
      </c>
      <c r="R1303" s="5"/>
      <c r="S1303" s="5">
        <v>66</v>
      </c>
      <c r="T1303" s="5">
        <v>66</v>
      </c>
      <c r="U1303" s="5">
        <v>66</v>
      </c>
    </row>
    <row r="1304" spans="1:21" x14ac:dyDescent="0.25">
      <c r="A1304" s="5" t="s">
        <v>7491</v>
      </c>
      <c r="B1304" s="5" t="s">
        <v>7492</v>
      </c>
      <c r="C1304" s="5" t="s">
        <v>3548</v>
      </c>
      <c r="D1304" s="5" t="s">
        <v>3782</v>
      </c>
      <c r="E1304" s="5" t="s">
        <v>5617</v>
      </c>
      <c r="F1304" s="5" t="s">
        <v>5709</v>
      </c>
      <c r="G1304" s="5" t="s">
        <v>5666</v>
      </c>
      <c r="H1304" s="5"/>
      <c r="I1304" s="5" t="s">
        <v>3448</v>
      </c>
      <c r="J1304" s="5" t="s">
        <v>3783</v>
      </c>
      <c r="K1304" s="5" t="s">
        <v>5619</v>
      </c>
      <c r="L1304" s="5">
        <v>25</v>
      </c>
      <c r="M1304" s="5">
        <v>4</v>
      </c>
      <c r="N1304" s="5" t="s">
        <v>5710</v>
      </c>
      <c r="O1304" s="5" t="s">
        <v>5621</v>
      </c>
      <c r="P1304" s="5">
        <v>4</v>
      </c>
      <c r="Q1304" s="5">
        <v>1</v>
      </c>
      <c r="R1304" s="5"/>
      <c r="S1304" s="5">
        <v>112</v>
      </c>
      <c r="T1304" s="5">
        <v>112</v>
      </c>
      <c r="U1304" s="5">
        <v>112</v>
      </c>
    </row>
    <row r="1305" spans="1:21" x14ac:dyDescent="0.25">
      <c r="A1305" s="5" t="s">
        <v>7493</v>
      </c>
      <c r="B1305" s="5" t="s">
        <v>7494</v>
      </c>
      <c r="C1305" s="5" t="s">
        <v>3548</v>
      </c>
      <c r="D1305" s="5" t="s">
        <v>3782</v>
      </c>
      <c r="E1305" s="5" t="s">
        <v>5617</v>
      </c>
      <c r="F1305" s="5" t="s">
        <v>5709</v>
      </c>
      <c r="G1305" s="5" t="s">
        <v>5669</v>
      </c>
      <c r="H1305" s="5"/>
      <c r="I1305" s="5" t="s">
        <v>3448</v>
      </c>
      <c r="J1305" s="5" t="s">
        <v>3783</v>
      </c>
      <c r="K1305" s="5" t="s">
        <v>5619</v>
      </c>
      <c r="L1305" s="5">
        <v>25</v>
      </c>
      <c r="M1305" s="5">
        <v>4</v>
      </c>
      <c r="N1305" s="5" t="s">
        <v>5710</v>
      </c>
      <c r="O1305" s="5" t="s">
        <v>5626</v>
      </c>
      <c r="P1305" s="5">
        <v>4</v>
      </c>
      <c r="Q1305" s="5">
        <v>1</v>
      </c>
      <c r="R1305" s="5"/>
      <c r="S1305" s="5">
        <v>73</v>
      </c>
      <c r="T1305" s="5">
        <v>73</v>
      </c>
      <c r="U1305" s="5">
        <v>73</v>
      </c>
    </row>
    <row r="1306" spans="1:21" x14ac:dyDescent="0.25">
      <c r="A1306" s="5" t="s">
        <v>7495</v>
      </c>
      <c r="B1306" s="5" t="s">
        <v>7496</v>
      </c>
      <c r="C1306" s="5" t="s">
        <v>3548</v>
      </c>
      <c r="D1306" s="5" t="s">
        <v>3782</v>
      </c>
      <c r="E1306" s="5" t="s">
        <v>5617</v>
      </c>
      <c r="F1306" s="5" t="s">
        <v>5709</v>
      </c>
      <c r="G1306" s="5" t="s">
        <v>5672</v>
      </c>
      <c r="H1306" s="5"/>
      <c r="I1306" s="5" t="s">
        <v>3448</v>
      </c>
      <c r="J1306" s="5" t="s">
        <v>3783</v>
      </c>
      <c r="K1306" s="5" t="s">
        <v>5619</v>
      </c>
      <c r="L1306" s="5">
        <v>25</v>
      </c>
      <c r="M1306" s="5">
        <v>4</v>
      </c>
      <c r="N1306" s="5" t="s">
        <v>5710</v>
      </c>
      <c r="O1306" s="5" t="s">
        <v>5631</v>
      </c>
      <c r="P1306" s="5">
        <v>4</v>
      </c>
      <c r="Q1306" s="5">
        <v>1</v>
      </c>
      <c r="R1306" s="5"/>
      <c r="S1306" s="5">
        <v>88</v>
      </c>
      <c r="T1306" s="5">
        <v>88</v>
      </c>
      <c r="U1306" s="5">
        <v>88</v>
      </c>
    </row>
    <row r="1307" spans="1:21" x14ac:dyDescent="0.25">
      <c r="A1307" s="5" t="s">
        <v>7497</v>
      </c>
      <c r="B1307" s="5" t="s">
        <v>7498</v>
      </c>
      <c r="C1307" s="5" t="s">
        <v>3548</v>
      </c>
      <c r="D1307" s="5" t="s">
        <v>3782</v>
      </c>
      <c r="E1307" s="5" t="s">
        <v>5617</v>
      </c>
      <c r="F1307" s="5" t="s">
        <v>5709</v>
      </c>
      <c r="G1307" s="5" t="s">
        <v>5666</v>
      </c>
      <c r="H1307" s="5"/>
      <c r="I1307" s="5" t="s">
        <v>3448</v>
      </c>
      <c r="J1307" s="5" t="s">
        <v>3783</v>
      </c>
      <c r="K1307" s="5" t="s">
        <v>5619</v>
      </c>
      <c r="L1307" s="5">
        <v>28</v>
      </c>
      <c r="M1307" s="5">
        <v>1</v>
      </c>
      <c r="N1307" s="5" t="s">
        <v>5710</v>
      </c>
      <c r="O1307" s="5" t="s">
        <v>5621</v>
      </c>
      <c r="P1307" s="5">
        <v>4</v>
      </c>
      <c r="Q1307" s="5">
        <v>1</v>
      </c>
      <c r="R1307" s="5"/>
      <c r="S1307" s="5">
        <v>34</v>
      </c>
      <c r="T1307" s="5">
        <v>34</v>
      </c>
      <c r="U1307" s="5">
        <v>34</v>
      </c>
    </row>
    <row r="1308" spans="1:21" x14ac:dyDescent="0.25">
      <c r="A1308" s="5" t="s">
        <v>7499</v>
      </c>
      <c r="B1308" s="5" t="s">
        <v>7500</v>
      </c>
      <c r="C1308" s="5" t="s">
        <v>3548</v>
      </c>
      <c r="D1308" s="5" t="s">
        <v>3782</v>
      </c>
      <c r="E1308" s="5" t="s">
        <v>5617</v>
      </c>
      <c r="F1308" s="5" t="s">
        <v>5709</v>
      </c>
      <c r="G1308" s="5" t="s">
        <v>5669</v>
      </c>
      <c r="H1308" s="5"/>
      <c r="I1308" s="5" t="s">
        <v>3448</v>
      </c>
      <c r="J1308" s="5" t="s">
        <v>3783</v>
      </c>
      <c r="K1308" s="5" t="s">
        <v>5619</v>
      </c>
      <c r="L1308" s="5">
        <v>28</v>
      </c>
      <c r="M1308" s="5">
        <v>1</v>
      </c>
      <c r="N1308" s="5" t="s">
        <v>5710</v>
      </c>
      <c r="O1308" s="5" t="s">
        <v>5626</v>
      </c>
      <c r="P1308" s="5">
        <v>4</v>
      </c>
      <c r="Q1308" s="5">
        <v>1</v>
      </c>
      <c r="R1308" s="5"/>
      <c r="S1308" s="5">
        <v>22</v>
      </c>
      <c r="T1308" s="5">
        <v>22</v>
      </c>
      <c r="U1308" s="5">
        <v>22</v>
      </c>
    </row>
    <row r="1309" spans="1:21" x14ac:dyDescent="0.25">
      <c r="A1309" s="5" t="s">
        <v>7501</v>
      </c>
      <c r="B1309" s="5" t="s">
        <v>7502</v>
      </c>
      <c r="C1309" s="5" t="s">
        <v>3548</v>
      </c>
      <c r="D1309" s="5" t="s">
        <v>3782</v>
      </c>
      <c r="E1309" s="5" t="s">
        <v>5617</v>
      </c>
      <c r="F1309" s="5" t="s">
        <v>5709</v>
      </c>
      <c r="G1309" s="5" t="s">
        <v>5672</v>
      </c>
      <c r="H1309" s="5"/>
      <c r="I1309" s="5" t="s">
        <v>3448</v>
      </c>
      <c r="J1309" s="5" t="s">
        <v>3783</v>
      </c>
      <c r="K1309" s="5" t="s">
        <v>5619</v>
      </c>
      <c r="L1309" s="5">
        <v>28</v>
      </c>
      <c r="M1309" s="5">
        <v>1</v>
      </c>
      <c r="N1309" s="5" t="s">
        <v>5710</v>
      </c>
      <c r="O1309" s="5" t="s">
        <v>5631</v>
      </c>
      <c r="P1309" s="5">
        <v>4</v>
      </c>
      <c r="Q1309" s="5">
        <v>1</v>
      </c>
      <c r="R1309" s="5"/>
      <c r="S1309" s="5">
        <v>26</v>
      </c>
      <c r="T1309" s="5">
        <v>26</v>
      </c>
      <c r="U1309" s="5">
        <v>26</v>
      </c>
    </row>
    <row r="1310" spans="1:21" x14ac:dyDescent="0.25">
      <c r="A1310" s="5" t="s">
        <v>7503</v>
      </c>
      <c r="B1310" s="5" t="s">
        <v>7504</v>
      </c>
      <c r="C1310" s="5" t="s">
        <v>3548</v>
      </c>
      <c r="D1310" s="5" t="s">
        <v>3782</v>
      </c>
      <c r="E1310" s="5" t="s">
        <v>5617</v>
      </c>
      <c r="F1310" s="5" t="s">
        <v>5709</v>
      </c>
      <c r="G1310" s="5" t="s">
        <v>5666</v>
      </c>
      <c r="H1310" s="5"/>
      <c r="I1310" s="5" t="s">
        <v>3448</v>
      </c>
      <c r="J1310" s="5" t="s">
        <v>3783</v>
      </c>
      <c r="K1310" s="5" t="s">
        <v>5619</v>
      </c>
      <c r="L1310" s="5">
        <v>28</v>
      </c>
      <c r="M1310" s="5">
        <v>2</v>
      </c>
      <c r="N1310" s="5" t="s">
        <v>5710</v>
      </c>
      <c r="O1310" s="5" t="s">
        <v>5621</v>
      </c>
      <c r="P1310" s="5">
        <v>4</v>
      </c>
      <c r="Q1310" s="5">
        <v>1</v>
      </c>
      <c r="R1310" s="5"/>
      <c r="S1310" s="5">
        <v>67</v>
      </c>
      <c r="T1310" s="5">
        <v>67</v>
      </c>
      <c r="U1310" s="5">
        <v>67</v>
      </c>
    </row>
    <row r="1311" spans="1:21" x14ac:dyDescent="0.25">
      <c r="A1311" s="5" t="s">
        <v>7505</v>
      </c>
      <c r="B1311" s="5" t="s">
        <v>7506</v>
      </c>
      <c r="C1311" s="5" t="s">
        <v>3548</v>
      </c>
      <c r="D1311" s="5" t="s">
        <v>3782</v>
      </c>
      <c r="E1311" s="5" t="s">
        <v>5617</v>
      </c>
      <c r="F1311" s="5" t="s">
        <v>5709</v>
      </c>
      <c r="G1311" s="5" t="s">
        <v>5669</v>
      </c>
      <c r="H1311" s="5"/>
      <c r="I1311" s="5" t="s">
        <v>3448</v>
      </c>
      <c r="J1311" s="5" t="s">
        <v>3783</v>
      </c>
      <c r="K1311" s="5" t="s">
        <v>5619</v>
      </c>
      <c r="L1311" s="5">
        <v>28</v>
      </c>
      <c r="M1311" s="5">
        <v>2</v>
      </c>
      <c r="N1311" s="5" t="s">
        <v>5710</v>
      </c>
      <c r="O1311" s="5" t="s">
        <v>5626</v>
      </c>
      <c r="P1311" s="5">
        <v>4</v>
      </c>
      <c r="Q1311" s="5">
        <v>1</v>
      </c>
      <c r="R1311" s="5"/>
      <c r="S1311" s="5">
        <v>43</v>
      </c>
      <c r="T1311" s="5">
        <v>43</v>
      </c>
      <c r="U1311" s="5">
        <v>43</v>
      </c>
    </row>
    <row r="1312" spans="1:21" x14ac:dyDescent="0.25">
      <c r="A1312" s="5" t="s">
        <v>7507</v>
      </c>
      <c r="B1312" s="5" t="s">
        <v>7508</v>
      </c>
      <c r="C1312" s="5" t="s">
        <v>3548</v>
      </c>
      <c r="D1312" s="5" t="s">
        <v>3782</v>
      </c>
      <c r="E1312" s="5" t="s">
        <v>5617</v>
      </c>
      <c r="F1312" s="5" t="s">
        <v>5709</v>
      </c>
      <c r="G1312" s="5" t="s">
        <v>5672</v>
      </c>
      <c r="H1312" s="5"/>
      <c r="I1312" s="5" t="s">
        <v>3448</v>
      </c>
      <c r="J1312" s="5" t="s">
        <v>3783</v>
      </c>
      <c r="K1312" s="5" t="s">
        <v>5619</v>
      </c>
      <c r="L1312" s="5">
        <v>28</v>
      </c>
      <c r="M1312" s="5">
        <v>2</v>
      </c>
      <c r="N1312" s="5" t="s">
        <v>5710</v>
      </c>
      <c r="O1312" s="5" t="s">
        <v>5631</v>
      </c>
      <c r="P1312" s="5">
        <v>4</v>
      </c>
      <c r="Q1312" s="5">
        <v>1</v>
      </c>
      <c r="R1312" s="5"/>
      <c r="S1312" s="5">
        <v>49</v>
      </c>
      <c r="T1312" s="5">
        <v>49</v>
      </c>
      <c r="U1312" s="5">
        <v>49</v>
      </c>
    </row>
    <row r="1313" spans="1:21" x14ac:dyDescent="0.25">
      <c r="A1313" s="5" t="s">
        <v>7509</v>
      </c>
      <c r="B1313" s="5" t="s">
        <v>7510</v>
      </c>
      <c r="C1313" s="5" t="s">
        <v>3548</v>
      </c>
      <c r="D1313" s="5" t="s">
        <v>3782</v>
      </c>
      <c r="E1313" s="5" t="s">
        <v>5617</v>
      </c>
      <c r="F1313" s="5" t="s">
        <v>5709</v>
      </c>
      <c r="G1313" s="5" t="s">
        <v>5666</v>
      </c>
      <c r="H1313" s="5"/>
      <c r="I1313" s="5" t="s">
        <v>3448</v>
      </c>
      <c r="J1313" s="5" t="s">
        <v>3783</v>
      </c>
      <c r="K1313" s="5" t="s">
        <v>5619</v>
      </c>
      <c r="L1313" s="5">
        <v>28</v>
      </c>
      <c r="M1313" s="5">
        <v>3</v>
      </c>
      <c r="N1313" s="5" t="s">
        <v>5710</v>
      </c>
      <c r="O1313" s="5" t="s">
        <v>5621</v>
      </c>
      <c r="P1313" s="5">
        <v>4</v>
      </c>
      <c r="Q1313" s="5">
        <v>1</v>
      </c>
      <c r="R1313" s="5"/>
      <c r="S1313" s="5">
        <v>96</v>
      </c>
      <c r="T1313" s="5">
        <v>96</v>
      </c>
      <c r="U1313" s="5">
        <v>96</v>
      </c>
    </row>
    <row r="1314" spans="1:21" x14ac:dyDescent="0.25">
      <c r="A1314" s="5" t="s">
        <v>7511</v>
      </c>
      <c r="B1314" s="5" t="s">
        <v>7512</v>
      </c>
      <c r="C1314" s="5" t="s">
        <v>3548</v>
      </c>
      <c r="D1314" s="5" t="s">
        <v>3782</v>
      </c>
      <c r="E1314" s="5" t="s">
        <v>5617</v>
      </c>
      <c r="F1314" s="5" t="s">
        <v>5709</v>
      </c>
      <c r="G1314" s="5" t="s">
        <v>5669</v>
      </c>
      <c r="H1314" s="5"/>
      <c r="I1314" s="5" t="s">
        <v>3448</v>
      </c>
      <c r="J1314" s="5" t="s">
        <v>3783</v>
      </c>
      <c r="K1314" s="5" t="s">
        <v>5619</v>
      </c>
      <c r="L1314" s="5">
        <v>28</v>
      </c>
      <c r="M1314" s="5">
        <v>3</v>
      </c>
      <c r="N1314" s="5" t="s">
        <v>5710</v>
      </c>
      <c r="O1314" s="5" t="s">
        <v>5626</v>
      </c>
      <c r="P1314" s="5">
        <v>4</v>
      </c>
      <c r="Q1314" s="5">
        <v>1</v>
      </c>
      <c r="R1314" s="5"/>
      <c r="S1314" s="5">
        <v>64</v>
      </c>
      <c r="T1314" s="5">
        <v>64</v>
      </c>
      <c r="U1314" s="5">
        <v>64</v>
      </c>
    </row>
    <row r="1315" spans="1:21" x14ac:dyDescent="0.25">
      <c r="A1315" s="5" t="s">
        <v>7513</v>
      </c>
      <c r="B1315" s="5" t="s">
        <v>7514</v>
      </c>
      <c r="C1315" s="5" t="s">
        <v>3548</v>
      </c>
      <c r="D1315" s="5" t="s">
        <v>3782</v>
      </c>
      <c r="E1315" s="5" t="s">
        <v>5617</v>
      </c>
      <c r="F1315" s="5" t="s">
        <v>5709</v>
      </c>
      <c r="G1315" s="5" t="s">
        <v>5672</v>
      </c>
      <c r="H1315" s="5"/>
      <c r="I1315" s="5" t="s">
        <v>3448</v>
      </c>
      <c r="J1315" s="5" t="s">
        <v>3783</v>
      </c>
      <c r="K1315" s="5" t="s">
        <v>5619</v>
      </c>
      <c r="L1315" s="5">
        <v>28</v>
      </c>
      <c r="M1315" s="5">
        <v>3</v>
      </c>
      <c r="N1315" s="5" t="s">
        <v>5710</v>
      </c>
      <c r="O1315" s="5" t="s">
        <v>5631</v>
      </c>
      <c r="P1315" s="5">
        <v>4</v>
      </c>
      <c r="Q1315" s="5">
        <v>1</v>
      </c>
      <c r="R1315" s="5"/>
      <c r="S1315" s="5">
        <v>74</v>
      </c>
      <c r="T1315" s="5">
        <v>74</v>
      </c>
      <c r="U1315" s="5">
        <v>74</v>
      </c>
    </row>
    <row r="1316" spans="1:21" x14ac:dyDescent="0.25">
      <c r="A1316" s="5" t="s">
        <v>7515</v>
      </c>
      <c r="B1316" s="5" t="s">
        <v>7516</v>
      </c>
      <c r="C1316" s="5" t="s">
        <v>3548</v>
      </c>
      <c r="D1316" s="5" t="s">
        <v>3782</v>
      </c>
      <c r="E1316" s="5" t="s">
        <v>5617</v>
      </c>
      <c r="F1316" s="5" t="s">
        <v>5709</v>
      </c>
      <c r="G1316" s="5" t="s">
        <v>5666</v>
      </c>
      <c r="H1316" s="5"/>
      <c r="I1316" s="5" t="s">
        <v>3448</v>
      </c>
      <c r="J1316" s="5" t="s">
        <v>3783</v>
      </c>
      <c r="K1316" s="5" t="s">
        <v>5619</v>
      </c>
      <c r="L1316" s="5">
        <v>28</v>
      </c>
      <c r="M1316" s="5">
        <v>4</v>
      </c>
      <c r="N1316" s="5" t="s">
        <v>5710</v>
      </c>
      <c r="O1316" s="5" t="s">
        <v>5621</v>
      </c>
      <c r="P1316" s="5">
        <v>4</v>
      </c>
      <c r="Q1316" s="5">
        <v>1</v>
      </c>
      <c r="R1316" s="5"/>
      <c r="S1316" s="5">
        <v>125</v>
      </c>
      <c r="T1316" s="5">
        <v>125</v>
      </c>
      <c r="U1316" s="5">
        <v>125</v>
      </c>
    </row>
    <row r="1317" spans="1:21" x14ac:dyDescent="0.25">
      <c r="A1317" s="5" t="s">
        <v>7517</v>
      </c>
      <c r="B1317" s="5" t="s">
        <v>7518</v>
      </c>
      <c r="C1317" s="5" t="s">
        <v>3548</v>
      </c>
      <c r="D1317" s="5" t="s">
        <v>3782</v>
      </c>
      <c r="E1317" s="5" t="s">
        <v>5617</v>
      </c>
      <c r="F1317" s="5" t="s">
        <v>5709</v>
      </c>
      <c r="G1317" s="5" t="s">
        <v>5669</v>
      </c>
      <c r="H1317" s="5"/>
      <c r="I1317" s="5" t="s">
        <v>3448</v>
      </c>
      <c r="J1317" s="5" t="s">
        <v>3783</v>
      </c>
      <c r="K1317" s="5" t="s">
        <v>5619</v>
      </c>
      <c r="L1317" s="5">
        <v>28</v>
      </c>
      <c r="M1317" s="5">
        <v>4</v>
      </c>
      <c r="N1317" s="5" t="s">
        <v>5710</v>
      </c>
      <c r="O1317" s="5" t="s">
        <v>5626</v>
      </c>
      <c r="P1317" s="5">
        <v>4</v>
      </c>
      <c r="Q1317" s="5">
        <v>1</v>
      </c>
      <c r="R1317" s="5"/>
      <c r="S1317" s="5">
        <v>82</v>
      </c>
      <c r="T1317" s="5">
        <v>82</v>
      </c>
      <c r="U1317" s="5">
        <v>82</v>
      </c>
    </row>
    <row r="1318" spans="1:21" x14ac:dyDescent="0.25">
      <c r="A1318" s="5" t="s">
        <v>7519</v>
      </c>
      <c r="B1318" s="5" t="s">
        <v>7520</v>
      </c>
      <c r="C1318" s="5" t="s">
        <v>3548</v>
      </c>
      <c r="D1318" s="5" t="s">
        <v>3782</v>
      </c>
      <c r="E1318" s="5" t="s">
        <v>5617</v>
      </c>
      <c r="F1318" s="5" t="s">
        <v>5709</v>
      </c>
      <c r="G1318" s="5" t="s">
        <v>5672</v>
      </c>
      <c r="H1318" s="5"/>
      <c r="I1318" s="5" t="s">
        <v>3448</v>
      </c>
      <c r="J1318" s="5" t="s">
        <v>3783</v>
      </c>
      <c r="K1318" s="5" t="s">
        <v>5619</v>
      </c>
      <c r="L1318" s="5">
        <v>28</v>
      </c>
      <c r="M1318" s="5">
        <v>4</v>
      </c>
      <c r="N1318" s="5" t="s">
        <v>5710</v>
      </c>
      <c r="O1318" s="5" t="s">
        <v>5631</v>
      </c>
      <c r="P1318" s="5">
        <v>4</v>
      </c>
      <c r="Q1318" s="5">
        <v>1</v>
      </c>
      <c r="R1318" s="5"/>
      <c r="S1318" s="5">
        <v>99</v>
      </c>
      <c r="T1318" s="5">
        <v>99</v>
      </c>
      <c r="U1318" s="5">
        <v>99</v>
      </c>
    </row>
    <row r="1319" spans="1:21" x14ac:dyDescent="0.25">
      <c r="A1319" s="5" t="s">
        <v>7521</v>
      </c>
      <c r="B1319" s="5" t="s">
        <v>7522</v>
      </c>
      <c r="C1319" s="5" t="s">
        <v>3548</v>
      </c>
      <c r="D1319" s="5" t="s">
        <v>5817</v>
      </c>
      <c r="E1319" s="5" t="s">
        <v>5617</v>
      </c>
      <c r="F1319" s="5" t="s">
        <v>5709</v>
      </c>
      <c r="G1319" s="5" t="s">
        <v>3493</v>
      </c>
      <c r="H1319" s="5"/>
      <c r="I1319" s="5" t="s">
        <v>3448</v>
      </c>
      <c r="J1319" s="5" t="s">
        <v>5818</v>
      </c>
      <c r="K1319" s="5" t="s">
        <v>5619</v>
      </c>
      <c r="L1319" s="5">
        <v>25</v>
      </c>
      <c r="M1319" s="5">
        <v>2</v>
      </c>
      <c r="N1319" s="5"/>
      <c r="O1319" s="5"/>
      <c r="P1319" s="5">
        <v>2</v>
      </c>
      <c r="Q1319" s="5">
        <v>1</v>
      </c>
      <c r="R1319" s="5"/>
      <c r="S1319" s="5">
        <v>44</v>
      </c>
      <c r="T1319" s="5">
        <v>44</v>
      </c>
      <c r="U1319" s="5">
        <v>44</v>
      </c>
    </row>
    <row r="1320" spans="1:21" x14ac:dyDescent="0.25">
      <c r="A1320" s="5" t="s">
        <v>7523</v>
      </c>
      <c r="B1320" s="5" t="s">
        <v>7524</v>
      </c>
      <c r="C1320" s="5" t="s">
        <v>3548</v>
      </c>
      <c r="D1320" s="5" t="s">
        <v>5817</v>
      </c>
      <c r="E1320" s="5" t="s">
        <v>5617</v>
      </c>
      <c r="F1320" s="5" t="s">
        <v>5709</v>
      </c>
      <c r="G1320" s="5" t="s">
        <v>3493</v>
      </c>
      <c r="H1320" s="5"/>
      <c r="I1320" s="5" t="s">
        <v>3448</v>
      </c>
      <c r="J1320" s="5" t="s">
        <v>5818</v>
      </c>
      <c r="K1320" s="5" t="s">
        <v>5619</v>
      </c>
      <c r="L1320" s="5">
        <v>25</v>
      </c>
      <c r="M1320" s="5">
        <v>3</v>
      </c>
      <c r="N1320" s="5"/>
      <c r="O1320" s="5"/>
      <c r="P1320" s="5">
        <v>2</v>
      </c>
      <c r="Q1320" s="5">
        <v>1</v>
      </c>
      <c r="R1320" s="5"/>
      <c r="S1320" s="5">
        <v>67</v>
      </c>
      <c r="T1320" s="5">
        <v>67</v>
      </c>
      <c r="U1320" s="5">
        <v>67</v>
      </c>
    </row>
    <row r="1321" spans="1:21" x14ac:dyDescent="0.25">
      <c r="A1321" s="5" t="s">
        <v>7525</v>
      </c>
      <c r="B1321" s="5" t="s">
        <v>7526</v>
      </c>
      <c r="C1321" s="5" t="s">
        <v>3548</v>
      </c>
      <c r="D1321" s="5" t="s">
        <v>5817</v>
      </c>
      <c r="E1321" s="5" t="s">
        <v>5617</v>
      </c>
      <c r="F1321" s="5" t="s">
        <v>5709</v>
      </c>
      <c r="G1321" s="5" t="s">
        <v>3493</v>
      </c>
      <c r="H1321" s="5"/>
      <c r="I1321" s="5" t="s">
        <v>3448</v>
      </c>
      <c r="J1321" s="5" t="s">
        <v>5818</v>
      </c>
      <c r="K1321" s="5" t="s">
        <v>5619</v>
      </c>
      <c r="L1321" s="5">
        <v>28</v>
      </c>
      <c r="M1321" s="5">
        <v>2</v>
      </c>
      <c r="N1321" s="5"/>
      <c r="O1321" s="5"/>
      <c r="P1321" s="5">
        <v>2</v>
      </c>
      <c r="Q1321" s="5">
        <v>1</v>
      </c>
      <c r="R1321" s="5"/>
      <c r="S1321" s="5">
        <v>50</v>
      </c>
      <c r="T1321" s="5">
        <v>50</v>
      </c>
      <c r="U1321" s="5">
        <v>50</v>
      </c>
    </row>
    <row r="1322" spans="1:21" x14ac:dyDescent="0.25">
      <c r="A1322" s="5" t="s">
        <v>7527</v>
      </c>
      <c r="B1322" s="5" t="s">
        <v>7528</v>
      </c>
      <c r="C1322" s="5" t="s">
        <v>3548</v>
      </c>
      <c r="D1322" s="5" t="s">
        <v>5817</v>
      </c>
      <c r="E1322" s="5" t="s">
        <v>5617</v>
      </c>
      <c r="F1322" s="5" t="s">
        <v>5709</v>
      </c>
      <c r="G1322" s="5" t="s">
        <v>3493</v>
      </c>
      <c r="H1322" s="5"/>
      <c r="I1322" s="5" t="s">
        <v>3448</v>
      </c>
      <c r="J1322" s="5" t="s">
        <v>5818</v>
      </c>
      <c r="K1322" s="5" t="s">
        <v>5619</v>
      </c>
      <c r="L1322" s="5">
        <v>28</v>
      </c>
      <c r="M1322" s="5">
        <v>3</v>
      </c>
      <c r="N1322" s="5"/>
      <c r="O1322" s="5"/>
      <c r="P1322" s="5">
        <v>2</v>
      </c>
      <c r="Q1322" s="5">
        <v>1</v>
      </c>
      <c r="R1322" s="5"/>
      <c r="S1322" s="5">
        <v>74</v>
      </c>
      <c r="T1322" s="5">
        <v>74</v>
      </c>
      <c r="U1322" s="5">
        <v>74</v>
      </c>
    </row>
    <row r="1323" spans="1:21" x14ac:dyDescent="0.25">
      <c r="A1323" s="5" t="s">
        <v>7529</v>
      </c>
      <c r="B1323" s="5" t="s">
        <v>7530</v>
      </c>
      <c r="C1323" s="5" t="s">
        <v>3548</v>
      </c>
      <c r="D1323" s="5" t="s">
        <v>5817</v>
      </c>
      <c r="E1323" s="5" t="s">
        <v>5617</v>
      </c>
      <c r="F1323" s="5" t="s">
        <v>5709</v>
      </c>
      <c r="G1323" s="5" t="s">
        <v>3493</v>
      </c>
      <c r="H1323" s="5"/>
      <c r="I1323" s="5" t="s">
        <v>3448</v>
      </c>
      <c r="J1323" s="5" t="s">
        <v>5818</v>
      </c>
      <c r="K1323" s="5" t="s">
        <v>5619</v>
      </c>
      <c r="L1323" s="5">
        <v>32</v>
      </c>
      <c r="M1323" s="5">
        <v>2</v>
      </c>
      <c r="N1323" s="5"/>
      <c r="O1323" s="5"/>
      <c r="P1323" s="5">
        <v>2</v>
      </c>
      <c r="Q1323" s="5">
        <v>1</v>
      </c>
      <c r="R1323" s="5"/>
      <c r="S1323" s="5">
        <v>56</v>
      </c>
      <c r="T1323" s="5">
        <v>56</v>
      </c>
      <c r="U1323" s="5">
        <v>56</v>
      </c>
    </row>
    <row r="1324" spans="1:21" x14ac:dyDescent="0.25">
      <c r="A1324" s="5" t="s">
        <v>7531</v>
      </c>
      <c r="B1324" s="5" t="s">
        <v>7532</v>
      </c>
      <c r="C1324" s="5" t="s">
        <v>3548</v>
      </c>
      <c r="D1324" s="5" t="s">
        <v>5817</v>
      </c>
      <c r="E1324" s="5" t="s">
        <v>5617</v>
      </c>
      <c r="F1324" s="5" t="s">
        <v>5709</v>
      </c>
      <c r="G1324" s="5" t="s">
        <v>3493</v>
      </c>
      <c r="H1324" s="5"/>
      <c r="I1324" s="5" t="s">
        <v>3448</v>
      </c>
      <c r="J1324" s="5" t="s">
        <v>5818</v>
      </c>
      <c r="K1324" s="5" t="s">
        <v>5619</v>
      </c>
      <c r="L1324" s="5">
        <v>32</v>
      </c>
      <c r="M1324" s="5">
        <v>3</v>
      </c>
      <c r="N1324" s="5"/>
      <c r="O1324" s="5"/>
      <c r="P1324" s="5">
        <v>2</v>
      </c>
      <c r="Q1324" s="5">
        <v>1</v>
      </c>
      <c r="R1324" s="5"/>
      <c r="S1324" s="5">
        <v>84</v>
      </c>
      <c r="T1324" s="5">
        <v>84</v>
      </c>
      <c r="U1324" s="5">
        <v>84</v>
      </c>
    </row>
    <row r="1325" spans="1:21" x14ac:dyDescent="0.25">
      <c r="A1325" s="5" t="s">
        <v>7188</v>
      </c>
      <c r="B1325" s="5" t="s">
        <v>7189</v>
      </c>
      <c r="C1325" s="5" t="s">
        <v>3450</v>
      </c>
      <c r="D1325" s="5"/>
      <c r="E1325" s="5" t="s">
        <v>6531</v>
      </c>
      <c r="F1325" s="5"/>
      <c r="G1325" s="5"/>
      <c r="H1325" s="5"/>
      <c r="I1325" s="5" t="s">
        <v>3450</v>
      </c>
      <c r="J1325" s="5"/>
      <c r="K1325" s="5" t="s">
        <v>6532</v>
      </c>
      <c r="L1325" s="5">
        <v>151</v>
      </c>
      <c r="M1325" s="5">
        <v>1</v>
      </c>
      <c r="N1325" s="5"/>
      <c r="O1325" s="5"/>
      <c r="P1325" s="5"/>
      <c r="Q1325" s="5"/>
      <c r="R1325" s="5"/>
      <c r="S1325" s="5">
        <v>151</v>
      </c>
      <c r="T1325" s="5">
        <v>151</v>
      </c>
      <c r="U1325" s="5">
        <v>151</v>
      </c>
    </row>
    <row r="1326" spans="1:21" x14ac:dyDescent="0.25">
      <c r="A1326" s="5" t="s">
        <v>7533</v>
      </c>
      <c r="B1326" s="5" t="s">
        <v>7534</v>
      </c>
      <c r="C1326" s="5" t="s">
        <v>3450</v>
      </c>
      <c r="D1326" s="5"/>
      <c r="E1326" s="5" t="s">
        <v>6531</v>
      </c>
      <c r="F1326" s="5"/>
      <c r="G1326" s="5"/>
      <c r="H1326" s="5"/>
      <c r="I1326" s="5" t="s">
        <v>3450</v>
      </c>
      <c r="J1326" s="5"/>
      <c r="K1326" s="5" t="s">
        <v>6532</v>
      </c>
      <c r="L1326" s="5">
        <v>154</v>
      </c>
      <c r="M1326" s="5">
        <v>1</v>
      </c>
      <c r="N1326" s="5"/>
      <c r="O1326" s="5"/>
      <c r="P1326" s="5"/>
      <c r="Q1326" s="5"/>
      <c r="R1326" s="5"/>
      <c r="S1326" s="5">
        <v>154</v>
      </c>
      <c r="T1326" s="5">
        <v>154</v>
      </c>
      <c r="U1326" s="5">
        <v>154</v>
      </c>
    </row>
    <row r="1327" spans="1:21" x14ac:dyDescent="0.25">
      <c r="A1327" s="5" t="s">
        <v>7535</v>
      </c>
      <c r="B1327" s="5" t="s">
        <v>7536</v>
      </c>
      <c r="C1327" s="5" t="s">
        <v>3450</v>
      </c>
      <c r="D1327" s="5"/>
      <c r="E1327" s="5" t="s">
        <v>6531</v>
      </c>
      <c r="F1327" s="5"/>
      <c r="G1327" s="5"/>
      <c r="H1327" s="5"/>
      <c r="I1327" s="5" t="s">
        <v>3450</v>
      </c>
      <c r="J1327" s="5"/>
      <c r="K1327" s="5" t="s">
        <v>6532</v>
      </c>
      <c r="L1327" s="5">
        <v>256</v>
      </c>
      <c r="M1327" s="5">
        <v>1</v>
      </c>
      <c r="N1327" s="5"/>
      <c r="O1327" s="5"/>
      <c r="P1327" s="5"/>
      <c r="Q1327" s="5"/>
      <c r="R1327" s="5"/>
      <c r="S1327" s="5">
        <v>256</v>
      </c>
      <c r="T1327" s="5">
        <v>256</v>
      </c>
      <c r="U1327" s="5">
        <v>256</v>
      </c>
    </row>
    <row r="1328" spans="1:21" x14ac:dyDescent="0.25">
      <c r="A1328" s="5" t="s">
        <v>7537</v>
      </c>
      <c r="B1328" s="5" t="s">
        <v>7538</v>
      </c>
      <c r="C1328" s="5" t="s">
        <v>3450</v>
      </c>
      <c r="D1328" s="5"/>
      <c r="E1328" s="5" t="s">
        <v>6531</v>
      </c>
      <c r="F1328" s="5"/>
      <c r="G1328" s="5"/>
      <c r="H1328" s="5"/>
      <c r="I1328" s="5" t="s">
        <v>3450</v>
      </c>
      <c r="J1328" s="5"/>
      <c r="K1328" s="5" t="s">
        <v>6532</v>
      </c>
      <c r="L1328" s="5">
        <v>279</v>
      </c>
      <c r="M1328" s="5">
        <v>1</v>
      </c>
      <c r="N1328" s="5"/>
      <c r="O1328" s="5"/>
      <c r="P1328" s="5"/>
      <c r="Q1328" s="5"/>
      <c r="R1328" s="5"/>
      <c r="S1328" s="5">
        <v>279</v>
      </c>
      <c r="T1328" s="5">
        <v>279</v>
      </c>
      <c r="U1328" s="5">
        <v>279</v>
      </c>
    </row>
    <row r="1329" spans="1:21" x14ac:dyDescent="0.25">
      <c r="A1329" s="5" t="s">
        <v>3453</v>
      </c>
      <c r="B1329" s="5" t="s">
        <v>7539</v>
      </c>
      <c r="C1329" s="5" t="s">
        <v>3450</v>
      </c>
      <c r="D1329" s="5"/>
      <c r="E1329" s="5" t="s">
        <v>6531</v>
      </c>
      <c r="F1329" s="5"/>
      <c r="G1329" s="5"/>
      <c r="H1329" s="5"/>
      <c r="I1329" s="5" t="s">
        <v>3450</v>
      </c>
      <c r="J1329" s="5"/>
      <c r="K1329" s="5" t="s">
        <v>6532</v>
      </c>
      <c r="L1329" s="5">
        <v>285</v>
      </c>
      <c r="M1329" s="5">
        <v>1</v>
      </c>
      <c r="N1329" s="5"/>
      <c r="O1329" s="5"/>
      <c r="P1329" s="5"/>
      <c r="Q1329" s="5"/>
      <c r="R1329" s="5"/>
      <c r="S1329" s="5">
        <v>285</v>
      </c>
      <c r="T1329" s="5">
        <v>285</v>
      </c>
      <c r="U1329" s="5">
        <v>285</v>
      </c>
    </row>
    <row r="1330" spans="1:21" x14ac:dyDescent="0.25">
      <c r="A1330" s="5" t="s">
        <v>7540</v>
      </c>
      <c r="B1330" s="5" t="s">
        <v>7541</v>
      </c>
      <c r="C1330" s="5" t="s">
        <v>3450</v>
      </c>
      <c r="D1330" s="5"/>
      <c r="E1330" s="5" t="s">
        <v>6531</v>
      </c>
      <c r="F1330" s="5"/>
      <c r="G1330" s="5"/>
      <c r="H1330" s="5"/>
      <c r="I1330" s="5" t="s">
        <v>3450</v>
      </c>
      <c r="J1330" s="5"/>
      <c r="K1330" s="5" t="s">
        <v>6532</v>
      </c>
      <c r="L1330" s="5">
        <v>303</v>
      </c>
      <c r="M1330" s="5">
        <v>1</v>
      </c>
      <c r="N1330" s="5"/>
      <c r="O1330" s="5"/>
      <c r="P1330" s="5"/>
      <c r="Q1330" s="5"/>
      <c r="R1330" s="5"/>
      <c r="S1330" s="5">
        <v>303</v>
      </c>
      <c r="T1330" s="5">
        <v>303</v>
      </c>
      <c r="U1330" s="5">
        <v>303</v>
      </c>
    </row>
    <row r="1331" spans="1:21" x14ac:dyDescent="0.25">
      <c r="A1331" s="5" t="s">
        <v>7542</v>
      </c>
      <c r="B1331" s="5" t="s">
        <v>7543</v>
      </c>
      <c r="C1331" s="5" t="s">
        <v>3450</v>
      </c>
      <c r="D1331" s="5"/>
      <c r="E1331" s="5" t="s">
        <v>6531</v>
      </c>
      <c r="F1331" s="5"/>
      <c r="G1331" s="5"/>
      <c r="H1331" s="5"/>
      <c r="I1331" s="5" t="s">
        <v>3450</v>
      </c>
      <c r="J1331" s="5"/>
      <c r="K1331" s="5" t="s">
        <v>6532</v>
      </c>
      <c r="L1331" s="5">
        <v>27</v>
      </c>
      <c r="M1331" s="5">
        <v>1</v>
      </c>
      <c r="N1331" s="5"/>
      <c r="O1331" s="5"/>
      <c r="P1331" s="5"/>
      <c r="Q1331" s="5"/>
      <c r="R1331" s="5"/>
      <c r="S1331" s="5">
        <v>27</v>
      </c>
      <c r="T1331" s="5">
        <v>27</v>
      </c>
      <c r="U1331" s="5">
        <v>27</v>
      </c>
    </row>
    <row r="1332" spans="1:21" x14ac:dyDescent="0.25">
      <c r="A1332" s="5" t="s">
        <v>7544</v>
      </c>
      <c r="B1332" s="5" t="s">
        <v>7545</v>
      </c>
      <c r="C1332" s="5" t="s">
        <v>3450</v>
      </c>
      <c r="D1332" s="5"/>
      <c r="E1332" s="5" t="s">
        <v>6531</v>
      </c>
      <c r="F1332" s="5"/>
      <c r="G1332" s="5"/>
      <c r="H1332" s="5"/>
      <c r="I1332" s="5" t="s">
        <v>3450</v>
      </c>
      <c r="J1332" s="5"/>
      <c r="K1332" s="5" t="s">
        <v>6532</v>
      </c>
      <c r="L1332" s="5">
        <v>95</v>
      </c>
      <c r="M1332" s="5">
        <v>1</v>
      </c>
      <c r="N1332" s="5"/>
      <c r="O1332" s="5"/>
      <c r="P1332" s="5"/>
      <c r="Q1332" s="5"/>
      <c r="R1332" s="5"/>
      <c r="S1332" s="5">
        <v>95</v>
      </c>
      <c r="T1332" s="5">
        <v>95</v>
      </c>
      <c r="U1332" s="5">
        <v>95</v>
      </c>
    </row>
    <row r="1333" spans="1:21" x14ac:dyDescent="0.25">
      <c r="A1333" s="5" t="s">
        <v>7244</v>
      </c>
      <c r="B1333" s="5" t="s">
        <v>7245</v>
      </c>
      <c r="C1333" s="5" t="s">
        <v>3450</v>
      </c>
      <c r="D1333" s="5"/>
      <c r="E1333" s="5" t="s">
        <v>6609</v>
      </c>
      <c r="F1333" s="5"/>
      <c r="G1333" s="5"/>
      <c r="H1333" s="5"/>
      <c r="I1333" s="5" t="s">
        <v>3450</v>
      </c>
      <c r="J1333" s="5"/>
      <c r="K1333" s="5" t="s">
        <v>6610</v>
      </c>
      <c r="L1333" s="5">
        <v>156</v>
      </c>
      <c r="M1333" s="5">
        <v>1</v>
      </c>
      <c r="N1333" s="5"/>
      <c r="O1333" s="5"/>
      <c r="P1333" s="5"/>
      <c r="Q1333" s="5"/>
      <c r="R1333" s="5"/>
      <c r="S1333" s="5">
        <v>157</v>
      </c>
      <c r="T1333" s="5">
        <v>157</v>
      </c>
      <c r="U1333" s="5">
        <v>157</v>
      </c>
    </row>
    <row r="1334" spans="1:21" x14ac:dyDescent="0.25">
      <c r="A1334" s="5" t="s">
        <v>7246</v>
      </c>
      <c r="B1334" s="5" t="s">
        <v>7247</v>
      </c>
      <c r="C1334" s="5" t="s">
        <v>3450</v>
      </c>
      <c r="D1334" s="5"/>
      <c r="E1334" s="5" t="s">
        <v>6609</v>
      </c>
      <c r="F1334" s="5"/>
      <c r="G1334" s="5"/>
      <c r="H1334" s="5"/>
      <c r="I1334" s="5" t="s">
        <v>3450</v>
      </c>
      <c r="J1334" s="5"/>
      <c r="K1334" s="5" t="s">
        <v>6610</v>
      </c>
      <c r="L1334" s="5">
        <v>193</v>
      </c>
      <c r="M1334" s="5">
        <v>1</v>
      </c>
      <c r="N1334" s="5"/>
      <c r="O1334" s="5"/>
      <c r="P1334" s="5"/>
      <c r="Q1334" s="5"/>
      <c r="R1334" s="5"/>
      <c r="S1334" s="5">
        <v>193</v>
      </c>
      <c r="T1334" s="5">
        <v>193</v>
      </c>
      <c r="U1334" s="5">
        <v>193</v>
      </c>
    </row>
    <row r="1335" spans="1:21" x14ac:dyDescent="0.25">
      <c r="A1335" s="5" t="s">
        <v>7546</v>
      </c>
      <c r="B1335" s="5" t="s">
        <v>7547</v>
      </c>
      <c r="C1335" s="5" t="s">
        <v>3450</v>
      </c>
      <c r="D1335" s="5"/>
      <c r="E1335" s="5" t="s">
        <v>6609</v>
      </c>
      <c r="F1335" s="5"/>
      <c r="G1335" s="5"/>
      <c r="H1335" s="5"/>
      <c r="I1335" s="5" t="s">
        <v>3450</v>
      </c>
      <c r="J1335" s="5"/>
      <c r="K1335" s="5" t="s">
        <v>6610</v>
      </c>
      <c r="L1335" s="5">
        <v>101</v>
      </c>
      <c r="M1335" s="5">
        <v>1</v>
      </c>
      <c r="N1335" s="5"/>
      <c r="O1335" s="5"/>
      <c r="P1335" s="5"/>
      <c r="Q1335" s="5"/>
      <c r="R1335" s="5"/>
      <c r="S1335" s="5">
        <v>101</v>
      </c>
      <c r="T1335" s="5">
        <v>101</v>
      </c>
      <c r="U1335" s="5">
        <v>101</v>
      </c>
    </row>
    <row r="1336" spans="1:21" x14ac:dyDescent="0.25">
      <c r="A1336" s="5" t="s">
        <v>7548</v>
      </c>
      <c r="B1336" s="5" t="s">
        <v>7549</v>
      </c>
      <c r="C1336" s="5" t="s">
        <v>3450</v>
      </c>
      <c r="D1336" s="5"/>
      <c r="E1336" s="5" t="s">
        <v>6609</v>
      </c>
      <c r="F1336" s="5"/>
      <c r="G1336" s="5"/>
      <c r="H1336" s="5"/>
      <c r="I1336" s="5" t="s">
        <v>3450</v>
      </c>
      <c r="J1336" s="5"/>
      <c r="K1336" s="5" t="s">
        <v>6610</v>
      </c>
      <c r="L1336" s="5">
        <v>95</v>
      </c>
      <c r="M1336" s="5">
        <v>1</v>
      </c>
      <c r="N1336" s="5"/>
      <c r="O1336" s="5"/>
      <c r="P1336" s="5"/>
      <c r="Q1336" s="5"/>
      <c r="R1336" s="5"/>
      <c r="S1336" s="5">
        <v>95</v>
      </c>
      <c r="T1336" s="5">
        <v>95</v>
      </c>
      <c r="U1336" s="5">
        <v>95</v>
      </c>
    </row>
    <row r="1337" spans="1:21" x14ac:dyDescent="0.25">
      <c r="A1337" s="5" t="s">
        <v>7550</v>
      </c>
      <c r="B1337" s="5" t="s">
        <v>7551</v>
      </c>
      <c r="C1337" s="5" t="s">
        <v>3450</v>
      </c>
      <c r="D1337" s="5"/>
      <c r="E1337" s="5" t="s">
        <v>6609</v>
      </c>
      <c r="F1337" s="5"/>
      <c r="G1337" s="5"/>
      <c r="H1337" s="5"/>
      <c r="I1337" s="5" t="s">
        <v>3450</v>
      </c>
      <c r="J1337" s="5"/>
      <c r="K1337" s="5" t="s">
        <v>6610</v>
      </c>
      <c r="L1337" s="5">
        <v>80</v>
      </c>
      <c r="M1337" s="5">
        <v>1</v>
      </c>
      <c r="N1337" s="5"/>
      <c r="O1337" s="5"/>
      <c r="P1337" s="5"/>
      <c r="Q1337" s="5"/>
      <c r="R1337" s="5"/>
      <c r="S1337" s="5">
        <v>80</v>
      </c>
      <c r="T1337" s="5">
        <v>80</v>
      </c>
      <c r="U1337" s="5">
        <v>80</v>
      </c>
    </row>
    <row r="1338" spans="1:21" x14ac:dyDescent="0.25">
      <c r="A1338" s="5" t="s">
        <v>7552</v>
      </c>
      <c r="B1338" s="5" t="s">
        <v>7553</v>
      </c>
      <c r="C1338" s="5" t="s">
        <v>3450</v>
      </c>
      <c r="D1338" s="5"/>
      <c r="E1338" s="5" t="s">
        <v>6609</v>
      </c>
      <c r="F1338" s="5"/>
      <c r="G1338" s="5"/>
      <c r="H1338" s="5"/>
      <c r="I1338" s="5" t="s">
        <v>3450</v>
      </c>
      <c r="J1338" s="5"/>
      <c r="K1338" s="5" t="s">
        <v>6610</v>
      </c>
      <c r="L1338" s="5">
        <v>77</v>
      </c>
      <c r="M1338" s="5">
        <v>1</v>
      </c>
      <c r="N1338" s="5"/>
      <c r="O1338" s="5"/>
      <c r="P1338" s="5"/>
      <c r="Q1338" s="5"/>
      <c r="R1338" s="5"/>
      <c r="S1338" s="5">
        <v>77</v>
      </c>
      <c r="T1338" s="5">
        <v>77</v>
      </c>
      <c r="U1338" s="5">
        <v>77</v>
      </c>
    </row>
    <row r="1339" spans="1:21" x14ac:dyDescent="0.25">
      <c r="A1339" s="5" t="s">
        <v>7248</v>
      </c>
      <c r="B1339" s="5" t="s">
        <v>7249</v>
      </c>
      <c r="C1339" s="5" t="s">
        <v>3450</v>
      </c>
      <c r="D1339" s="5"/>
      <c r="E1339" s="5" t="s">
        <v>6609</v>
      </c>
      <c r="F1339" s="5"/>
      <c r="G1339" s="5"/>
      <c r="H1339" s="5"/>
      <c r="I1339" s="5" t="s">
        <v>3450</v>
      </c>
      <c r="J1339" s="5"/>
      <c r="K1339" s="5" t="s">
        <v>6610</v>
      </c>
      <c r="L1339" s="5">
        <v>73</v>
      </c>
      <c r="M1339" s="5">
        <v>1</v>
      </c>
      <c r="N1339" s="5"/>
      <c r="O1339" s="5"/>
      <c r="P1339" s="5"/>
      <c r="Q1339" s="5"/>
      <c r="R1339" s="5"/>
      <c r="S1339" s="5">
        <v>73</v>
      </c>
      <c r="T1339" s="5">
        <v>73</v>
      </c>
      <c r="U1339" s="5">
        <v>73</v>
      </c>
    </row>
    <row r="1340" spans="1:21" x14ac:dyDescent="0.25">
      <c r="A1340" s="5" t="s">
        <v>7554</v>
      </c>
      <c r="B1340" s="5" t="s">
        <v>7555</v>
      </c>
      <c r="C1340" s="5" t="s">
        <v>3450</v>
      </c>
      <c r="D1340" s="5"/>
      <c r="E1340" s="5" t="s">
        <v>6609</v>
      </c>
      <c r="F1340" s="5"/>
      <c r="G1340" s="5"/>
      <c r="H1340" s="5"/>
      <c r="I1340" s="5" t="s">
        <v>3450</v>
      </c>
      <c r="J1340" s="5"/>
      <c r="K1340" s="5" t="s">
        <v>6610</v>
      </c>
      <c r="L1340" s="5">
        <v>64</v>
      </c>
      <c r="M1340" s="5">
        <v>1</v>
      </c>
      <c r="N1340" s="5"/>
      <c r="O1340" s="5"/>
      <c r="P1340" s="5"/>
      <c r="Q1340" s="5"/>
      <c r="R1340" s="5"/>
      <c r="S1340" s="5">
        <v>64</v>
      </c>
      <c r="T1340" s="5">
        <v>64</v>
      </c>
      <c r="U1340" s="5">
        <v>64</v>
      </c>
    </row>
    <row r="1341" spans="1:21" x14ac:dyDescent="0.25">
      <c r="A1341" s="5" t="s">
        <v>7556</v>
      </c>
      <c r="B1341" s="5" t="s">
        <v>7557</v>
      </c>
      <c r="C1341" s="5" t="s">
        <v>3450</v>
      </c>
      <c r="D1341" s="5"/>
      <c r="E1341" s="5" t="s">
        <v>6609</v>
      </c>
      <c r="F1341" s="5"/>
      <c r="G1341" s="5"/>
      <c r="H1341" s="5"/>
      <c r="I1341" s="5" t="s">
        <v>3450</v>
      </c>
      <c r="J1341" s="5"/>
      <c r="K1341" s="5" t="s">
        <v>6610</v>
      </c>
      <c r="L1341" s="5">
        <v>55</v>
      </c>
      <c r="M1341" s="5">
        <v>1</v>
      </c>
      <c r="N1341" s="5"/>
      <c r="O1341" s="5"/>
      <c r="P1341" s="5"/>
      <c r="Q1341" s="5"/>
      <c r="R1341" s="5"/>
      <c r="S1341" s="5">
        <v>55</v>
      </c>
      <c r="T1341" s="5">
        <v>55</v>
      </c>
      <c r="U1341" s="5">
        <v>55</v>
      </c>
    </row>
    <row r="1342" spans="1:21" x14ac:dyDescent="0.25">
      <c r="A1342" s="5" t="s">
        <v>7558</v>
      </c>
      <c r="B1342" s="5" t="s">
        <v>7559</v>
      </c>
      <c r="C1342" s="5" t="s">
        <v>3450</v>
      </c>
      <c r="D1342" s="5"/>
      <c r="E1342" s="5" t="s">
        <v>6609</v>
      </c>
      <c r="F1342" s="5"/>
      <c r="G1342" s="5"/>
      <c r="H1342" s="5"/>
      <c r="I1342" s="5" t="s">
        <v>3450</v>
      </c>
      <c r="J1342" s="5"/>
      <c r="K1342" s="5" t="s">
        <v>6610</v>
      </c>
      <c r="L1342" s="5">
        <v>51</v>
      </c>
      <c r="M1342" s="5">
        <v>1</v>
      </c>
      <c r="N1342" s="5"/>
      <c r="O1342" s="5"/>
      <c r="P1342" s="5"/>
      <c r="Q1342" s="5"/>
      <c r="R1342" s="5"/>
      <c r="S1342" s="5">
        <v>51</v>
      </c>
      <c r="T1342" s="5">
        <v>51</v>
      </c>
      <c r="U1342" s="5">
        <v>51</v>
      </c>
    </row>
    <row r="1343" spans="1:21" x14ac:dyDescent="0.25">
      <c r="A1343" s="5" t="s">
        <v>7560</v>
      </c>
      <c r="B1343" s="5" t="s">
        <v>7561</v>
      </c>
      <c r="C1343" s="5" t="s">
        <v>3450</v>
      </c>
      <c r="D1343" s="5"/>
      <c r="E1343" s="5" t="s">
        <v>6609</v>
      </c>
      <c r="F1343" s="5"/>
      <c r="G1343" s="5"/>
      <c r="H1343" s="5"/>
      <c r="I1343" s="5" t="s">
        <v>3450</v>
      </c>
      <c r="J1343" s="5"/>
      <c r="K1343" s="5" t="s">
        <v>6610</v>
      </c>
      <c r="L1343" s="5">
        <v>40</v>
      </c>
      <c r="M1343" s="5">
        <v>1</v>
      </c>
      <c r="N1343" s="5"/>
      <c r="O1343" s="5"/>
      <c r="P1343" s="5"/>
      <c r="Q1343" s="5"/>
      <c r="R1343" s="5"/>
      <c r="S1343" s="5">
        <v>40</v>
      </c>
      <c r="T1343" s="5">
        <v>40</v>
      </c>
      <c r="U1343" s="5">
        <v>40</v>
      </c>
    </row>
    <row r="1344" spans="1:21" x14ac:dyDescent="0.25">
      <c r="A1344" s="5" t="s">
        <v>7562</v>
      </c>
      <c r="B1344" s="5" t="s">
        <v>7563</v>
      </c>
      <c r="C1344" s="5" t="s">
        <v>3450</v>
      </c>
      <c r="D1344" s="5"/>
      <c r="E1344" s="5" t="s">
        <v>6609</v>
      </c>
      <c r="F1344" s="5"/>
      <c r="G1344" s="5"/>
      <c r="H1344" s="5"/>
      <c r="I1344" s="5" t="s">
        <v>3450</v>
      </c>
      <c r="J1344" s="5"/>
      <c r="K1344" s="5" t="s">
        <v>6610</v>
      </c>
      <c r="L1344" s="5">
        <v>33</v>
      </c>
      <c r="M1344" s="5">
        <v>1</v>
      </c>
      <c r="N1344" s="5"/>
      <c r="O1344" s="5"/>
      <c r="P1344" s="5"/>
      <c r="Q1344" s="5"/>
      <c r="R1344" s="5"/>
      <c r="S1344" s="5">
        <v>33</v>
      </c>
      <c r="T1344" s="5">
        <v>33</v>
      </c>
      <c r="U1344" s="5">
        <v>33</v>
      </c>
    </row>
    <row r="1345" spans="1:21" x14ac:dyDescent="0.25">
      <c r="A1345" s="5" t="s">
        <v>7564</v>
      </c>
      <c r="B1345" s="5" t="s">
        <v>7565</v>
      </c>
      <c r="C1345" s="5" t="s">
        <v>3450</v>
      </c>
      <c r="D1345" s="5"/>
      <c r="E1345" s="5" t="s">
        <v>6609</v>
      </c>
      <c r="F1345" s="5"/>
      <c r="G1345" s="5"/>
      <c r="H1345" s="5"/>
      <c r="I1345" s="5" t="s">
        <v>3450</v>
      </c>
      <c r="J1345" s="5"/>
      <c r="K1345" s="5" t="s">
        <v>6610</v>
      </c>
      <c r="L1345" s="5">
        <v>27</v>
      </c>
      <c r="M1345" s="5">
        <v>1</v>
      </c>
      <c r="N1345" s="5"/>
      <c r="O1345" s="5"/>
      <c r="P1345" s="5"/>
      <c r="Q1345" s="5"/>
      <c r="R1345" s="5"/>
      <c r="S1345" s="5">
        <v>27</v>
      </c>
      <c r="T1345" s="5">
        <v>27</v>
      </c>
      <c r="U1345" s="5">
        <v>27</v>
      </c>
    </row>
    <row r="1346" spans="1:21" x14ac:dyDescent="0.25">
      <c r="A1346" s="5" t="s">
        <v>7566</v>
      </c>
      <c r="B1346" s="5" t="s">
        <v>7567</v>
      </c>
      <c r="C1346" s="5" t="s">
        <v>3450</v>
      </c>
      <c r="D1346" s="5"/>
      <c r="E1346" s="5" t="s">
        <v>6675</v>
      </c>
      <c r="F1346" s="5"/>
      <c r="G1346" s="5"/>
      <c r="H1346" s="5"/>
      <c r="I1346" s="5" t="s">
        <v>3450</v>
      </c>
      <c r="J1346" s="5"/>
      <c r="K1346" s="5" t="s">
        <v>6676</v>
      </c>
      <c r="L1346" s="5">
        <v>26</v>
      </c>
      <c r="M1346" s="5">
        <v>1</v>
      </c>
      <c r="N1346" s="5"/>
      <c r="O1346" s="5"/>
      <c r="P1346" s="5"/>
      <c r="Q1346" s="5"/>
      <c r="R1346" s="5"/>
      <c r="S1346" s="5">
        <v>26</v>
      </c>
      <c r="T1346" s="5">
        <v>26</v>
      </c>
      <c r="U1346" s="5">
        <v>26</v>
      </c>
    </row>
    <row r="1347" spans="1:21" x14ac:dyDescent="0.25">
      <c r="A1347" s="5" t="s">
        <v>7568</v>
      </c>
      <c r="B1347" s="5" t="s">
        <v>7569</v>
      </c>
      <c r="C1347" s="5" t="s">
        <v>3450</v>
      </c>
      <c r="D1347" s="5"/>
      <c r="E1347" s="5" t="s">
        <v>6675</v>
      </c>
      <c r="F1347" s="5"/>
      <c r="G1347" s="5"/>
      <c r="H1347" s="5"/>
      <c r="I1347" s="5" t="s">
        <v>3450</v>
      </c>
      <c r="J1347" s="5"/>
      <c r="K1347" s="5" t="s">
        <v>6676</v>
      </c>
      <c r="L1347" s="5">
        <v>35</v>
      </c>
      <c r="M1347" s="5">
        <v>1</v>
      </c>
      <c r="N1347" s="5"/>
      <c r="O1347" s="5"/>
      <c r="P1347" s="5"/>
      <c r="Q1347" s="5"/>
      <c r="R1347" s="5"/>
      <c r="S1347" s="5">
        <v>35</v>
      </c>
      <c r="T1347" s="5">
        <v>35</v>
      </c>
      <c r="U1347" s="5">
        <v>35</v>
      </c>
    </row>
    <row r="1348" spans="1:21" x14ac:dyDescent="0.25">
      <c r="A1348" s="5" t="s">
        <v>7570</v>
      </c>
      <c r="B1348" s="5" t="s">
        <v>7571</v>
      </c>
      <c r="C1348" s="5" t="s">
        <v>3450</v>
      </c>
      <c r="D1348" s="5"/>
      <c r="E1348" s="5" t="s">
        <v>6675</v>
      </c>
      <c r="F1348" s="5"/>
      <c r="G1348" s="5"/>
      <c r="H1348" s="5"/>
      <c r="I1348" s="5" t="s">
        <v>3450</v>
      </c>
      <c r="J1348" s="5"/>
      <c r="K1348" s="5" t="s">
        <v>6676</v>
      </c>
      <c r="L1348" s="5">
        <v>40</v>
      </c>
      <c r="M1348" s="5">
        <v>1</v>
      </c>
      <c r="N1348" s="5"/>
      <c r="O1348" s="5"/>
      <c r="P1348" s="5"/>
      <c r="Q1348" s="5"/>
      <c r="R1348" s="5"/>
      <c r="S1348" s="5">
        <v>40</v>
      </c>
      <c r="T1348" s="5">
        <v>40</v>
      </c>
      <c r="U1348" s="5">
        <v>40</v>
      </c>
    </row>
    <row r="1349" spans="1:21" x14ac:dyDescent="0.25">
      <c r="A1349" s="5" t="s">
        <v>7572</v>
      </c>
      <c r="B1349" s="5" t="s">
        <v>7573</v>
      </c>
      <c r="C1349" s="5" t="s">
        <v>3450</v>
      </c>
      <c r="D1349" s="5"/>
      <c r="E1349" s="5" t="s">
        <v>6675</v>
      </c>
      <c r="F1349" s="5"/>
      <c r="G1349" s="5"/>
      <c r="H1349" s="5"/>
      <c r="I1349" s="5" t="s">
        <v>3450</v>
      </c>
      <c r="J1349" s="5"/>
      <c r="K1349" s="5" t="s">
        <v>6676</v>
      </c>
      <c r="L1349" s="5">
        <v>45</v>
      </c>
      <c r="M1349" s="5">
        <v>1</v>
      </c>
      <c r="N1349" s="5"/>
      <c r="O1349" s="5"/>
      <c r="P1349" s="5"/>
      <c r="Q1349" s="5"/>
      <c r="R1349" s="5"/>
      <c r="S1349" s="5">
        <v>45</v>
      </c>
      <c r="T1349" s="5">
        <v>45</v>
      </c>
      <c r="U1349" s="5">
        <v>45</v>
      </c>
    </row>
    <row r="1350" spans="1:21" x14ac:dyDescent="0.25">
      <c r="A1350" s="5" t="s">
        <v>7574</v>
      </c>
      <c r="B1350" s="5" t="s">
        <v>7575</v>
      </c>
      <c r="C1350" s="5" t="s">
        <v>3450</v>
      </c>
      <c r="D1350" s="5"/>
      <c r="E1350" s="5" t="s">
        <v>6675</v>
      </c>
      <c r="F1350" s="5"/>
      <c r="G1350" s="5"/>
      <c r="H1350" s="5"/>
      <c r="I1350" s="5" t="s">
        <v>3450</v>
      </c>
      <c r="J1350" s="5"/>
      <c r="K1350" s="5" t="s">
        <v>6676</v>
      </c>
      <c r="L1350" s="5">
        <v>56</v>
      </c>
      <c r="M1350" s="5">
        <v>1</v>
      </c>
      <c r="N1350" s="5"/>
      <c r="O1350" s="5"/>
      <c r="P1350" s="5"/>
      <c r="Q1350" s="5"/>
      <c r="R1350" s="5"/>
      <c r="S1350" s="5">
        <v>56</v>
      </c>
      <c r="T1350" s="5">
        <v>56</v>
      </c>
      <c r="U1350" s="5">
        <v>56</v>
      </c>
    </row>
    <row r="1351" spans="1:21" x14ac:dyDescent="0.25">
      <c r="A1351" s="5" t="s">
        <v>7576</v>
      </c>
      <c r="B1351" s="5" t="s">
        <v>7577</v>
      </c>
      <c r="C1351" s="5" t="s">
        <v>3450</v>
      </c>
      <c r="D1351" s="5"/>
      <c r="E1351" s="5" t="s">
        <v>6675</v>
      </c>
      <c r="F1351" s="5"/>
      <c r="G1351" s="5"/>
      <c r="H1351" s="5"/>
      <c r="I1351" s="5" t="s">
        <v>3450</v>
      </c>
      <c r="J1351" s="5"/>
      <c r="K1351" s="5" t="s">
        <v>6676</v>
      </c>
      <c r="L1351" s="5">
        <v>59</v>
      </c>
      <c r="M1351" s="5">
        <v>1</v>
      </c>
      <c r="N1351" s="5"/>
      <c r="O1351" s="5"/>
      <c r="P1351" s="5"/>
      <c r="Q1351" s="5"/>
      <c r="R1351" s="5"/>
      <c r="S1351" s="5">
        <v>59</v>
      </c>
      <c r="T1351" s="5">
        <v>59</v>
      </c>
      <c r="U1351" s="5">
        <v>59</v>
      </c>
    </row>
    <row r="1352" spans="1:21" x14ac:dyDescent="0.25">
      <c r="A1352" s="5" t="s">
        <v>7578</v>
      </c>
      <c r="B1352" s="5" t="s">
        <v>7579</v>
      </c>
      <c r="C1352" s="5" t="s">
        <v>3450</v>
      </c>
      <c r="D1352" s="5"/>
      <c r="E1352" s="5" t="s">
        <v>6675</v>
      </c>
      <c r="F1352" s="5"/>
      <c r="G1352" s="5"/>
      <c r="H1352" s="5"/>
      <c r="I1352" s="5" t="s">
        <v>3450</v>
      </c>
      <c r="J1352" s="5"/>
      <c r="K1352" s="5" t="s">
        <v>6676</v>
      </c>
      <c r="L1352" s="5">
        <v>74</v>
      </c>
      <c r="M1352" s="5">
        <v>1</v>
      </c>
      <c r="N1352" s="5"/>
      <c r="O1352" s="5"/>
      <c r="P1352" s="5"/>
      <c r="Q1352" s="5"/>
      <c r="R1352" s="5"/>
      <c r="S1352" s="5">
        <v>74</v>
      </c>
      <c r="T1352" s="5">
        <v>74</v>
      </c>
      <c r="U1352" s="5">
        <v>74</v>
      </c>
    </row>
    <row r="1353" spans="1:21" x14ac:dyDescent="0.25">
      <c r="A1353" s="5" t="s">
        <v>7580</v>
      </c>
      <c r="B1353" s="5" t="s">
        <v>7581</v>
      </c>
      <c r="C1353" s="5" t="s">
        <v>3450</v>
      </c>
      <c r="D1353" s="5"/>
      <c r="E1353" s="5" t="s">
        <v>6675</v>
      </c>
      <c r="F1353" s="5"/>
      <c r="G1353" s="5"/>
      <c r="H1353" s="5"/>
      <c r="I1353" s="5" t="s">
        <v>3450</v>
      </c>
      <c r="J1353" s="5"/>
      <c r="K1353" s="5" t="s">
        <v>6676</v>
      </c>
      <c r="L1353" s="5">
        <v>108</v>
      </c>
      <c r="M1353" s="5">
        <v>1</v>
      </c>
      <c r="N1353" s="5"/>
      <c r="O1353" s="5"/>
      <c r="P1353" s="5"/>
      <c r="Q1353" s="5"/>
      <c r="R1353" s="5"/>
      <c r="S1353" s="5">
        <v>108</v>
      </c>
      <c r="T1353" s="5">
        <v>108</v>
      </c>
      <c r="U1353" s="5">
        <v>108</v>
      </c>
    </row>
    <row r="1354" spans="1:21" x14ac:dyDescent="0.25">
      <c r="A1354" s="5" t="s">
        <v>7582</v>
      </c>
      <c r="B1354" s="5" t="s">
        <v>7583</v>
      </c>
      <c r="C1354" s="5" t="s">
        <v>3450</v>
      </c>
      <c r="D1354" s="5"/>
      <c r="E1354" s="5" t="s">
        <v>3563</v>
      </c>
      <c r="F1354" s="5"/>
      <c r="G1354" s="5"/>
      <c r="H1354" s="5"/>
      <c r="I1354" s="5" t="s">
        <v>3450</v>
      </c>
      <c r="J1354" s="5"/>
      <c r="K1354" s="5" t="s">
        <v>3565</v>
      </c>
      <c r="L1354" s="5">
        <v>1</v>
      </c>
      <c r="M1354" s="5">
        <v>1</v>
      </c>
      <c r="N1354" s="5"/>
      <c r="O1354" s="5"/>
      <c r="P1354" s="5"/>
      <c r="Q1354" s="5"/>
      <c r="R1354" s="5"/>
      <c r="S1354" s="5">
        <v>1</v>
      </c>
      <c r="T1354" s="5">
        <v>1</v>
      </c>
      <c r="U1354" s="5">
        <v>1</v>
      </c>
    </row>
    <row r="1355" spans="1:21" x14ac:dyDescent="0.25">
      <c r="A1355" s="5" t="s">
        <v>7584</v>
      </c>
      <c r="B1355" s="5" t="s">
        <v>7585</v>
      </c>
      <c r="C1355" s="5" t="s">
        <v>3450</v>
      </c>
      <c r="D1355" s="5"/>
      <c r="E1355" s="5" t="s">
        <v>3563</v>
      </c>
      <c r="F1355" s="5"/>
      <c r="G1355" s="5"/>
      <c r="H1355" s="5"/>
      <c r="I1355" s="5" t="s">
        <v>3450</v>
      </c>
      <c r="J1355" s="5"/>
      <c r="K1355" s="5" t="s">
        <v>3565</v>
      </c>
      <c r="L1355" s="5">
        <v>4</v>
      </c>
      <c r="M1355" s="5">
        <v>1</v>
      </c>
      <c r="N1355" s="5"/>
      <c r="O1355" s="5"/>
      <c r="P1355" s="5"/>
      <c r="Q1355" s="5"/>
      <c r="R1355" s="5"/>
      <c r="S1355" s="5">
        <v>4</v>
      </c>
      <c r="T1355" s="5">
        <v>4</v>
      </c>
      <c r="U1355" s="5">
        <v>4</v>
      </c>
    </row>
    <row r="1356" spans="1:21" x14ac:dyDescent="0.25">
      <c r="A1356" s="5" t="s">
        <v>7586</v>
      </c>
      <c r="B1356" s="5" t="s">
        <v>7587</v>
      </c>
      <c r="C1356" s="5" t="s">
        <v>3450</v>
      </c>
      <c r="D1356" s="5"/>
      <c r="E1356" s="5" t="s">
        <v>3563</v>
      </c>
      <c r="F1356" s="5"/>
      <c r="G1356" s="5"/>
      <c r="H1356" s="5"/>
      <c r="I1356" s="5" t="s">
        <v>3450</v>
      </c>
      <c r="J1356" s="5"/>
      <c r="K1356" s="5" t="s">
        <v>3565</v>
      </c>
      <c r="L1356" s="5">
        <v>5</v>
      </c>
      <c r="M1356" s="5">
        <v>1</v>
      </c>
      <c r="N1356" s="5"/>
      <c r="O1356" s="5"/>
      <c r="P1356" s="5"/>
      <c r="Q1356" s="5"/>
      <c r="R1356" s="5"/>
      <c r="S1356" s="5">
        <v>5</v>
      </c>
      <c r="T1356" s="5">
        <v>5</v>
      </c>
      <c r="U1356" s="5">
        <v>5</v>
      </c>
    </row>
    <row r="1357" spans="1:21" x14ac:dyDescent="0.25">
      <c r="A1357" s="5" t="s">
        <v>7588</v>
      </c>
      <c r="B1357" s="5" t="s">
        <v>7589</v>
      </c>
      <c r="C1357" s="5" t="s">
        <v>3450</v>
      </c>
      <c r="D1357" s="5"/>
      <c r="E1357" s="5" t="s">
        <v>6654</v>
      </c>
      <c r="F1357" s="5"/>
      <c r="G1357" s="5"/>
      <c r="H1357" s="5"/>
      <c r="I1357" s="5" t="s">
        <v>3450</v>
      </c>
      <c r="J1357" s="5"/>
      <c r="K1357" s="5" t="s">
        <v>7331</v>
      </c>
      <c r="L1357" s="5">
        <v>102</v>
      </c>
      <c r="M1357" s="5">
        <v>1</v>
      </c>
      <c r="N1357" s="5"/>
      <c r="O1357" s="5"/>
      <c r="P1357" s="5"/>
      <c r="Q1357" s="5"/>
      <c r="R1357" s="5"/>
      <c r="S1357" s="5">
        <v>102</v>
      </c>
      <c r="T1357" s="5">
        <v>102</v>
      </c>
      <c r="U1357" s="5">
        <v>102</v>
      </c>
    </row>
    <row r="1358" spans="1:21" x14ac:dyDescent="0.25">
      <c r="A1358" s="5" t="s">
        <v>7590</v>
      </c>
      <c r="B1358" s="5" t="s">
        <v>7591</v>
      </c>
      <c r="C1358" s="5" t="s">
        <v>3450</v>
      </c>
      <c r="D1358" s="5"/>
      <c r="E1358" s="5" t="s">
        <v>6654</v>
      </c>
      <c r="F1358" s="5"/>
      <c r="G1358" s="5"/>
      <c r="H1358" s="5"/>
      <c r="I1358" s="5" t="s">
        <v>3450</v>
      </c>
      <c r="J1358" s="5"/>
      <c r="K1358" s="5" t="s">
        <v>7331</v>
      </c>
      <c r="L1358" s="5">
        <v>118</v>
      </c>
      <c r="M1358" s="5">
        <v>1</v>
      </c>
      <c r="N1358" s="5"/>
      <c r="O1358" s="5"/>
      <c r="P1358" s="5"/>
      <c r="Q1358" s="5"/>
      <c r="R1358" s="5"/>
      <c r="S1358" s="5">
        <v>118</v>
      </c>
      <c r="T1358" s="5">
        <v>118</v>
      </c>
      <c r="U1358" s="5">
        <v>118</v>
      </c>
    </row>
    <row r="1359" spans="1:21" x14ac:dyDescent="0.25">
      <c r="A1359" s="5" t="s">
        <v>7592</v>
      </c>
      <c r="B1359" s="5" t="s">
        <v>7593</v>
      </c>
      <c r="C1359" s="5" t="s">
        <v>3450</v>
      </c>
      <c r="D1359" s="5"/>
      <c r="E1359" s="5" t="s">
        <v>6654</v>
      </c>
      <c r="F1359" s="5"/>
      <c r="G1359" s="5"/>
      <c r="H1359" s="5"/>
      <c r="I1359" s="5" t="s">
        <v>3450</v>
      </c>
      <c r="J1359" s="5"/>
      <c r="K1359" s="5" t="s">
        <v>7331</v>
      </c>
      <c r="L1359" s="5">
        <v>135</v>
      </c>
      <c r="M1359" s="5">
        <v>1</v>
      </c>
      <c r="N1359" s="5"/>
      <c r="O1359" s="5"/>
      <c r="P1359" s="5"/>
      <c r="Q1359" s="5"/>
      <c r="R1359" s="5"/>
      <c r="S1359" s="5">
        <v>135</v>
      </c>
      <c r="T1359" s="5">
        <v>135</v>
      </c>
      <c r="U1359" s="5">
        <v>135</v>
      </c>
    </row>
    <row r="1360" spans="1:21" x14ac:dyDescent="0.25">
      <c r="A1360" s="5" t="s">
        <v>7594</v>
      </c>
      <c r="B1360" s="5" t="s">
        <v>7595</v>
      </c>
      <c r="C1360" s="5" t="s">
        <v>3450</v>
      </c>
      <c r="D1360" s="5"/>
      <c r="E1360" s="5" t="s">
        <v>6654</v>
      </c>
      <c r="F1360" s="5"/>
      <c r="G1360" s="5"/>
      <c r="H1360" s="5"/>
      <c r="I1360" s="5" t="s">
        <v>3450</v>
      </c>
      <c r="J1360" s="5"/>
      <c r="K1360" s="5" t="s">
        <v>7331</v>
      </c>
      <c r="L1360" s="5">
        <v>142</v>
      </c>
      <c r="M1360" s="5">
        <v>1</v>
      </c>
      <c r="N1360" s="5"/>
      <c r="O1360" s="5"/>
      <c r="P1360" s="5"/>
      <c r="Q1360" s="5"/>
      <c r="R1360" s="5"/>
      <c r="S1360" s="5">
        <v>142</v>
      </c>
      <c r="T1360" s="5">
        <v>142</v>
      </c>
      <c r="U1360" s="5">
        <v>142</v>
      </c>
    </row>
    <row r="1361" spans="1:21" x14ac:dyDescent="0.25">
      <c r="A1361" s="5" t="s">
        <v>7596</v>
      </c>
      <c r="B1361" s="5" t="s">
        <v>7597</v>
      </c>
      <c r="C1361" s="5" t="s">
        <v>3450</v>
      </c>
      <c r="D1361" s="5"/>
      <c r="E1361" s="5" t="s">
        <v>6654</v>
      </c>
      <c r="F1361" s="5"/>
      <c r="G1361" s="5"/>
      <c r="H1361" s="5"/>
      <c r="I1361" s="5" t="s">
        <v>3450</v>
      </c>
      <c r="J1361" s="5"/>
      <c r="K1361" s="5" t="s">
        <v>7331</v>
      </c>
      <c r="L1361" s="5">
        <v>199</v>
      </c>
      <c r="M1361" s="5">
        <v>1</v>
      </c>
      <c r="N1361" s="5"/>
      <c r="O1361" s="5"/>
      <c r="P1361" s="5"/>
      <c r="Q1361" s="5"/>
      <c r="R1361" s="5"/>
      <c r="S1361" s="5">
        <v>199</v>
      </c>
      <c r="T1361" s="5">
        <v>199</v>
      </c>
      <c r="U1361" s="5">
        <v>199</v>
      </c>
    </row>
    <row r="1362" spans="1:21" x14ac:dyDescent="0.25">
      <c r="A1362" s="5" t="s">
        <v>7598</v>
      </c>
      <c r="B1362" s="5" t="s">
        <v>7599</v>
      </c>
      <c r="C1362" s="5" t="s">
        <v>3450</v>
      </c>
      <c r="D1362" s="5"/>
      <c r="E1362" s="5" t="s">
        <v>6654</v>
      </c>
      <c r="F1362" s="5"/>
      <c r="G1362" s="5"/>
      <c r="H1362" s="5"/>
      <c r="I1362" s="5" t="s">
        <v>3450</v>
      </c>
      <c r="J1362" s="5"/>
      <c r="K1362" s="5" t="s">
        <v>7331</v>
      </c>
      <c r="L1362" s="5">
        <v>213</v>
      </c>
      <c r="M1362" s="5">
        <v>1</v>
      </c>
      <c r="N1362" s="5"/>
      <c r="O1362" s="5"/>
      <c r="P1362" s="5"/>
      <c r="Q1362" s="5"/>
      <c r="R1362" s="5"/>
      <c r="S1362" s="5">
        <v>213</v>
      </c>
      <c r="T1362" s="5">
        <v>213</v>
      </c>
      <c r="U1362" s="5">
        <v>213</v>
      </c>
    </row>
    <row r="1363" spans="1:21" x14ac:dyDescent="0.25">
      <c r="A1363" s="5" t="s">
        <v>7600</v>
      </c>
      <c r="B1363" s="5" t="s">
        <v>7601</v>
      </c>
      <c r="C1363" s="5" t="s">
        <v>3450</v>
      </c>
      <c r="D1363" s="5"/>
      <c r="E1363" s="5" t="s">
        <v>6654</v>
      </c>
      <c r="F1363" s="5"/>
      <c r="G1363" s="5"/>
      <c r="H1363" s="5"/>
      <c r="I1363" s="5" t="s">
        <v>3450</v>
      </c>
      <c r="J1363" s="5"/>
      <c r="K1363" s="5" t="s">
        <v>7331</v>
      </c>
      <c r="L1363" s="5">
        <v>220</v>
      </c>
      <c r="M1363" s="5">
        <v>1</v>
      </c>
      <c r="N1363" s="5"/>
      <c r="O1363" s="5"/>
      <c r="P1363" s="5"/>
      <c r="Q1363" s="5"/>
      <c r="R1363" s="5"/>
      <c r="S1363" s="5">
        <v>220</v>
      </c>
      <c r="T1363" s="5">
        <v>220</v>
      </c>
      <c r="U1363" s="5">
        <v>220</v>
      </c>
    </row>
    <row r="1364" spans="1:21" x14ac:dyDescent="0.25">
      <c r="A1364" s="5" t="s">
        <v>7602</v>
      </c>
      <c r="B1364" s="5" t="s">
        <v>7603</v>
      </c>
      <c r="C1364" s="5" t="s">
        <v>3450</v>
      </c>
      <c r="D1364" s="5"/>
      <c r="E1364" s="5" t="s">
        <v>6654</v>
      </c>
      <c r="F1364" s="5"/>
      <c r="G1364" s="5"/>
      <c r="H1364" s="5"/>
      <c r="I1364" s="5" t="s">
        <v>3450</v>
      </c>
      <c r="J1364" s="5"/>
      <c r="K1364" s="5" t="s">
        <v>7331</v>
      </c>
      <c r="L1364" s="5">
        <v>239</v>
      </c>
      <c r="M1364" s="5">
        <v>1</v>
      </c>
      <c r="N1364" s="5"/>
      <c r="O1364" s="5"/>
      <c r="P1364" s="5"/>
      <c r="Q1364" s="5"/>
      <c r="R1364" s="5"/>
      <c r="S1364" s="5">
        <v>239</v>
      </c>
      <c r="T1364" s="5">
        <v>239</v>
      </c>
      <c r="U1364" s="5">
        <v>239</v>
      </c>
    </row>
    <row r="1365" spans="1:21" x14ac:dyDescent="0.25">
      <c r="A1365" s="5" t="s">
        <v>7604</v>
      </c>
      <c r="B1365" s="5" t="s">
        <v>7605</v>
      </c>
      <c r="C1365" s="5" t="s">
        <v>3450</v>
      </c>
      <c r="D1365" s="5"/>
      <c r="E1365" s="5" t="s">
        <v>6654</v>
      </c>
      <c r="F1365" s="5"/>
      <c r="G1365" s="5"/>
      <c r="H1365" s="5"/>
      <c r="I1365" s="5" t="s">
        <v>3450</v>
      </c>
      <c r="J1365" s="5"/>
      <c r="K1365" s="5" t="s">
        <v>7331</v>
      </c>
      <c r="L1365" s="5">
        <v>266</v>
      </c>
      <c r="M1365" s="5">
        <v>1</v>
      </c>
      <c r="N1365" s="5"/>
      <c r="O1365" s="5"/>
      <c r="P1365" s="5"/>
      <c r="Q1365" s="5"/>
      <c r="R1365" s="5"/>
      <c r="S1365" s="5">
        <v>266</v>
      </c>
      <c r="T1365" s="5">
        <v>266</v>
      </c>
      <c r="U1365" s="5">
        <v>266</v>
      </c>
    </row>
    <row r="1366" spans="1:21" x14ac:dyDescent="0.25">
      <c r="A1366" s="5" t="s">
        <v>7606</v>
      </c>
      <c r="B1366" s="5" t="s">
        <v>7607</v>
      </c>
      <c r="C1366" s="5" t="s">
        <v>3450</v>
      </c>
      <c r="D1366" s="5"/>
      <c r="E1366" s="5" t="s">
        <v>6654</v>
      </c>
      <c r="F1366" s="5"/>
      <c r="G1366" s="5"/>
      <c r="H1366" s="5"/>
      <c r="I1366" s="5" t="s">
        <v>3450</v>
      </c>
      <c r="J1366" s="5"/>
      <c r="K1366" s="5" t="s">
        <v>7331</v>
      </c>
      <c r="L1366" s="5">
        <v>300</v>
      </c>
      <c r="M1366" s="5">
        <v>1</v>
      </c>
      <c r="N1366" s="5"/>
      <c r="O1366" s="5"/>
      <c r="P1366" s="5"/>
      <c r="Q1366" s="5"/>
      <c r="R1366" s="5"/>
      <c r="S1366" s="5">
        <v>300</v>
      </c>
      <c r="T1366" s="5">
        <v>300</v>
      </c>
      <c r="U1366" s="5">
        <v>300</v>
      </c>
    </row>
    <row r="1367" spans="1:21" x14ac:dyDescent="0.25">
      <c r="A1367" s="5" t="s">
        <v>7608</v>
      </c>
      <c r="B1367" s="5" t="s">
        <v>7609</v>
      </c>
      <c r="C1367" s="5" t="s">
        <v>3450</v>
      </c>
      <c r="D1367" s="5"/>
      <c r="E1367" s="5" t="s">
        <v>6654</v>
      </c>
      <c r="F1367" s="5"/>
      <c r="G1367" s="5"/>
      <c r="H1367" s="5"/>
      <c r="I1367" s="5" t="s">
        <v>3450</v>
      </c>
      <c r="J1367" s="5"/>
      <c r="K1367" s="5" t="s">
        <v>7331</v>
      </c>
      <c r="L1367" s="5">
        <v>360</v>
      </c>
      <c r="M1367" s="5">
        <v>1</v>
      </c>
      <c r="N1367" s="5"/>
      <c r="O1367" s="5"/>
      <c r="P1367" s="5"/>
      <c r="Q1367" s="5"/>
      <c r="R1367" s="5"/>
      <c r="S1367" s="5">
        <v>360</v>
      </c>
      <c r="T1367" s="5">
        <v>360</v>
      </c>
      <c r="U1367" s="5">
        <v>360</v>
      </c>
    </row>
    <row r="1368" spans="1:21" x14ac:dyDescent="0.25">
      <c r="A1368" s="5" t="s">
        <v>7610</v>
      </c>
      <c r="B1368" s="5" t="s">
        <v>7611</v>
      </c>
      <c r="C1368" s="5" t="s">
        <v>3450</v>
      </c>
      <c r="D1368" s="5"/>
      <c r="E1368" s="5" t="s">
        <v>6658</v>
      </c>
      <c r="F1368" s="5"/>
      <c r="G1368" s="5"/>
      <c r="H1368" s="5"/>
      <c r="I1368" s="5" t="s">
        <v>3450</v>
      </c>
      <c r="J1368" s="5"/>
      <c r="K1368" s="5" t="s">
        <v>3551</v>
      </c>
      <c r="L1368" s="5">
        <v>10</v>
      </c>
      <c r="M1368" s="5">
        <v>1</v>
      </c>
      <c r="N1368" s="5"/>
      <c r="O1368" s="5"/>
      <c r="P1368" s="5"/>
      <c r="Q1368" s="5"/>
      <c r="R1368" s="5"/>
      <c r="S1368" s="5">
        <v>10</v>
      </c>
      <c r="T1368" s="5">
        <v>10</v>
      </c>
      <c r="U1368" s="5">
        <v>10</v>
      </c>
    </row>
    <row r="1369" spans="1:21" x14ac:dyDescent="0.25">
      <c r="A1369" s="5" t="s">
        <v>7612</v>
      </c>
      <c r="B1369" s="5" t="s">
        <v>7613</v>
      </c>
      <c r="C1369" s="5" t="s">
        <v>3548</v>
      </c>
      <c r="D1369" s="5" t="s">
        <v>3562</v>
      </c>
      <c r="E1369" s="5" t="s">
        <v>7614</v>
      </c>
      <c r="F1369" s="5"/>
      <c r="G1369" s="5"/>
      <c r="H1369" s="5"/>
      <c r="I1369" s="5" t="s">
        <v>3448</v>
      </c>
      <c r="J1369" s="5" t="s">
        <v>3449</v>
      </c>
      <c r="K1369" s="5" t="s">
        <v>7615</v>
      </c>
      <c r="L1369" s="5">
        <v>26</v>
      </c>
      <c r="M1369" s="5">
        <v>1</v>
      </c>
      <c r="N1369" s="5"/>
      <c r="O1369" s="5"/>
      <c r="P1369" s="5"/>
      <c r="Q1369" s="5">
        <v>1</v>
      </c>
      <c r="R1369" s="5"/>
      <c r="S1369" s="5">
        <v>26</v>
      </c>
      <c r="T1369" s="5">
        <v>26</v>
      </c>
      <c r="U1369" s="5">
        <v>26</v>
      </c>
    </row>
    <row r="1370" spans="1:21" x14ac:dyDescent="0.25">
      <c r="A1370" s="5" t="s">
        <v>7616</v>
      </c>
      <c r="B1370" s="5" t="s">
        <v>7617</v>
      </c>
      <c r="C1370" s="5" t="s">
        <v>3548</v>
      </c>
      <c r="D1370" s="5" t="s">
        <v>3562</v>
      </c>
      <c r="E1370" s="5" t="s">
        <v>7614</v>
      </c>
      <c r="F1370" s="5"/>
      <c r="G1370" s="5"/>
      <c r="H1370" s="5"/>
      <c r="I1370" s="5" t="s">
        <v>3448</v>
      </c>
      <c r="J1370" s="5" t="s">
        <v>3449</v>
      </c>
      <c r="K1370" s="5" t="s">
        <v>7615</v>
      </c>
      <c r="L1370" s="5">
        <v>26</v>
      </c>
      <c r="M1370" s="5">
        <v>2</v>
      </c>
      <c r="N1370" s="5"/>
      <c r="O1370" s="5"/>
      <c r="P1370" s="5"/>
      <c r="Q1370" s="5">
        <v>1</v>
      </c>
      <c r="R1370" s="5"/>
      <c r="S1370" s="5">
        <v>44</v>
      </c>
      <c r="T1370" s="5">
        <v>44</v>
      </c>
      <c r="U1370" s="5">
        <v>44</v>
      </c>
    </row>
    <row r="1371" spans="1:21" x14ac:dyDescent="0.25">
      <c r="A1371" s="5" t="s">
        <v>7618</v>
      </c>
      <c r="B1371" s="5" t="s">
        <v>7619</v>
      </c>
      <c r="C1371" s="5" t="s">
        <v>3548</v>
      </c>
      <c r="D1371" s="5" t="s">
        <v>3562</v>
      </c>
      <c r="E1371" s="5" t="s">
        <v>7614</v>
      </c>
      <c r="F1371" s="5"/>
      <c r="G1371" s="5"/>
      <c r="H1371" s="5"/>
      <c r="I1371" s="5" t="s">
        <v>3448</v>
      </c>
      <c r="J1371" s="5" t="s">
        <v>3449</v>
      </c>
      <c r="K1371" s="5" t="s">
        <v>7615</v>
      </c>
      <c r="L1371" s="5">
        <v>36</v>
      </c>
      <c r="M1371" s="5">
        <v>1</v>
      </c>
      <c r="N1371" s="5"/>
      <c r="O1371" s="5"/>
      <c r="P1371" s="5"/>
      <c r="Q1371" s="5">
        <v>1</v>
      </c>
      <c r="R1371" s="5"/>
      <c r="S1371" s="5">
        <v>40</v>
      </c>
      <c r="T1371" s="5">
        <v>40</v>
      </c>
      <c r="U1371" s="5">
        <v>40</v>
      </c>
    </row>
    <row r="1372" spans="1:21" x14ac:dyDescent="0.25">
      <c r="A1372" s="5" t="s">
        <v>7620</v>
      </c>
      <c r="B1372" s="5" t="s">
        <v>7621</v>
      </c>
      <c r="C1372" s="5" t="s">
        <v>3548</v>
      </c>
      <c r="D1372" s="5" t="s">
        <v>3562</v>
      </c>
      <c r="E1372" s="5" t="s">
        <v>7614</v>
      </c>
      <c r="F1372" s="5"/>
      <c r="G1372" s="5"/>
      <c r="H1372" s="5"/>
      <c r="I1372" s="5" t="s">
        <v>3448</v>
      </c>
      <c r="J1372" s="5" t="s">
        <v>3449</v>
      </c>
      <c r="K1372" s="5" t="s">
        <v>7615</v>
      </c>
      <c r="L1372" s="5">
        <v>36</v>
      </c>
      <c r="M1372" s="5">
        <v>2</v>
      </c>
      <c r="N1372" s="5"/>
      <c r="O1372" s="5"/>
      <c r="P1372" s="5"/>
      <c r="Q1372" s="5">
        <v>1</v>
      </c>
      <c r="R1372" s="5"/>
      <c r="S1372" s="5">
        <v>72</v>
      </c>
      <c r="T1372" s="5">
        <v>72</v>
      </c>
      <c r="U1372" s="5">
        <v>72</v>
      </c>
    </row>
    <row r="1373" spans="1:21" x14ac:dyDescent="0.25">
      <c r="A1373" s="5" t="s">
        <v>7622</v>
      </c>
      <c r="B1373" s="5" t="s">
        <v>7623</v>
      </c>
      <c r="C1373" s="5" t="s">
        <v>3548</v>
      </c>
      <c r="D1373" s="5" t="s">
        <v>3562</v>
      </c>
      <c r="E1373" s="5" t="s">
        <v>7614</v>
      </c>
      <c r="F1373" s="5"/>
      <c r="G1373" s="5"/>
      <c r="H1373" s="5"/>
      <c r="I1373" s="5" t="s">
        <v>3448</v>
      </c>
      <c r="J1373" s="5" t="s">
        <v>3449</v>
      </c>
      <c r="K1373" s="5" t="s">
        <v>7615</v>
      </c>
      <c r="L1373" s="5">
        <v>42</v>
      </c>
      <c r="M1373" s="5">
        <v>1</v>
      </c>
      <c r="N1373" s="5"/>
      <c r="O1373" s="5"/>
      <c r="P1373" s="5"/>
      <c r="Q1373" s="5">
        <v>1</v>
      </c>
      <c r="R1373" s="5"/>
      <c r="S1373" s="5">
        <v>45</v>
      </c>
      <c r="T1373" s="5">
        <v>45</v>
      </c>
      <c r="U1373" s="5">
        <v>45</v>
      </c>
    </row>
    <row r="1374" spans="1:21" x14ac:dyDescent="0.25">
      <c r="A1374" s="5" t="s">
        <v>7624</v>
      </c>
      <c r="B1374" s="5" t="s">
        <v>7625</v>
      </c>
      <c r="C1374" s="5" t="s">
        <v>3548</v>
      </c>
      <c r="D1374" s="5" t="s">
        <v>3562</v>
      </c>
      <c r="E1374" s="5" t="s">
        <v>7614</v>
      </c>
      <c r="F1374" s="5"/>
      <c r="G1374" s="5"/>
      <c r="H1374" s="5"/>
      <c r="I1374" s="5" t="s">
        <v>3448</v>
      </c>
      <c r="J1374" s="5" t="s">
        <v>3449</v>
      </c>
      <c r="K1374" s="5" t="s">
        <v>7615</v>
      </c>
      <c r="L1374" s="5">
        <v>42</v>
      </c>
      <c r="M1374" s="5">
        <v>2</v>
      </c>
      <c r="N1374" s="5"/>
      <c r="O1374" s="5"/>
      <c r="P1374" s="5"/>
      <c r="Q1374" s="5">
        <v>1</v>
      </c>
      <c r="R1374" s="5"/>
      <c r="S1374" s="5">
        <v>84</v>
      </c>
      <c r="T1374" s="5">
        <v>84</v>
      </c>
      <c r="U1374" s="5">
        <v>84</v>
      </c>
    </row>
    <row r="1375" spans="1:21" x14ac:dyDescent="0.25">
      <c r="A1375" s="5" t="s">
        <v>7626</v>
      </c>
      <c r="B1375" s="5" t="s">
        <v>7627</v>
      </c>
      <c r="C1375" s="5" t="s">
        <v>3548</v>
      </c>
      <c r="D1375" s="5" t="s">
        <v>3562</v>
      </c>
      <c r="E1375" s="5" t="s">
        <v>7614</v>
      </c>
      <c r="F1375" s="5"/>
      <c r="G1375" s="5"/>
      <c r="H1375" s="5"/>
      <c r="I1375" s="5" t="s">
        <v>3448</v>
      </c>
      <c r="J1375" s="5" t="s">
        <v>3449</v>
      </c>
      <c r="K1375" s="5" t="s">
        <v>7615</v>
      </c>
      <c r="L1375" s="5">
        <v>57</v>
      </c>
      <c r="M1375" s="5">
        <v>1</v>
      </c>
      <c r="N1375" s="5"/>
      <c r="O1375" s="5"/>
      <c r="P1375" s="5"/>
      <c r="Q1375" s="5">
        <v>1</v>
      </c>
      <c r="R1375" s="5"/>
      <c r="S1375" s="5">
        <v>57</v>
      </c>
      <c r="T1375" s="5">
        <v>57</v>
      </c>
      <c r="U1375" s="5">
        <v>57</v>
      </c>
    </row>
    <row r="1376" spans="1:21" x14ac:dyDescent="0.25">
      <c r="A1376" s="5" t="s">
        <v>7628</v>
      </c>
      <c r="B1376" s="5" t="s">
        <v>7629</v>
      </c>
      <c r="C1376" s="5" t="s">
        <v>3548</v>
      </c>
      <c r="D1376" s="5" t="s">
        <v>3562</v>
      </c>
      <c r="E1376" s="5" t="s">
        <v>7614</v>
      </c>
      <c r="F1376" s="5"/>
      <c r="G1376" s="5"/>
      <c r="H1376" s="5"/>
      <c r="I1376" s="5" t="s">
        <v>3448</v>
      </c>
      <c r="J1376" s="5" t="s">
        <v>3449</v>
      </c>
      <c r="K1376" s="5" t="s">
        <v>7615</v>
      </c>
      <c r="L1376" s="5">
        <v>57</v>
      </c>
      <c r="M1376" s="5">
        <v>2</v>
      </c>
      <c r="N1376" s="5"/>
      <c r="O1376" s="5"/>
      <c r="P1376" s="5"/>
      <c r="Q1376" s="5">
        <v>1</v>
      </c>
      <c r="R1376" s="5"/>
      <c r="S1376" s="5">
        <v>114</v>
      </c>
      <c r="T1376" s="5">
        <v>114</v>
      </c>
      <c r="U1376" s="5">
        <v>114</v>
      </c>
    </row>
    <row r="1377" spans="1:21" x14ac:dyDescent="0.25">
      <c r="A1377" s="5" t="s">
        <v>7630</v>
      </c>
      <c r="B1377" s="5" t="s">
        <v>7631</v>
      </c>
      <c r="C1377" s="5" t="s">
        <v>3548</v>
      </c>
      <c r="D1377" s="5" t="s">
        <v>3562</v>
      </c>
      <c r="E1377" s="5" t="s">
        <v>7614</v>
      </c>
      <c r="F1377" s="5"/>
      <c r="G1377" s="5"/>
      <c r="H1377" s="5"/>
      <c r="I1377" s="5" t="s">
        <v>3448</v>
      </c>
      <c r="J1377" s="5" t="s">
        <v>3449</v>
      </c>
      <c r="K1377" s="5" t="s">
        <v>7615</v>
      </c>
      <c r="L1377" s="5">
        <v>60</v>
      </c>
      <c r="M1377" s="5">
        <v>1</v>
      </c>
      <c r="N1377" s="5"/>
      <c r="O1377" s="5"/>
      <c r="P1377" s="5"/>
      <c r="Q1377" s="5">
        <v>1</v>
      </c>
      <c r="R1377" s="5"/>
      <c r="S1377" s="5">
        <v>60</v>
      </c>
      <c r="T1377" s="5">
        <v>60</v>
      </c>
      <c r="U1377" s="5">
        <v>60</v>
      </c>
    </row>
    <row r="1378" spans="1:21" x14ac:dyDescent="0.25">
      <c r="A1378" s="5" t="s">
        <v>7632</v>
      </c>
      <c r="B1378" s="5" t="s">
        <v>7633</v>
      </c>
      <c r="C1378" s="5" t="s">
        <v>3548</v>
      </c>
      <c r="D1378" s="5" t="s">
        <v>3562</v>
      </c>
      <c r="E1378" s="5" t="s">
        <v>7614</v>
      </c>
      <c r="F1378" s="5"/>
      <c r="G1378" s="5"/>
      <c r="H1378" s="5"/>
      <c r="I1378" s="5" t="s">
        <v>3448</v>
      </c>
      <c r="J1378" s="5" t="s">
        <v>3449</v>
      </c>
      <c r="K1378" s="5" t="s">
        <v>7615</v>
      </c>
      <c r="L1378" s="5">
        <v>60</v>
      </c>
      <c r="M1378" s="5">
        <v>2</v>
      </c>
      <c r="N1378" s="5"/>
      <c r="O1378" s="5"/>
      <c r="P1378" s="5"/>
      <c r="Q1378" s="5">
        <v>1</v>
      </c>
      <c r="R1378" s="5"/>
      <c r="S1378" s="5">
        <v>120</v>
      </c>
      <c r="T1378" s="5">
        <v>120</v>
      </c>
      <c r="U1378" s="5">
        <v>120</v>
      </c>
    </row>
    <row r="1379" spans="1:21" x14ac:dyDescent="0.25">
      <c r="A1379" s="5" t="s">
        <v>7634</v>
      </c>
      <c r="B1379" s="5" t="s">
        <v>7635</v>
      </c>
      <c r="C1379" s="5" t="s">
        <v>3548</v>
      </c>
      <c r="D1379" s="5" t="s">
        <v>3562</v>
      </c>
      <c r="E1379" s="5" t="s">
        <v>7614</v>
      </c>
      <c r="F1379" s="5"/>
      <c r="G1379" s="5"/>
      <c r="H1379" s="5"/>
      <c r="I1379" s="5" t="s">
        <v>3448</v>
      </c>
      <c r="J1379" s="5" t="s">
        <v>3449</v>
      </c>
      <c r="K1379" s="5" t="s">
        <v>7615</v>
      </c>
      <c r="L1379" s="5">
        <v>70</v>
      </c>
      <c r="M1379" s="5">
        <v>1</v>
      </c>
      <c r="N1379" s="5"/>
      <c r="O1379" s="5"/>
      <c r="P1379" s="5"/>
      <c r="Q1379" s="5">
        <v>1</v>
      </c>
      <c r="R1379" s="5"/>
      <c r="S1379" s="5">
        <v>70</v>
      </c>
      <c r="T1379" s="5">
        <v>70</v>
      </c>
      <c r="U1379" s="5">
        <v>70</v>
      </c>
    </row>
    <row r="1380" spans="1:21" x14ac:dyDescent="0.25">
      <c r="A1380" s="5" t="s">
        <v>7636</v>
      </c>
      <c r="B1380" s="5" t="s">
        <v>7637</v>
      </c>
      <c r="C1380" s="5" t="s">
        <v>3548</v>
      </c>
      <c r="D1380" s="5" t="s">
        <v>3562</v>
      </c>
      <c r="E1380" s="5" t="s">
        <v>7614</v>
      </c>
      <c r="F1380" s="5"/>
      <c r="G1380" s="5"/>
      <c r="H1380" s="5"/>
      <c r="I1380" s="5" t="s">
        <v>3448</v>
      </c>
      <c r="J1380" s="5" t="s">
        <v>3449</v>
      </c>
      <c r="K1380" s="5" t="s">
        <v>7615</v>
      </c>
      <c r="L1380" s="5">
        <v>70</v>
      </c>
      <c r="M1380" s="5">
        <v>2</v>
      </c>
      <c r="N1380" s="5"/>
      <c r="O1380" s="5"/>
      <c r="P1380" s="5"/>
      <c r="Q1380" s="5">
        <v>1</v>
      </c>
      <c r="R1380" s="5"/>
      <c r="S1380" s="5">
        <v>140</v>
      </c>
      <c r="T1380" s="5">
        <v>140</v>
      </c>
      <c r="U1380" s="5">
        <v>140</v>
      </c>
    </row>
    <row r="1381" spans="1:21" x14ac:dyDescent="0.25">
      <c r="A1381" s="5" t="s">
        <v>7638</v>
      </c>
      <c r="B1381" s="5" t="s">
        <v>7639</v>
      </c>
      <c r="C1381" s="5" t="s">
        <v>3548</v>
      </c>
      <c r="D1381" s="5" t="s">
        <v>3562</v>
      </c>
      <c r="E1381" s="5" t="s">
        <v>7614</v>
      </c>
      <c r="F1381" s="5"/>
      <c r="G1381" s="5"/>
      <c r="H1381" s="5"/>
      <c r="I1381" s="5" t="s">
        <v>3448</v>
      </c>
      <c r="J1381" s="5" t="s">
        <v>3449</v>
      </c>
      <c r="K1381" s="5" t="s">
        <v>7615</v>
      </c>
      <c r="L1381" s="5">
        <v>120</v>
      </c>
      <c r="M1381" s="5">
        <v>1</v>
      </c>
      <c r="N1381" s="5"/>
      <c r="O1381" s="5"/>
      <c r="P1381" s="5"/>
      <c r="Q1381" s="5">
        <v>1</v>
      </c>
      <c r="R1381" s="5"/>
      <c r="S1381" s="5">
        <v>120</v>
      </c>
      <c r="T1381" s="5">
        <v>120</v>
      </c>
      <c r="U1381" s="5">
        <v>120</v>
      </c>
    </row>
    <row r="1382" spans="1:21" x14ac:dyDescent="0.25">
      <c r="A1382" s="5" t="s">
        <v>7640</v>
      </c>
      <c r="B1382" s="5" t="s">
        <v>7641</v>
      </c>
      <c r="C1382" s="5" t="s">
        <v>3548</v>
      </c>
      <c r="D1382" s="5" t="s">
        <v>3562</v>
      </c>
      <c r="E1382" s="5" t="s">
        <v>7614</v>
      </c>
      <c r="F1382" s="5"/>
      <c r="G1382" s="5"/>
      <c r="H1382" s="5"/>
      <c r="I1382" s="5" t="s">
        <v>3448</v>
      </c>
      <c r="J1382" s="5" t="s">
        <v>3449</v>
      </c>
      <c r="K1382" s="5" t="s">
        <v>7615</v>
      </c>
      <c r="L1382" s="5">
        <v>120</v>
      </c>
      <c r="M1382" s="5">
        <v>2</v>
      </c>
      <c r="N1382" s="5"/>
      <c r="O1382" s="5"/>
      <c r="P1382" s="5"/>
      <c r="Q1382" s="5">
        <v>1</v>
      </c>
      <c r="R1382" s="5"/>
      <c r="S1382" s="5">
        <v>240</v>
      </c>
      <c r="T1382" s="5">
        <v>240</v>
      </c>
      <c r="U1382" s="5">
        <v>240</v>
      </c>
    </row>
    <row r="1383" spans="1:21" x14ac:dyDescent="0.25">
      <c r="A1383" s="5" t="s">
        <v>7642</v>
      </c>
      <c r="B1383" s="5" t="s">
        <v>7643</v>
      </c>
      <c r="C1383" s="5"/>
      <c r="D1383" s="5" t="s">
        <v>6688</v>
      </c>
      <c r="E1383" s="5" t="s">
        <v>6728</v>
      </c>
      <c r="F1383" s="5" t="s">
        <v>6882</v>
      </c>
      <c r="G1383" s="5" t="s">
        <v>3501</v>
      </c>
      <c r="H1383" s="5"/>
      <c r="I1383" s="5" t="s">
        <v>3483</v>
      </c>
      <c r="J1383" s="5" t="s">
        <v>6690</v>
      </c>
      <c r="K1383" s="5" t="s">
        <v>6729</v>
      </c>
      <c r="L1383" s="5">
        <v>20</v>
      </c>
      <c r="M1383" s="5">
        <v>1</v>
      </c>
      <c r="N1383" s="5" t="s">
        <v>6883</v>
      </c>
      <c r="O1383" s="5" t="s">
        <v>3502</v>
      </c>
      <c r="P1383" s="5"/>
      <c r="Q1383" s="5">
        <v>1</v>
      </c>
      <c r="R1383" s="5"/>
      <c r="S1383" s="5">
        <v>23</v>
      </c>
      <c r="T1383" s="5">
        <v>23</v>
      </c>
      <c r="U1383" s="5">
        <v>23</v>
      </c>
    </row>
    <row r="1384" spans="1:21" x14ac:dyDescent="0.25">
      <c r="A1384" s="5" t="s">
        <v>7644</v>
      </c>
      <c r="B1384" s="5" t="s">
        <v>7645</v>
      </c>
      <c r="C1384" s="5"/>
      <c r="D1384" s="5" t="s">
        <v>6688</v>
      </c>
      <c r="E1384" s="5" t="s">
        <v>6728</v>
      </c>
      <c r="F1384" s="5" t="s">
        <v>6882</v>
      </c>
      <c r="G1384" s="5" t="s">
        <v>3501</v>
      </c>
      <c r="H1384" s="5"/>
      <c r="I1384" s="5" t="s">
        <v>3483</v>
      </c>
      <c r="J1384" s="5" t="s">
        <v>6690</v>
      </c>
      <c r="K1384" s="5" t="s">
        <v>6729</v>
      </c>
      <c r="L1384" s="5">
        <v>39</v>
      </c>
      <c r="M1384" s="5">
        <v>1</v>
      </c>
      <c r="N1384" s="5" t="s">
        <v>6883</v>
      </c>
      <c r="O1384" s="5" t="s">
        <v>3502</v>
      </c>
      <c r="P1384" s="5"/>
      <c r="Q1384" s="5">
        <v>1</v>
      </c>
      <c r="R1384" s="5"/>
      <c r="S1384" s="5">
        <v>43</v>
      </c>
      <c r="T1384" s="5">
        <v>43</v>
      </c>
      <c r="U1384" s="5">
        <v>43</v>
      </c>
    </row>
    <row r="1385" spans="1:21" x14ac:dyDescent="0.25">
      <c r="A1385" s="5" t="s">
        <v>7646</v>
      </c>
      <c r="B1385" s="5" t="s">
        <v>7647</v>
      </c>
      <c r="C1385" s="5"/>
      <c r="D1385" s="5" t="s">
        <v>3481</v>
      </c>
      <c r="E1385" s="5"/>
      <c r="F1385" s="5" t="s">
        <v>6882</v>
      </c>
      <c r="G1385" s="5" t="s">
        <v>3501</v>
      </c>
      <c r="H1385" s="5"/>
      <c r="I1385" s="5" t="s">
        <v>3483</v>
      </c>
      <c r="J1385" s="5" t="s">
        <v>3484</v>
      </c>
      <c r="K1385" s="5" t="s">
        <v>3485</v>
      </c>
      <c r="L1385" s="5">
        <v>50</v>
      </c>
      <c r="M1385" s="5">
        <v>1</v>
      </c>
      <c r="N1385" s="5" t="s">
        <v>6883</v>
      </c>
      <c r="O1385" s="5" t="s">
        <v>3502</v>
      </c>
      <c r="P1385" s="5"/>
      <c r="Q1385" s="5">
        <v>1</v>
      </c>
      <c r="R1385" s="5"/>
      <c r="S1385" s="5">
        <v>56</v>
      </c>
      <c r="T1385" s="5">
        <v>56</v>
      </c>
      <c r="U1385" s="5">
        <v>56</v>
      </c>
    </row>
    <row r="1386" spans="1:21" x14ac:dyDescent="0.25">
      <c r="A1386" s="5" t="s">
        <v>7648</v>
      </c>
      <c r="B1386" s="5" t="s">
        <v>7649</v>
      </c>
      <c r="C1386" s="5"/>
      <c r="D1386" s="5" t="s">
        <v>3481</v>
      </c>
      <c r="E1386" s="5"/>
      <c r="F1386" s="5" t="s">
        <v>6882</v>
      </c>
      <c r="G1386" s="5" t="s">
        <v>3493</v>
      </c>
      <c r="H1386" s="5"/>
      <c r="I1386" s="5" t="s">
        <v>3483</v>
      </c>
      <c r="J1386" s="5" t="s">
        <v>3484</v>
      </c>
      <c r="K1386" s="5" t="s">
        <v>3485</v>
      </c>
      <c r="L1386" s="5">
        <v>60</v>
      </c>
      <c r="M1386" s="5">
        <v>1</v>
      </c>
      <c r="N1386" s="5" t="s">
        <v>6883</v>
      </c>
      <c r="O1386" s="5" t="s">
        <v>3494</v>
      </c>
      <c r="P1386" s="5"/>
      <c r="Q1386" s="5">
        <v>1</v>
      </c>
      <c r="R1386" s="5"/>
      <c r="S1386" s="5">
        <v>67</v>
      </c>
      <c r="T1386" s="5">
        <v>67</v>
      </c>
      <c r="U1386" s="5">
        <v>67</v>
      </c>
    </row>
    <row r="1387" spans="1:21" x14ac:dyDescent="0.25">
      <c r="A1387" s="5" t="s">
        <v>7650</v>
      </c>
      <c r="B1387" s="5" t="s">
        <v>7651</v>
      </c>
      <c r="C1387" s="5"/>
      <c r="D1387" s="5" t="s">
        <v>6688</v>
      </c>
      <c r="E1387" s="5" t="s">
        <v>6728</v>
      </c>
      <c r="F1387" s="5" t="s">
        <v>6882</v>
      </c>
      <c r="G1387" s="5" t="s">
        <v>3501</v>
      </c>
      <c r="H1387" s="5"/>
      <c r="I1387" s="5" t="s">
        <v>3483</v>
      </c>
      <c r="J1387" s="5" t="s">
        <v>6690</v>
      </c>
      <c r="K1387" s="5" t="s">
        <v>6729</v>
      </c>
      <c r="L1387" s="5">
        <v>70</v>
      </c>
      <c r="M1387" s="5">
        <v>1</v>
      </c>
      <c r="N1387" s="5" t="s">
        <v>6883</v>
      </c>
      <c r="O1387" s="5" t="s">
        <v>3502</v>
      </c>
      <c r="P1387" s="5"/>
      <c r="Q1387" s="5">
        <v>1</v>
      </c>
      <c r="R1387" s="5"/>
      <c r="S1387" s="5">
        <v>77</v>
      </c>
      <c r="T1387" s="5">
        <v>77</v>
      </c>
      <c r="U1387" s="5">
        <v>77</v>
      </c>
    </row>
    <row r="1388" spans="1:21" x14ac:dyDescent="0.25">
      <c r="A1388" s="5" t="s">
        <v>7652</v>
      </c>
      <c r="B1388" s="5" t="s">
        <v>7653</v>
      </c>
      <c r="C1388" s="5"/>
      <c r="D1388" s="5" t="s">
        <v>3481</v>
      </c>
      <c r="E1388" s="5"/>
      <c r="F1388" s="5" t="s">
        <v>6882</v>
      </c>
      <c r="G1388" s="5" t="s">
        <v>3501</v>
      </c>
      <c r="H1388" s="5"/>
      <c r="I1388" s="5" t="s">
        <v>3483</v>
      </c>
      <c r="J1388" s="5" t="s">
        <v>3484</v>
      </c>
      <c r="K1388" s="5" t="s">
        <v>3485</v>
      </c>
      <c r="L1388" s="5">
        <v>90</v>
      </c>
      <c r="M1388" s="5">
        <v>1</v>
      </c>
      <c r="N1388" s="5" t="s">
        <v>6883</v>
      </c>
      <c r="O1388" s="5" t="s">
        <v>3494</v>
      </c>
      <c r="P1388" s="5"/>
      <c r="Q1388" s="5">
        <v>1</v>
      </c>
      <c r="R1388" s="5"/>
      <c r="S1388" s="5">
        <v>99</v>
      </c>
      <c r="T1388" s="5">
        <v>99</v>
      </c>
      <c r="U1388" s="5">
        <v>99</v>
      </c>
    </row>
    <row r="1389" spans="1:21" x14ac:dyDescent="0.25">
      <c r="A1389" s="5" t="s">
        <v>7654</v>
      </c>
      <c r="B1389" s="5" t="s">
        <v>7655</v>
      </c>
      <c r="C1389" s="5"/>
      <c r="D1389" s="5" t="s">
        <v>3481</v>
      </c>
      <c r="E1389" s="5"/>
      <c r="F1389" s="5" t="s">
        <v>6882</v>
      </c>
      <c r="G1389" s="5" t="s">
        <v>3493</v>
      </c>
      <c r="H1389" s="5"/>
      <c r="I1389" s="5" t="s">
        <v>3483</v>
      </c>
      <c r="J1389" s="5" t="s">
        <v>3484</v>
      </c>
      <c r="K1389" s="5" t="s">
        <v>3485</v>
      </c>
      <c r="L1389" s="5">
        <v>140</v>
      </c>
      <c r="M1389" s="5">
        <v>1</v>
      </c>
      <c r="N1389" s="5" t="s">
        <v>6883</v>
      </c>
      <c r="O1389" s="5" t="s">
        <v>3494</v>
      </c>
      <c r="P1389" s="5"/>
      <c r="Q1389" s="5">
        <v>1</v>
      </c>
      <c r="R1389" s="5"/>
      <c r="S1389" s="5">
        <v>154</v>
      </c>
      <c r="T1389" s="5">
        <v>154</v>
      </c>
      <c r="U1389" s="5">
        <v>154</v>
      </c>
    </row>
    <row r="1390" spans="1:21" x14ac:dyDescent="0.25">
      <c r="A1390" s="5" t="s">
        <v>7656</v>
      </c>
      <c r="B1390" s="5" t="s">
        <v>7657</v>
      </c>
      <c r="C1390" s="5"/>
      <c r="D1390" s="5" t="s">
        <v>6688</v>
      </c>
      <c r="E1390" s="5" t="s">
        <v>6728</v>
      </c>
      <c r="F1390" s="5" t="s">
        <v>6882</v>
      </c>
      <c r="G1390" s="5" t="s">
        <v>3501</v>
      </c>
      <c r="H1390" s="5"/>
      <c r="I1390" s="5" t="s">
        <v>3483</v>
      </c>
      <c r="J1390" s="5" t="s">
        <v>6690</v>
      </c>
      <c r="K1390" s="5" t="s">
        <v>6729</v>
      </c>
      <c r="L1390" s="5">
        <v>150</v>
      </c>
      <c r="M1390" s="5">
        <v>1</v>
      </c>
      <c r="N1390" s="5" t="s">
        <v>6883</v>
      </c>
      <c r="O1390" s="5" t="s">
        <v>3502</v>
      </c>
      <c r="P1390" s="5"/>
      <c r="Q1390" s="5">
        <v>1</v>
      </c>
      <c r="R1390" s="5"/>
      <c r="S1390" s="5">
        <v>167</v>
      </c>
      <c r="T1390" s="5">
        <v>167</v>
      </c>
      <c r="U1390" s="5">
        <v>167</v>
      </c>
    </row>
    <row r="1391" spans="1:21" x14ac:dyDescent="0.25">
      <c r="A1391" s="5" t="s">
        <v>7658</v>
      </c>
      <c r="B1391" s="5" t="s">
        <v>7659</v>
      </c>
      <c r="C1391" s="5"/>
      <c r="D1391" s="5" t="s">
        <v>3481</v>
      </c>
      <c r="E1391" s="5"/>
      <c r="F1391" s="5" t="s">
        <v>6882</v>
      </c>
      <c r="G1391" s="5" t="s">
        <v>3501</v>
      </c>
      <c r="H1391" s="5"/>
      <c r="I1391" s="5" t="s">
        <v>3483</v>
      </c>
      <c r="J1391" s="5" t="s">
        <v>3484</v>
      </c>
      <c r="K1391" s="5" t="s">
        <v>3485</v>
      </c>
      <c r="L1391" s="5">
        <v>200</v>
      </c>
      <c r="M1391" s="5">
        <v>1</v>
      </c>
      <c r="N1391" s="5" t="s">
        <v>6883</v>
      </c>
      <c r="O1391" s="5" t="s">
        <v>3502</v>
      </c>
      <c r="P1391" s="5"/>
      <c r="Q1391" s="5">
        <v>1</v>
      </c>
      <c r="R1391" s="5"/>
      <c r="S1391" s="5">
        <v>214</v>
      </c>
      <c r="T1391" s="5">
        <v>214</v>
      </c>
      <c r="U1391" s="5">
        <v>214</v>
      </c>
    </row>
    <row r="1392" spans="1:21" x14ac:dyDescent="0.25">
      <c r="A1392" s="5" t="s">
        <v>7660</v>
      </c>
      <c r="B1392" s="5" t="s">
        <v>7661</v>
      </c>
      <c r="C1392" s="5"/>
      <c r="D1392" s="5" t="s">
        <v>3481</v>
      </c>
      <c r="E1392" s="5"/>
      <c r="F1392" s="5" t="s">
        <v>6882</v>
      </c>
      <c r="G1392" s="5" t="s">
        <v>3501</v>
      </c>
      <c r="H1392" s="5"/>
      <c r="I1392" s="5" t="s">
        <v>3483</v>
      </c>
      <c r="J1392" s="5" t="s">
        <v>3484</v>
      </c>
      <c r="K1392" s="5" t="s">
        <v>3485</v>
      </c>
      <c r="L1392" s="5">
        <v>250</v>
      </c>
      <c r="M1392" s="5">
        <v>1</v>
      </c>
      <c r="N1392" s="5" t="s">
        <v>6883</v>
      </c>
      <c r="O1392" s="5" t="s">
        <v>3502</v>
      </c>
      <c r="P1392" s="5"/>
      <c r="Q1392" s="5">
        <v>1</v>
      </c>
      <c r="R1392" s="5"/>
      <c r="S1392" s="5">
        <v>266</v>
      </c>
      <c r="T1392" s="5">
        <v>266</v>
      </c>
      <c r="U1392" s="5">
        <v>266</v>
      </c>
    </row>
    <row r="1393" spans="1:21" x14ac:dyDescent="0.25">
      <c r="A1393" s="5" t="s">
        <v>7662</v>
      </c>
      <c r="B1393" s="5" t="s">
        <v>7663</v>
      </c>
      <c r="C1393" s="5"/>
      <c r="D1393" s="5" t="s">
        <v>3481</v>
      </c>
      <c r="E1393" s="5"/>
      <c r="F1393" s="5" t="s">
        <v>6882</v>
      </c>
      <c r="G1393" s="5" t="s">
        <v>3501</v>
      </c>
      <c r="H1393" s="5"/>
      <c r="I1393" s="5" t="s">
        <v>3483</v>
      </c>
      <c r="J1393" s="5" t="s">
        <v>3484</v>
      </c>
      <c r="K1393" s="5" t="s">
        <v>3485</v>
      </c>
      <c r="L1393" s="5">
        <v>320</v>
      </c>
      <c r="M1393" s="5">
        <v>1</v>
      </c>
      <c r="N1393" s="5" t="s">
        <v>6883</v>
      </c>
      <c r="O1393" s="5" t="s">
        <v>3502</v>
      </c>
      <c r="P1393" s="5"/>
      <c r="Q1393" s="5">
        <v>1</v>
      </c>
      <c r="R1393" s="5"/>
      <c r="S1393" s="5">
        <v>341</v>
      </c>
      <c r="T1393" s="5">
        <v>341</v>
      </c>
      <c r="U1393" s="5">
        <v>341</v>
      </c>
    </row>
    <row r="1394" spans="1:21" x14ac:dyDescent="0.25">
      <c r="A1394" s="5" t="s">
        <v>7664</v>
      </c>
      <c r="B1394" s="5" t="s">
        <v>7665</v>
      </c>
      <c r="C1394" s="5"/>
      <c r="D1394" s="5" t="s">
        <v>6688</v>
      </c>
      <c r="E1394" s="5" t="s">
        <v>6728</v>
      </c>
      <c r="F1394" s="5" t="s">
        <v>6882</v>
      </c>
      <c r="G1394" s="5" t="s">
        <v>3501</v>
      </c>
      <c r="H1394" s="5"/>
      <c r="I1394" s="5" t="s">
        <v>3483</v>
      </c>
      <c r="J1394" s="5" t="s">
        <v>6690</v>
      </c>
      <c r="K1394" s="5" t="s">
        <v>6729</v>
      </c>
      <c r="L1394" s="5">
        <v>320</v>
      </c>
      <c r="M1394" s="5">
        <v>1</v>
      </c>
      <c r="N1394" s="5" t="s">
        <v>6883</v>
      </c>
      <c r="O1394" s="5" t="s">
        <v>3502</v>
      </c>
      <c r="P1394" s="5"/>
      <c r="Q1394" s="5">
        <v>1</v>
      </c>
      <c r="R1394" s="5"/>
      <c r="S1394" s="5">
        <v>343</v>
      </c>
      <c r="T1394" s="5">
        <v>343</v>
      </c>
      <c r="U1394" s="5">
        <v>343</v>
      </c>
    </row>
    <row r="1395" spans="1:21" x14ac:dyDescent="0.25">
      <c r="A1395" s="5" t="s">
        <v>7666</v>
      </c>
      <c r="B1395" s="5" t="s">
        <v>7667</v>
      </c>
      <c r="C1395" s="5"/>
      <c r="D1395" s="5" t="s">
        <v>3481</v>
      </c>
      <c r="E1395" s="5"/>
      <c r="F1395" s="5" t="s">
        <v>6882</v>
      </c>
      <c r="G1395" s="5" t="s">
        <v>3501</v>
      </c>
      <c r="H1395" s="5"/>
      <c r="I1395" s="5" t="s">
        <v>3483</v>
      </c>
      <c r="J1395" s="5" t="s">
        <v>3484</v>
      </c>
      <c r="K1395" s="5" t="s">
        <v>3485</v>
      </c>
      <c r="L1395" s="5">
        <v>350</v>
      </c>
      <c r="M1395" s="5">
        <v>1</v>
      </c>
      <c r="N1395" s="5" t="s">
        <v>6883</v>
      </c>
      <c r="O1395" s="5" t="s">
        <v>3502</v>
      </c>
      <c r="P1395" s="5"/>
      <c r="Q1395" s="5">
        <v>1</v>
      </c>
      <c r="R1395" s="5"/>
      <c r="S1395" s="5">
        <v>372</v>
      </c>
      <c r="T1395" s="5">
        <v>372</v>
      </c>
      <c r="U1395" s="5">
        <v>372</v>
      </c>
    </row>
    <row r="1396" spans="1:21" x14ac:dyDescent="0.25">
      <c r="A1396" s="5" t="s">
        <v>7668</v>
      </c>
      <c r="B1396" s="5" t="s">
        <v>7669</v>
      </c>
      <c r="C1396" s="5"/>
      <c r="D1396" s="5" t="s">
        <v>3481</v>
      </c>
      <c r="E1396" s="5"/>
      <c r="F1396" s="5" t="s">
        <v>6882</v>
      </c>
      <c r="G1396" s="5" t="s">
        <v>3501</v>
      </c>
      <c r="H1396" s="5"/>
      <c r="I1396" s="5" t="s">
        <v>3483</v>
      </c>
      <c r="J1396" s="5" t="s">
        <v>3484</v>
      </c>
      <c r="K1396" s="5" t="s">
        <v>3485</v>
      </c>
      <c r="L1396" s="5">
        <v>400</v>
      </c>
      <c r="M1396" s="5">
        <v>1</v>
      </c>
      <c r="N1396" s="5" t="s">
        <v>6883</v>
      </c>
      <c r="O1396" s="5" t="s">
        <v>3502</v>
      </c>
      <c r="P1396" s="5"/>
      <c r="Q1396" s="5">
        <v>1</v>
      </c>
      <c r="R1396" s="5"/>
      <c r="S1396" s="5">
        <v>426</v>
      </c>
      <c r="T1396" s="5">
        <v>426</v>
      </c>
      <c r="U1396" s="5">
        <v>426</v>
      </c>
    </row>
    <row r="1397" spans="1:21" x14ac:dyDescent="0.25">
      <c r="A1397" s="5" t="s">
        <v>7670</v>
      </c>
      <c r="B1397" s="5" t="s">
        <v>7671</v>
      </c>
      <c r="C1397" s="5"/>
      <c r="D1397" s="5" t="s">
        <v>6688</v>
      </c>
      <c r="E1397" s="5" t="s">
        <v>6728</v>
      </c>
      <c r="F1397" s="5" t="s">
        <v>6882</v>
      </c>
      <c r="G1397" s="5" t="s">
        <v>3501</v>
      </c>
      <c r="H1397" s="5"/>
      <c r="I1397" s="5" t="s">
        <v>3483</v>
      </c>
      <c r="J1397" s="5" t="s">
        <v>6690</v>
      </c>
      <c r="K1397" s="5" t="s">
        <v>6729</v>
      </c>
      <c r="L1397" s="5">
        <v>400</v>
      </c>
      <c r="M1397" s="5">
        <v>1</v>
      </c>
      <c r="N1397" s="5" t="s">
        <v>6883</v>
      </c>
      <c r="O1397" s="5" t="s">
        <v>3502</v>
      </c>
      <c r="P1397" s="5"/>
      <c r="Q1397" s="5">
        <v>1</v>
      </c>
      <c r="R1397" s="5"/>
      <c r="S1397" s="5">
        <v>428</v>
      </c>
      <c r="T1397" s="5">
        <v>428</v>
      </c>
      <c r="U1397" s="5">
        <v>428</v>
      </c>
    </row>
    <row r="1398" spans="1:21" x14ac:dyDescent="0.25">
      <c r="A1398" s="5" t="s">
        <v>3814</v>
      </c>
      <c r="B1398" s="5" t="s">
        <v>3815</v>
      </c>
      <c r="C1398" s="5" t="s">
        <v>3548</v>
      </c>
      <c r="D1398" s="5" t="s">
        <v>3782</v>
      </c>
      <c r="E1398" s="5" t="s">
        <v>3799</v>
      </c>
      <c r="F1398" s="5" t="s">
        <v>3584</v>
      </c>
      <c r="G1398" s="5" t="s">
        <v>3493</v>
      </c>
      <c r="H1398" s="5" t="s">
        <v>3816</v>
      </c>
      <c r="I1398" s="5" t="s">
        <v>3448</v>
      </c>
      <c r="J1398" s="5" t="s">
        <v>3783</v>
      </c>
      <c r="K1398" s="5" t="s">
        <v>3799</v>
      </c>
      <c r="L1398" s="5">
        <v>25</v>
      </c>
      <c r="M1398" s="5">
        <v>2</v>
      </c>
      <c r="N1398" s="5" t="s">
        <v>3585</v>
      </c>
      <c r="O1398" s="5" t="s">
        <v>3494</v>
      </c>
      <c r="P1398" s="5">
        <v>3</v>
      </c>
      <c r="Q1398" s="5">
        <v>1</v>
      </c>
      <c r="R1398" s="5" t="s">
        <v>3817</v>
      </c>
      <c r="S1398" s="5">
        <v>50</v>
      </c>
      <c r="T1398" s="5">
        <v>50</v>
      </c>
      <c r="U1398" s="5">
        <v>50</v>
      </c>
    </row>
    <row r="1399" spans="1:21" x14ac:dyDescent="0.25">
      <c r="A1399" s="5" t="s">
        <v>3828</v>
      </c>
      <c r="B1399" s="5" t="s">
        <v>3829</v>
      </c>
      <c r="C1399" s="5" t="s">
        <v>3548</v>
      </c>
      <c r="D1399" s="5" t="s">
        <v>3782</v>
      </c>
      <c r="E1399" s="5" t="s">
        <v>3799</v>
      </c>
      <c r="F1399" s="5" t="s">
        <v>3584</v>
      </c>
      <c r="G1399" s="5" t="s">
        <v>3826</v>
      </c>
      <c r="H1399" s="5" t="s">
        <v>3816</v>
      </c>
      <c r="I1399" s="5" t="s">
        <v>3448</v>
      </c>
      <c r="J1399" s="5" t="s">
        <v>3783</v>
      </c>
      <c r="K1399" s="5" t="s">
        <v>3799</v>
      </c>
      <c r="L1399" s="5">
        <v>25</v>
      </c>
      <c r="M1399" s="5">
        <v>2</v>
      </c>
      <c r="N1399" s="5" t="s">
        <v>3585</v>
      </c>
      <c r="O1399" s="5" t="s">
        <v>3827</v>
      </c>
      <c r="P1399" s="5">
        <v>4</v>
      </c>
      <c r="Q1399" s="5">
        <v>1</v>
      </c>
      <c r="R1399" s="5" t="s">
        <v>3817</v>
      </c>
      <c r="S1399" s="5">
        <v>40</v>
      </c>
      <c r="T1399" s="5">
        <v>40</v>
      </c>
      <c r="U1399" s="5">
        <v>40</v>
      </c>
    </row>
    <row r="1400" spans="1:21" x14ac:dyDescent="0.25">
      <c r="A1400" s="5" t="s">
        <v>3836</v>
      </c>
      <c r="B1400" s="5" t="s">
        <v>3837</v>
      </c>
      <c r="C1400" s="5" t="s">
        <v>3548</v>
      </c>
      <c r="D1400" s="5" t="s">
        <v>3782</v>
      </c>
      <c r="E1400" s="5" t="s">
        <v>3799</v>
      </c>
      <c r="F1400" s="5" t="s">
        <v>3564</v>
      </c>
      <c r="G1400" s="5"/>
      <c r="H1400" s="5" t="s">
        <v>3838</v>
      </c>
      <c r="I1400" s="5" t="s">
        <v>3448</v>
      </c>
      <c r="J1400" s="5" t="s">
        <v>3783</v>
      </c>
      <c r="K1400" s="5" t="s">
        <v>3799</v>
      </c>
      <c r="L1400" s="5">
        <v>25</v>
      </c>
      <c r="M1400" s="5">
        <v>1</v>
      </c>
      <c r="N1400" s="5" t="s">
        <v>3566</v>
      </c>
      <c r="O1400" s="5"/>
      <c r="P1400" s="5">
        <v>3</v>
      </c>
      <c r="Q1400" s="5">
        <v>1</v>
      </c>
      <c r="R1400" s="5" t="s">
        <v>3839</v>
      </c>
      <c r="S1400" s="5">
        <v>33</v>
      </c>
      <c r="T1400" s="5">
        <v>33</v>
      </c>
      <c r="U1400" s="5">
        <v>33</v>
      </c>
    </row>
    <row r="1401" spans="1:21" x14ac:dyDescent="0.25">
      <c r="A1401" s="5" t="s">
        <v>3840</v>
      </c>
      <c r="B1401" s="5" t="s">
        <v>3841</v>
      </c>
      <c r="C1401" s="5" t="s">
        <v>3548</v>
      </c>
      <c r="D1401" s="5" t="s">
        <v>3782</v>
      </c>
      <c r="E1401" s="5" t="s">
        <v>3799</v>
      </c>
      <c r="F1401" s="5" t="s">
        <v>3822</v>
      </c>
      <c r="G1401" s="5"/>
      <c r="H1401" s="5" t="s">
        <v>3838</v>
      </c>
      <c r="I1401" s="5" t="s">
        <v>3448</v>
      </c>
      <c r="J1401" s="5" t="s">
        <v>3783</v>
      </c>
      <c r="K1401" s="5" t="s">
        <v>3799</v>
      </c>
      <c r="L1401" s="5">
        <v>25</v>
      </c>
      <c r="M1401" s="5">
        <v>1</v>
      </c>
      <c r="N1401" s="5" t="s">
        <v>3823</v>
      </c>
      <c r="O1401" s="5"/>
      <c r="P1401" s="5">
        <v>3</v>
      </c>
      <c r="Q1401" s="5">
        <v>1</v>
      </c>
      <c r="R1401" s="5" t="s">
        <v>3839</v>
      </c>
      <c r="S1401" s="5">
        <v>33</v>
      </c>
      <c r="T1401" s="5">
        <v>33</v>
      </c>
      <c r="U1401" s="5">
        <v>33</v>
      </c>
    </row>
    <row r="1402" spans="1:21" x14ac:dyDescent="0.25">
      <c r="A1402" s="5" t="s">
        <v>3844</v>
      </c>
      <c r="B1402" s="5" t="s">
        <v>3845</v>
      </c>
      <c r="C1402" s="5" t="s">
        <v>3548</v>
      </c>
      <c r="D1402" s="5" t="s">
        <v>3782</v>
      </c>
      <c r="E1402" s="5" t="s">
        <v>3799</v>
      </c>
      <c r="F1402" s="5" t="s">
        <v>3584</v>
      </c>
      <c r="G1402" s="5" t="s">
        <v>3826</v>
      </c>
      <c r="H1402" s="5" t="s">
        <v>3838</v>
      </c>
      <c r="I1402" s="5" t="s">
        <v>3448</v>
      </c>
      <c r="J1402" s="5" t="s">
        <v>3783</v>
      </c>
      <c r="K1402" s="5" t="s">
        <v>3799</v>
      </c>
      <c r="L1402" s="5">
        <v>25</v>
      </c>
      <c r="M1402" s="5">
        <v>1</v>
      </c>
      <c r="N1402" s="5" t="s">
        <v>3585</v>
      </c>
      <c r="O1402" s="5" t="s">
        <v>3827</v>
      </c>
      <c r="P1402" s="5">
        <v>4</v>
      </c>
      <c r="Q1402" s="5">
        <v>1</v>
      </c>
      <c r="R1402" s="5" t="s">
        <v>3839</v>
      </c>
      <c r="S1402" s="5">
        <v>19</v>
      </c>
      <c r="T1402" s="5">
        <v>19</v>
      </c>
      <c r="U1402" s="5">
        <v>19</v>
      </c>
    </row>
    <row r="1403" spans="1:21" x14ac:dyDescent="0.25">
      <c r="A1403" s="5" t="s">
        <v>3846</v>
      </c>
      <c r="B1403" s="5" t="s">
        <v>3847</v>
      </c>
      <c r="C1403" s="5" t="s">
        <v>3548</v>
      </c>
      <c r="D1403" s="5" t="s">
        <v>3782</v>
      </c>
      <c r="E1403" s="5" t="s">
        <v>3799</v>
      </c>
      <c r="F1403" s="5" t="s">
        <v>3584</v>
      </c>
      <c r="G1403" s="5" t="s">
        <v>3826</v>
      </c>
      <c r="H1403" s="5" t="s">
        <v>3848</v>
      </c>
      <c r="I1403" s="5" t="s">
        <v>3448</v>
      </c>
      <c r="J1403" s="5" t="s">
        <v>3783</v>
      </c>
      <c r="K1403" s="5" t="s">
        <v>3799</v>
      </c>
      <c r="L1403" s="5">
        <v>25</v>
      </c>
      <c r="M1403" s="5">
        <v>1</v>
      </c>
      <c r="N1403" s="5" t="s">
        <v>3585</v>
      </c>
      <c r="O1403" s="5" t="s">
        <v>3827</v>
      </c>
      <c r="P1403" s="5">
        <v>4</v>
      </c>
      <c r="Q1403" s="5">
        <v>1</v>
      </c>
      <c r="R1403" s="5" t="s">
        <v>3849</v>
      </c>
      <c r="S1403" s="5">
        <v>20</v>
      </c>
      <c r="T1403" s="5">
        <v>20</v>
      </c>
      <c r="U1403" s="5">
        <v>20</v>
      </c>
    </row>
    <row r="1404" spans="1:21" x14ac:dyDescent="0.25">
      <c r="A1404" s="5" t="s">
        <v>3850</v>
      </c>
      <c r="B1404" s="5" t="s">
        <v>3851</v>
      </c>
      <c r="C1404" s="5" t="s">
        <v>3548</v>
      </c>
      <c r="D1404" s="5" t="s">
        <v>3782</v>
      </c>
      <c r="E1404" s="5" t="s">
        <v>3799</v>
      </c>
      <c r="F1404" s="5" t="s">
        <v>3584</v>
      </c>
      <c r="G1404" s="5" t="s">
        <v>3826</v>
      </c>
      <c r="H1404" s="5" t="s">
        <v>3816</v>
      </c>
      <c r="I1404" s="5" t="s">
        <v>3448</v>
      </c>
      <c r="J1404" s="5" t="s">
        <v>3783</v>
      </c>
      <c r="K1404" s="5" t="s">
        <v>3799</v>
      </c>
      <c r="L1404" s="5">
        <v>25</v>
      </c>
      <c r="M1404" s="5">
        <v>1</v>
      </c>
      <c r="N1404" s="5" t="s">
        <v>3585</v>
      </c>
      <c r="O1404" s="5" t="s">
        <v>3827</v>
      </c>
      <c r="P1404" s="5">
        <v>4</v>
      </c>
      <c r="Q1404" s="5">
        <v>1</v>
      </c>
      <c r="R1404" s="5" t="s">
        <v>3817</v>
      </c>
      <c r="S1404" s="5">
        <v>20</v>
      </c>
      <c r="T1404" s="5">
        <v>20</v>
      </c>
      <c r="U1404" s="5">
        <v>20</v>
      </c>
    </row>
    <row r="1405" spans="1:21" x14ac:dyDescent="0.25">
      <c r="A1405" s="5" t="s">
        <v>3874</v>
      </c>
      <c r="B1405" s="5" t="s">
        <v>3875</v>
      </c>
      <c r="C1405" s="5" t="s">
        <v>3548</v>
      </c>
      <c r="D1405" s="5" t="s">
        <v>3782</v>
      </c>
      <c r="E1405" s="5" t="s">
        <v>3799</v>
      </c>
      <c r="F1405" s="5" t="s">
        <v>3564</v>
      </c>
      <c r="G1405" s="5"/>
      <c r="H1405" s="5" t="s">
        <v>3838</v>
      </c>
      <c r="I1405" s="5" t="s">
        <v>3448</v>
      </c>
      <c r="J1405" s="5" t="s">
        <v>3783</v>
      </c>
      <c r="K1405" s="5" t="s">
        <v>3799</v>
      </c>
      <c r="L1405" s="5">
        <v>30</v>
      </c>
      <c r="M1405" s="5">
        <v>1</v>
      </c>
      <c r="N1405" s="5" t="s">
        <v>3566</v>
      </c>
      <c r="O1405" s="5"/>
      <c r="P1405" s="5">
        <v>3</v>
      </c>
      <c r="Q1405" s="5">
        <v>1</v>
      </c>
      <c r="R1405" s="5" t="s">
        <v>3839</v>
      </c>
      <c r="S1405" s="5">
        <v>41</v>
      </c>
      <c r="T1405" s="5">
        <v>41</v>
      </c>
      <c r="U1405" s="5">
        <v>41</v>
      </c>
    </row>
    <row r="1406" spans="1:21" x14ac:dyDescent="0.25">
      <c r="A1406" s="5" t="s">
        <v>3876</v>
      </c>
      <c r="B1406" s="5" t="s">
        <v>3877</v>
      </c>
      <c r="C1406" s="5" t="s">
        <v>3548</v>
      </c>
      <c r="D1406" s="5" t="s">
        <v>3782</v>
      </c>
      <c r="E1406" s="5" t="s">
        <v>3799</v>
      </c>
      <c r="F1406" s="5" t="s">
        <v>3822</v>
      </c>
      <c r="G1406" s="5"/>
      <c r="H1406" s="5" t="s">
        <v>3838</v>
      </c>
      <c r="I1406" s="5" t="s">
        <v>3448</v>
      </c>
      <c r="J1406" s="5" t="s">
        <v>3783</v>
      </c>
      <c r="K1406" s="5" t="s">
        <v>3799</v>
      </c>
      <c r="L1406" s="5">
        <v>30</v>
      </c>
      <c r="M1406" s="5">
        <v>1</v>
      </c>
      <c r="N1406" s="5" t="s">
        <v>3823</v>
      </c>
      <c r="O1406" s="5"/>
      <c r="P1406" s="5">
        <v>3</v>
      </c>
      <c r="Q1406" s="5">
        <v>1</v>
      </c>
      <c r="R1406" s="5" t="s">
        <v>3839</v>
      </c>
      <c r="S1406" s="5">
        <v>37</v>
      </c>
      <c r="T1406" s="5">
        <v>37</v>
      </c>
      <c r="U1406" s="5">
        <v>37</v>
      </c>
    </row>
    <row r="1407" spans="1:21" x14ac:dyDescent="0.25">
      <c r="A1407" s="5" t="s">
        <v>3908</v>
      </c>
      <c r="B1407" s="5" t="s">
        <v>3909</v>
      </c>
      <c r="C1407" s="5" t="s">
        <v>3548</v>
      </c>
      <c r="D1407" s="5" t="s">
        <v>3782</v>
      </c>
      <c r="E1407" s="5" t="s">
        <v>3799</v>
      </c>
      <c r="F1407" s="5" t="s">
        <v>3564</v>
      </c>
      <c r="G1407" s="5"/>
      <c r="H1407" s="5" t="s">
        <v>3838</v>
      </c>
      <c r="I1407" s="5" t="s">
        <v>3448</v>
      </c>
      <c r="J1407" s="5" t="s">
        <v>3783</v>
      </c>
      <c r="K1407" s="5" t="s">
        <v>3799</v>
      </c>
      <c r="L1407" s="5">
        <v>34</v>
      </c>
      <c r="M1407" s="5">
        <v>3</v>
      </c>
      <c r="N1407" s="5" t="s">
        <v>3566</v>
      </c>
      <c r="O1407" s="5"/>
      <c r="P1407" s="5">
        <v>4</v>
      </c>
      <c r="Q1407" s="5">
        <v>1</v>
      </c>
      <c r="R1407" s="5" t="s">
        <v>3839</v>
      </c>
      <c r="S1407" s="5">
        <v>123</v>
      </c>
      <c r="T1407" s="5">
        <v>108</v>
      </c>
      <c r="U1407" s="5">
        <v>123</v>
      </c>
    </row>
    <row r="1408" spans="1:21" x14ac:dyDescent="0.25">
      <c r="A1408" s="5" t="s">
        <v>3912</v>
      </c>
      <c r="B1408" s="5" t="s">
        <v>3913</v>
      </c>
      <c r="C1408" s="5" t="s">
        <v>3548</v>
      </c>
      <c r="D1408" s="5" t="s">
        <v>3782</v>
      </c>
      <c r="E1408" s="5" t="s">
        <v>3799</v>
      </c>
      <c r="F1408" s="5" t="s">
        <v>3822</v>
      </c>
      <c r="G1408" s="5"/>
      <c r="H1408" s="5" t="s">
        <v>3838</v>
      </c>
      <c r="I1408" s="5" t="s">
        <v>3448</v>
      </c>
      <c r="J1408" s="5" t="s">
        <v>3783</v>
      </c>
      <c r="K1408" s="5" t="s">
        <v>3799</v>
      </c>
      <c r="L1408" s="5">
        <v>34</v>
      </c>
      <c r="M1408" s="5">
        <v>3</v>
      </c>
      <c r="N1408" s="5" t="s">
        <v>3823</v>
      </c>
      <c r="O1408" s="5"/>
      <c r="P1408" s="5">
        <v>4</v>
      </c>
      <c r="Q1408" s="5">
        <v>1</v>
      </c>
      <c r="R1408" s="5" t="s">
        <v>3839</v>
      </c>
      <c r="S1408" s="5">
        <v>108</v>
      </c>
      <c r="T1408" s="5">
        <v>108</v>
      </c>
      <c r="U1408" s="5">
        <v>108</v>
      </c>
    </row>
    <row r="1409" spans="1:21" x14ac:dyDescent="0.25">
      <c r="A1409" s="5" t="s">
        <v>3926</v>
      </c>
      <c r="B1409" s="5" t="s">
        <v>3927</v>
      </c>
      <c r="C1409" s="5" t="s">
        <v>3548</v>
      </c>
      <c r="D1409" s="5" t="s">
        <v>3782</v>
      </c>
      <c r="E1409" s="5" t="s">
        <v>3799</v>
      </c>
      <c r="F1409" s="5" t="s">
        <v>3822</v>
      </c>
      <c r="G1409" s="5"/>
      <c r="H1409" s="5" t="s">
        <v>3838</v>
      </c>
      <c r="I1409" s="5" t="s">
        <v>3448</v>
      </c>
      <c r="J1409" s="5" t="s">
        <v>3783</v>
      </c>
      <c r="K1409" s="5" t="s">
        <v>3799</v>
      </c>
      <c r="L1409" s="5">
        <v>34</v>
      </c>
      <c r="M1409" s="5">
        <v>1</v>
      </c>
      <c r="N1409" s="5" t="s">
        <v>3823</v>
      </c>
      <c r="O1409" s="5"/>
      <c r="P1409" s="5">
        <v>4</v>
      </c>
      <c r="Q1409" s="5">
        <v>1</v>
      </c>
      <c r="R1409" s="5" t="s">
        <v>3839</v>
      </c>
      <c r="S1409" s="5">
        <v>36</v>
      </c>
      <c r="T1409" s="5">
        <v>36</v>
      </c>
      <c r="U1409" s="5">
        <v>36</v>
      </c>
    </row>
    <row r="1410" spans="1:21" x14ac:dyDescent="0.25">
      <c r="A1410" s="5" t="s">
        <v>3946</v>
      </c>
      <c r="B1410" s="5" t="s">
        <v>3947</v>
      </c>
      <c r="C1410" s="5" t="s">
        <v>3548</v>
      </c>
      <c r="D1410" s="5" t="s">
        <v>3782</v>
      </c>
      <c r="E1410" s="5" t="s">
        <v>3799</v>
      </c>
      <c r="F1410" s="5" t="s">
        <v>3584</v>
      </c>
      <c r="G1410" s="5" t="s">
        <v>3493</v>
      </c>
      <c r="H1410" s="5" t="s">
        <v>3838</v>
      </c>
      <c r="I1410" s="5" t="s">
        <v>3448</v>
      </c>
      <c r="J1410" s="5" t="s">
        <v>3783</v>
      </c>
      <c r="K1410" s="5" t="s">
        <v>3799</v>
      </c>
      <c r="L1410" s="5">
        <v>39</v>
      </c>
      <c r="M1410" s="5">
        <v>1</v>
      </c>
      <c r="N1410" s="5" t="s">
        <v>3585</v>
      </c>
      <c r="O1410" s="5" t="s">
        <v>3494</v>
      </c>
      <c r="P1410" s="5">
        <v>4</v>
      </c>
      <c r="Q1410" s="5">
        <v>1</v>
      </c>
      <c r="R1410" s="5" t="s">
        <v>3839</v>
      </c>
      <c r="S1410" s="5">
        <v>37</v>
      </c>
      <c r="T1410" s="5">
        <v>37</v>
      </c>
      <c r="U1410" s="5">
        <v>37</v>
      </c>
    </row>
    <row r="1411" spans="1:21" x14ac:dyDescent="0.25">
      <c r="A1411" s="5" t="s">
        <v>3952</v>
      </c>
      <c r="B1411" s="5" t="s">
        <v>3953</v>
      </c>
      <c r="C1411" s="5" t="s">
        <v>3548</v>
      </c>
      <c r="D1411" s="5" t="s">
        <v>3782</v>
      </c>
      <c r="E1411" s="5" t="s">
        <v>3799</v>
      </c>
      <c r="F1411" s="5" t="s">
        <v>3564</v>
      </c>
      <c r="G1411" s="5"/>
      <c r="H1411" s="5" t="s">
        <v>3838</v>
      </c>
      <c r="I1411" s="5" t="s">
        <v>3448</v>
      </c>
      <c r="J1411" s="5" t="s">
        <v>3783</v>
      </c>
      <c r="K1411" s="5" t="s">
        <v>3799</v>
      </c>
      <c r="L1411" s="5">
        <v>39</v>
      </c>
      <c r="M1411" s="5">
        <v>1</v>
      </c>
      <c r="N1411" s="5" t="s">
        <v>3566</v>
      </c>
      <c r="O1411" s="5"/>
      <c r="P1411" s="5">
        <v>4</v>
      </c>
      <c r="Q1411" s="5">
        <v>1</v>
      </c>
      <c r="R1411" s="5" t="s">
        <v>3839</v>
      </c>
      <c r="S1411" s="5">
        <v>52</v>
      </c>
      <c r="T1411" s="5">
        <v>52</v>
      </c>
      <c r="U1411" s="5">
        <v>52</v>
      </c>
    </row>
    <row r="1412" spans="1:21" x14ac:dyDescent="0.25">
      <c r="A1412" s="5" t="s">
        <v>3972</v>
      </c>
      <c r="B1412" s="5" t="s">
        <v>3973</v>
      </c>
      <c r="C1412" s="5" t="s">
        <v>3548</v>
      </c>
      <c r="D1412" s="5" t="s">
        <v>3782</v>
      </c>
      <c r="E1412" s="5" t="s">
        <v>3799</v>
      </c>
      <c r="F1412" s="5" t="s">
        <v>3564</v>
      </c>
      <c r="G1412" s="5"/>
      <c r="H1412" s="5" t="s">
        <v>3838</v>
      </c>
      <c r="I1412" s="5" t="s">
        <v>3448</v>
      </c>
      <c r="J1412" s="5" t="s">
        <v>3783</v>
      </c>
      <c r="K1412" s="5" t="s">
        <v>3799</v>
      </c>
      <c r="L1412" s="5">
        <v>40</v>
      </c>
      <c r="M1412" s="5">
        <v>1</v>
      </c>
      <c r="N1412" s="5" t="s">
        <v>3566</v>
      </c>
      <c r="O1412" s="5"/>
      <c r="P1412" s="5">
        <v>4</v>
      </c>
      <c r="Q1412" s="5">
        <v>1</v>
      </c>
      <c r="R1412" s="5" t="s">
        <v>3839</v>
      </c>
      <c r="S1412" s="5">
        <v>48</v>
      </c>
      <c r="T1412" s="5">
        <v>43</v>
      </c>
      <c r="U1412" s="5">
        <v>48</v>
      </c>
    </row>
    <row r="1413" spans="1:21" x14ac:dyDescent="0.25">
      <c r="A1413" s="5" t="s">
        <v>3976</v>
      </c>
      <c r="B1413" s="5" t="s">
        <v>3977</v>
      </c>
      <c r="C1413" s="5" t="s">
        <v>3548</v>
      </c>
      <c r="D1413" s="5" t="s">
        <v>3782</v>
      </c>
      <c r="E1413" s="5" t="s">
        <v>3799</v>
      </c>
      <c r="F1413" s="5" t="s">
        <v>3822</v>
      </c>
      <c r="G1413" s="5"/>
      <c r="H1413" s="5" t="s">
        <v>3838</v>
      </c>
      <c r="I1413" s="5" t="s">
        <v>3448</v>
      </c>
      <c r="J1413" s="5" t="s">
        <v>3783</v>
      </c>
      <c r="K1413" s="5" t="s">
        <v>3799</v>
      </c>
      <c r="L1413" s="5">
        <v>40</v>
      </c>
      <c r="M1413" s="5">
        <v>1</v>
      </c>
      <c r="N1413" s="5" t="s">
        <v>3823</v>
      </c>
      <c r="O1413" s="5"/>
      <c r="P1413" s="5">
        <v>4</v>
      </c>
      <c r="Q1413" s="5">
        <v>1</v>
      </c>
      <c r="R1413" s="5" t="s">
        <v>3839</v>
      </c>
      <c r="S1413" s="5">
        <v>43</v>
      </c>
      <c r="T1413" s="5">
        <v>36</v>
      </c>
      <c r="U1413" s="5">
        <v>43</v>
      </c>
    </row>
    <row r="1414" spans="1:21" x14ac:dyDescent="0.25">
      <c r="A1414" s="5" t="s">
        <v>4042</v>
      </c>
      <c r="B1414" s="5" t="s">
        <v>4043</v>
      </c>
      <c r="C1414" s="5" t="s">
        <v>3548</v>
      </c>
      <c r="D1414" s="5" t="s">
        <v>3782</v>
      </c>
      <c r="E1414" s="5" t="s">
        <v>3799</v>
      </c>
      <c r="F1414" s="5" t="s">
        <v>3584</v>
      </c>
      <c r="G1414" s="5" t="s">
        <v>3493</v>
      </c>
      <c r="H1414" s="5" t="s">
        <v>3838</v>
      </c>
      <c r="I1414" s="5" t="s">
        <v>3448</v>
      </c>
      <c r="J1414" s="5" t="s">
        <v>3783</v>
      </c>
      <c r="K1414" s="5" t="s">
        <v>3799</v>
      </c>
      <c r="L1414" s="5">
        <v>60</v>
      </c>
      <c r="M1414" s="5">
        <v>1</v>
      </c>
      <c r="N1414" s="5" t="s">
        <v>3585</v>
      </c>
      <c r="O1414" s="5" t="s">
        <v>3494</v>
      </c>
      <c r="P1414" s="5">
        <v>8</v>
      </c>
      <c r="Q1414" s="5">
        <v>1</v>
      </c>
      <c r="R1414" s="5" t="s">
        <v>3839</v>
      </c>
      <c r="S1414" s="5">
        <v>55</v>
      </c>
      <c r="T1414" s="5">
        <v>55</v>
      </c>
      <c r="U1414" s="5">
        <v>55</v>
      </c>
    </row>
    <row r="1415" spans="1:21" x14ac:dyDescent="0.25">
      <c r="A1415" s="5" t="s">
        <v>4046</v>
      </c>
      <c r="B1415" s="5" t="s">
        <v>4047</v>
      </c>
      <c r="C1415" s="5" t="s">
        <v>3548</v>
      </c>
      <c r="D1415" s="5" t="s">
        <v>3782</v>
      </c>
      <c r="E1415" s="5" t="s">
        <v>3799</v>
      </c>
      <c r="F1415" s="5" t="s">
        <v>3564</v>
      </c>
      <c r="G1415" s="5"/>
      <c r="H1415" s="5" t="s">
        <v>3838</v>
      </c>
      <c r="I1415" s="5" t="s">
        <v>3448</v>
      </c>
      <c r="J1415" s="5" t="s">
        <v>3783</v>
      </c>
      <c r="K1415" s="5" t="s">
        <v>3799</v>
      </c>
      <c r="L1415" s="5">
        <v>60</v>
      </c>
      <c r="M1415" s="5">
        <v>1</v>
      </c>
      <c r="N1415" s="5" t="s">
        <v>3566</v>
      </c>
      <c r="O1415" s="5"/>
      <c r="P1415" s="5">
        <v>8</v>
      </c>
      <c r="Q1415" s="5">
        <v>1</v>
      </c>
      <c r="R1415" s="5" t="s">
        <v>3839</v>
      </c>
      <c r="S1415" s="5">
        <v>64</v>
      </c>
      <c r="T1415" s="5">
        <v>62</v>
      </c>
      <c r="U1415" s="5">
        <v>64</v>
      </c>
    </row>
    <row r="1416" spans="1:21" x14ac:dyDescent="0.25">
      <c r="A1416" s="5" t="s">
        <v>4050</v>
      </c>
      <c r="B1416" s="5" t="s">
        <v>4051</v>
      </c>
      <c r="C1416" s="5" t="s">
        <v>3548</v>
      </c>
      <c r="D1416" s="5" t="s">
        <v>3782</v>
      </c>
      <c r="E1416" s="5" t="s">
        <v>3799</v>
      </c>
      <c r="F1416" s="5" t="s">
        <v>3822</v>
      </c>
      <c r="G1416" s="5"/>
      <c r="H1416" s="5" t="s">
        <v>3838</v>
      </c>
      <c r="I1416" s="5" t="s">
        <v>3448</v>
      </c>
      <c r="J1416" s="5" t="s">
        <v>3783</v>
      </c>
      <c r="K1416" s="5" t="s">
        <v>3799</v>
      </c>
      <c r="L1416" s="5">
        <v>60</v>
      </c>
      <c r="M1416" s="5">
        <v>1</v>
      </c>
      <c r="N1416" s="5" t="s">
        <v>3823</v>
      </c>
      <c r="O1416" s="5"/>
      <c r="P1416" s="5">
        <v>8</v>
      </c>
      <c r="Q1416" s="5">
        <v>1</v>
      </c>
      <c r="R1416" s="5" t="s">
        <v>3839</v>
      </c>
      <c r="S1416" s="5">
        <v>62</v>
      </c>
      <c r="T1416" s="5">
        <v>62</v>
      </c>
      <c r="U1416" s="5">
        <v>62</v>
      </c>
    </row>
    <row r="1417" spans="1:21" x14ac:dyDescent="0.25">
      <c r="A1417" s="5" t="s">
        <v>4072</v>
      </c>
      <c r="B1417" s="5" t="s">
        <v>4073</v>
      </c>
      <c r="C1417" s="5" t="s">
        <v>3548</v>
      </c>
      <c r="D1417" s="5" t="s">
        <v>3782</v>
      </c>
      <c r="E1417" s="5" t="s">
        <v>3799</v>
      </c>
      <c r="F1417" s="5" t="s">
        <v>3584</v>
      </c>
      <c r="G1417" s="5" t="s">
        <v>3493</v>
      </c>
      <c r="H1417" s="5" t="s">
        <v>3838</v>
      </c>
      <c r="I1417" s="5" t="s">
        <v>3448</v>
      </c>
      <c r="J1417" s="5" t="s">
        <v>3783</v>
      </c>
      <c r="K1417" s="5" t="s">
        <v>3799</v>
      </c>
      <c r="L1417" s="5">
        <v>75</v>
      </c>
      <c r="M1417" s="5">
        <v>1</v>
      </c>
      <c r="N1417" s="5" t="s">
        <v>3585</v>
      </c>
      <c r="O1417" s="5" t="s">
        <v>3494</v>
      </c>
      <c r="P1417" s="5">
        <v>8</v>
      </c>
      <c r="Q1417" s="5">
        <v>1</v>
      </c>
      <c r="R1417" s="5" t="s">
        <v>3839</v>
      </c>
      <c r="S1417" s="5">
        <v>55</v>
      </c>
      <c r="T1417" s="5">
        <v>55</v>
      </c>
      <c r="U1417" s="5">
        <v>55</v>
      </c>
    </row>
    <row r="1418" spans="1:21" x14ac:dyDescent="0.25">
      <c r="A1418" s="5" t="s">
        <v>4076</v>
      </c>
      <c r="B1418" s="5" t="s">
        <v>4077</v>
      </c>
      <c r="C1418" s="5" t="s">
        <v>3548</v>
      </c>
      <c r="D1418" s="5" t="s">
        <v>3782</v>
      </c>
      <c r="E1418" s="5" t="s">
        <v>3799</v>
      </c>
      <c r="F1418" s="5" t="s">
        <v>3564</v>
      </c>
      <c r="G1418" s="5"/>
      <c r="H1418" s="5" t="s">
        <v>3838</v>
      </c>
      <c r="I1418" s="5" t="s">
        <v>3448</v>
      </c>
      <c r="J1418" s="5" t="s">
        <v>3783</v>
      </c>
      <c r="K1418" s="5" t="s">
        <v>3799</v>
      </c>
      <c r="L1418" s="5">
        <v>75</v>
      </c>
      <c r="M1418" s="5">
        <v>1</v>
      </c>
      <c r="N1418" s="5" t="s">
        <v>3566</v>
      </c>
      <c r="O1418" s="5"/>
      <c r="P1418" s="5">
        <v>8</v>
      </c>
      <c r="Q1418" s="5">
        <v>1</v>
      </c>
      <c r="R1418" s="5" t="s">
        <v>3839</v>
      </c>
      <c r="S1418" s="5">
        <v>79</v>
      </c>
      <c r="T1418" s="5">
        <v>62</v>
      </c>
      <c r="U1418" s="5">
        <v>79</v>
      </c>
    </row>
    <row r="1419" spans="1:21" x14ac:dyDescent="0.25">
      <c r="A1419" s="5" t="s">
        <v>4080</v>
      </c>
      <c r="B1419" s="5" t="s">
        <v>4081</v>
      </c>
      <c r="C1419" s="5" t="s">
        <v>3548</v>
      </c>
      <c r="D1419" s="5" t="s">
        <v>3782</v>
      </c>
      <c r="E1419" s="5" t="s">
        <v>3799</v>
      </c>
      <c r="F1419" s="5" t="s">
        <v>3822</v>
      </c>
      <c r="G1419" s="5"/>
      <c r="H1419" s="5" t="s">
        <v>3838</v>
      </c>
      <c r="I1419" s="5" t="s">
        <v>3448</v>
      </c>
      <c r="J1419" s="5" t="s">
        <v>3783</v>
      </c>
      <c r="K1419" s="5" t="s">
        <v>3799</v>
      </c>
      <c r="L1419" s="5">
        <v>75</v>
      </c>
      <c r="M1419" s="5">
        <v>1</v>
      </c>
      <c r="N1419" s="5" t="s">
        <v>3823</v>
      </c>
      <c r="O1419" s="5"/>
      <c r="P1419" s="5">
        <v>8</v>
      </c>
      <c r="Q1419" s="5">
        <v>1</v>
      </c>
      <c r="R1419" s="5" t="s">
        <v>3839</v>
      </c>
      <c r="S1419" s="5">
        <v>90</v>
      </c>
      <c r="T1419" s="5">
        <v>62</v>
      </c>
      <c r="U1419" s="5">
        <v>90</v>
      </c>
    </row>
    <row r="1420" spans="1:21" x14ac:dyDescent="0.25">
      <c r="A1420" s="5" t="s">
        <v>4242</v>
      </c>
      <c r="B1420" s="5" t="s">
        <v>4243</v>
      </c>
      <c r="C1420" s="5" t="s">
        <v>3548</v>
      </c>
      <c r="D1420" s="5" t="s">
        <v>3782</v>
      </c>
      <c r="E1420" s="5" t="s">
        <v>4213</v>
      </c>
      <c r="F1420" s="5" t="s">
        <v>4004</v>
      </c>
      <c r="G1420" s="5" t="s">
        <v>3501</v>
      </c>
      <c r="H1420" s="5" t="s">
        <v>3838</v>
      </c>
      <c r="I1420" s="5" t="s">
        <v>3448</v>
      </c>
      <c r="J1420" s="5" t="s">
        <v>3783</v>
      </c>
      <c r="K1420" s="5" t="s">
        <v>4213</v>
      </c>
      <c r="L1420" s="5">
        <v>28</v>
      </c>
      <c r="M1420" s="5">
        <v>1</v>
      </c>
      <c r="N1420" s="5" t="s">
        <v>4005</v>
      </c>
      <c r="O1420" s="5" t="s">
        <v>3502</v>
      </c>
      <c r="P1420" s="5">
        <v>4</v>
      </c>
      <c r="Q1420" s="5">
        <v>1</v>
      </c>
      <c r="R1420" s="5" t="s">
        <v>3839</v>
      </c>
      <c r="S1420" s="5">
        <v>32</v>
      </c>
      <c r="T1420" s="5">
        <v>32</v>
      </c>
      <c r="U1420" s="5">
        <v>32</v>
      </c>
    </row>
    <row r="1421" spans="1:21" x14ac:dyDescent="0.25">
      <c r="A1421" s="5" t="s">
        <v>4285</v>
      </c>
      <c r="B1421" s="5" t="s">
        <v>4286</v>
      </c>
      <c r="C1421" s="5" t="s">
        <v>3548</v>
      </c>
      <c r="D1421" s="5" t="s">
        <v>3782</v>
      </c>
      <c r="E1421" s="5" t="s">
        <v>4252</v>
      </c>
      <c r="F1421" s="5" t="s">
        <v>4004</v>
      </c>
      <c r="G1421" s="5" t="s">
        <v>3501</v>
      </c>
      <c r="H1421" s="5" t="s">
        <v>3838</v>
      </c>
      <c r="I1421" s="5" t="s">
        <v>3448</v>
      </c>
      <c r="J1421" s="5" t="s">
        <v>3783</v>
      </c>
      <c r="K1421" s="5" t="s">
        <v>4253</v>
      </c>
      <c r="L1421" s="5">
        <v>49</v>
      </c>
      <c r="M1421" s="5">
        <v>2</v>
      </c>
      <c r="N1421" s="5" t="s">
        <v>4005</v>
      </c>
      <c r="O1421" s="5" t="s">
        <v>3502</v>
      </c>
      <c r="P1421" s="5">
        <v>4</v>
      </c>
      <c r="Q1421" s="5">
        <v>1</v>
      </c>
      <c r="R1421" s="5" t="s">
        <v>3839</v>
      </c>
      <c r="S1421" s="5">
        <v>108</v>
      </c>
      <c r="T1421" s="5">
        <v>108</v>
      </c>
      <c r="U1421" s="5">
        <v>108</v>
      </c>
    </row>
    <row r="1422" spans="1:21" x14ac:dyDescent="0.25">
      <c r="A1422" s="5" t="s">
        <v>4289</v>
      </c>
      <c r="B1422" s="5" t="s">
        <v>4290</v>
      </c>
      <c r="C1422" s="5" t="s">
        <v>3548</v>
      </c>
      <c r="D1422" s="5" t="s">
        <v>3782</v>
      </c>
      <c r="E1422" s="5" t="s">
        <v>4252</v>
      </c>
      <c r="F1422" s="5" t="s">
        <v>4004</v>
      </c>
      <c r="G1422" s="5" t="s">
        <v>4255</v>
      </c>
      <c r="H1422" s="5" t="s">
        <v>3838</v>
      </c>
      <c r="I1422" s="5" t="s">
        <v>3448</v>
      </c>
      <c r="J1422" s="5" t="s">
        <v>3783</v>
      </c>
      <c r="K1422" s="5" t="s">
        <v>4253</v>
      </c>
      <c r="L1422" s="5">
        <v>49</v>
      </c>
      <c r="M1422" s="5">
        <v>2</v>
      </c>
      <c r="N1422" s="5" t="s">
        <v>4005</v>
      </c>
      <c r="O1422" s="5" t="s">
        <v>4256</v>
      </c>
      <c r="P1422" s="5">
        <v>4</v>
      </c>
      <c r="Q1422" s="5">
        <v>1</v>
      </c>
      <c r="R1422" s="5" t="s">
        <v>3839</v>
      </c>
      <c r="S1422" s="5">
        <v>108</v>
      </c>
      <c r="T1422" s="5">
        <v>108</v>
      </c>
      <c r="U1422" s="5">
        <v>108</v>
      </c>
    </row>
    <row r="1423" spans="1:21" x14ac:dyDescent="0.25">
      <c r="A1423" s="5" t="s">
        <v>4301</v>
      </c>
      <c r="B1423" s="5" t="s">
        <v>4302</v>
      </c>
      <c r="C1423" s="5" t="s">
        <v>3548</v>
      </c>
      <c r="D1423" s="5" t="s">
        <v>3782</v>
      </c>
      <c r="E1423" s="5" t="s">
        <v>4252</v>
      </c>
      <c r="F1423" s="5" t="s">
        <v>4004</v>
      </c>
      <c r="G1423" s="5" t="s">
        <v>3501</v>
      </c>
      <c r="H1423" s="5" t="s">
        <v>3838</v>
      </c>
      <c r="I1423" s="5" t="s">
        <v>3448</v>
      </c>
      <c r="J1423" s="5" t="s">
        <v>3783</v>
      </c>
      <c r="K1423" s="5" t="s">
        <v>4253</v>
      </c>
      <c r="L1423" s="5">
        <v>49</v>
      </c>
      <c r="M1423" s="5">
        <v>1</v>
      </c>
      <c r="N1423" s="5" t="s">
        <v>4005</v>
      </c>
      <c r="O1423" s="5" t="s">
        <v>3502</v>
      </c>
      <c r="P1423" s="5">
        <v>4</v>
      </c>
      <c r="Q1423" s="5">
        <v>1</v>
      </c>
      <c r="R1423" s="5" t="s">
        <v>3839</v>
      </c>
      <c r="S1423" s="5">
        <v>55</v>
      </c>
      <c r="T1423" s="5">
        <v>55</v>
      </c>
      <c r="U1423" s="5">
        <v>55</v>
      </c>
    </row>
    <row r="1424" spans="1:21" x14ac:dyDescent="0.25">
      <c r="A1424" s="5" t="s">
        <v>4303</v>
      </c>
      <c r="B1424" s="5" t="s">
        <v>4304</v>
      </c>
      <c r="C1424" s="5" t="s">
        <v>3548</v>
      </c>
      <c r="D1424" s="5" t="s">
        <v>3782</v>
      </c>
      <c r="E1424" s="5" t="s">
        <v>4252</v>
      </c>
      <c r="F1424" s="5" t="s">
        <v>4004</v>
      </c>
      <c r="G1424" s="5" t="s">
        <v>3501</v>
      </c>
      <c r="H1424" s="5" t="s">
        <v>3848</v>
      </c>
      <c r="I1424" s="5" t="s">
        <v>3448</v>
      </c>
      <c r="J1424" s="5" t="s">
        <v>3783</v>
      </c>
      <c r="K1424" s="5" t="s">
        <v>4253</v>
      </c>
      <c r="L1424" s="5">
        <v>49</v>
      </c>
      <c r="M1424" s="5">
        <v>1</v>
      </c>
      <c r="N1424" s="5" t="s">
        <v>4005</v>
      </c>
      <c r="O1424" s="5" t="s">
        <v>3502</v>
      </c>
      <c r="P1424" s="5">
        <v>4</v>
      </c>
      <c r="Q1424" s="5">
        <v>1</v>
      </c>
      <c r="R1424" s="5" t="s">
        <v>3849</v>
      </c>
      <c r="S1424" s="5">
        <v>55</v>
      </c>
      <c r="T1424" s="5">
        <v>55</v>
      </c>
      <c r="U1424" s="5">
        <v>55</v>
      </c>
    </row>
    <row r="1425" spans="1:21" x14ac:dyDescent="0.25">
      <c r="A1425" s="5" t="s">
        <v>4305</v>
      </c>
      <c r="B1425" s="5" t="s">
        <v>4306</v>
      </c>
      <c r="C1425" s="5" t="s">
        <v>3548</v>
      </c>
      <c r="D1425" s="5" t="s">
        <v>3782</v>
      </c>
      <c r="E1425" s="5" t="s">
        <v>4252</v>
      </c>
      <c r="F1425" s="5" t="s">
        <v>4004</v>
      </c>
      <c r="G1425" s="5" t="s">
        <v>3501</v>
      </c>
      <c r="H1425" s="5" t="s">
        <v>3816</v>
      </c>
      <c r="I1425" s="5" t="s">
        <v>3448</v>
      </c>
      <c r="J1425" s="5" t="s">
        <v>3783</v>
      </c>
      <c r="K1425" s="5" t="s">
        <v>4253</v>
      </c>
      <c r="L1425" s="5">
        <v>49</v>
      </c>
      <c r="M1425" s="5">
        <v>1</v>
      </c>
      <c r="N1425" s="5" t="s">
        <v>4005</v>
      </c>
      <c r="O1425" s="5" t="s">
        <v>3502</v>
      </c>
      <c r="P1425" s="5">
        <v>4</v>
      </c>
      <c r="Q1425" s="5">
        <v>1</v>
      </c>
      <c r="R1425" s="5" t="s">
        <v>3817</v>
      </c>
      <c r="S1425" s="5">
        <v>54</v>
      </c>
      <c r="T1425" s="5">
        <v>54</v>
      </c>
      <c r="U1425" s="5">
        <v>54</v>
      </c>
    </row>
    <row r="1426" spans="1:21" x14ac:dyDescent="0.25">
      <c r="A1426" s="5" t="s">
        <v>4309</v>
      </c>
      <c r="B1426" s="5" t="s">
        <v>4310</v>
      </c>
      <c r="C1426" s="5" t="s">
        <v>3548</v>
      </c>
      <c r="D1426" s="5" t="s">
        <v>3782</v>
      </c>
      <c r="E1426" s="5" t="s">
        <v>4252</v>
      </c>
      <c r="F1426" s="5" t="s">
        <v>4004</v>
      </c>
      <c r="G1426" s="5" t="s">
        <v>4255</v>
      </c>
      <c r="H1426" s="5" t="s">
        <v>3838</v>
      </c>
      <c r="I1426" s="5" t="s">
        <v>3448</v>
      </c>
      <c r="J1426" s="5" t="s">
        <v>3783</v>
      </c>
      <c r="K1426" s="5" t="s">
        <v>4253</v>
      </c>
      <c r="L1426" s="5">
        <v>49</v>
      </c>
      <c r="M1426" s="5">
        <v>1</v>
      </c>
      <c r="N1426" s="5" t="s">
        <v>4005</v>
      </c>
      <c r="O1426" s="5" t="s">
        <v>4256</v>
      </c>
      <c r="P1426" s="5">
        <v>4</v>
      </c>
      <c r="Q1426" s="5">
        <v>1</v>
      </c>
      <c r="R1426" s="5" t="s">
        <v>3839</v>
      </c>
      <c r="S1426" s="5">
        <v>55</v>
      </c>
      <c r="T1426" s="5">
        <v>55</v>
      </c>
      <c r="U1426" s="5">
        <v>55</v>
      </c>
    </row>
    <row r="1427" spans="1:21" x14ac:dyDescent="0.25">
      <c r="A1427" s="5" t="s">
        <v>4311</v>
      </c>
      <c r="B1427" s="5" t="s">
        <v>4312</v>
      </c>
      <c r="C1427" s="5" t="s">
        <v>3548</v>
      </c>
      <c r="D1427" s="5" t="s">
        <v>3782</v>
      </c>
      <c r="E1427" s="5" t="s">
        <v>4252</v>
      </c>
      <c r="F1427" s="5" t="s">
        <v>4004</v>
      </c>
      <c r="G1427" s="5" t="s">
        <v>4255</v>
      </c>
      <c r="H1427" s="5" t="s">
        <v>3848</v>
      </c>
      <c r="I1427" s="5" t="s">
        <v>3448</v>
      </c>
      <c r="J1427" s="5" t="s">
        <v>3783</v>
      </c>
      <c r="K1427" s="5" t="s">
        <v>4253</v>
      </c>
      <c r="L1427" s="5">
        <v>49</v>
      </c>
      <c r="M1427" s="5">
        <v>1</v>
      </c>
      <c r="N1427" s="5" t="s">
        <v>4005</v>
      </c>
      <c r="O1427" s="5" t="s">
        <v>4256</v>
      </c>
      <c r="P1427" s="5">
        <v>4</v>
      </c>
      <c r="Q1427" s="5">
        <v>1</v>
      </c>
      <c r="R1427" s="5" t="s">
        <v>3849</v>
      </c>
      <c r="S1427" s="5">
        <v>55</v>
      </c>
      <c r="T1427" s="5">
        <v>55</v>
      </c>
      <c r="U1427" s="5">
        <v>55</v>
      </c>
    </row>
    <row r="1428" spans="1:21" x14ac:dyDescent="0.25">
      <c r="A1428" s="5" t="s">
        <v>4313</v>
      </c>
      <c r="B1428" s="5" t="s">
        <v>4314</v>
      </c>
      <c r="C1428" s="5" t="s">
        <v>3548</v>
      </c>
      <c r="D1428" s="5" t="s">
        <v>3782</v>
      </c>
      <c r="E1428" s="5" t="s">
        <v>4252</v>
      </c>
      <c r="F1428" s="5" t="s">
        <v>4004</v>
      </c>
      <c r="G1428" s="5" t="s">
        <v>4255</v>
      </c>
      <c r="H1428" s="5" t="s">
        <v>3816</v>
      </c>
      <c r="I1428" s="5" t="s">
        <v>3448</v>
      </c>
      <c r="J1428" s="5" t="s">
        <v>3783</v>
      </c>
      <c r="K1428" s="5" t="s">
        <v>4253</v>
      </c>
      <c r="L1428" s="5">
        <v>49</v>
      </c>
      <c r="M1428" s="5">
        <v>1</v>
      </c>
      <c r="N1428" s="5" t="s">
        <v>4005</v>
      </c>
      <c r="O1428" s="5" t="s">
        <v>4256</v>
      </c>
      <c r="P1428" s="5">
        <v>4</v>
      </c>
      <c r="Q1428" s="5">
        <v>1</v>
      </c>
      <c r="R1428" s="5" t="s">
        <v>3817</v>
      </c>
      <c r="S1428" s="5">
        <v>54</v>
      </c>
      <c r="T1428" s="5">
        <v>54</v>
      </c>
      <c r="U1428" s="5">
        <v>54</v>
      </c>
    </row>
    <row r="1429" spans="1:21" x14ac:dyDescent="0.25">
      <c r="A1429" s="5" t="s">
        <v>4325</v>
      </c>
      <c r="B1429" s="5" t="s">
        <v>4326</v>
      </c>
      <c r="C1429" s="5" t="s">
        <v>3548</v>
      </c>
      <c r="D1429" s="5" t="s">
        <v>3782</v>
      </c>
      <c r="E1429" s="5" t="s">
        <v>4252</v>
      </c>
      <c r="F1429" s="5" t="s">
        <v>4004</v>
      </c>
      <c r="G1429" s="5" t="s">
        <v>3501</v>
      </c>
      <c r="H1429" s="5" t="s">
        <v>3838</v>
      </c>
      <c r="I1429" s="5" t="s">
        <v>3448</v>
      </c>
      <c r="J1429" s="5" t="s">
        <v>3783</v>
      </c>
      <c r="K1429" s="5" t="s">
        <v>4253</v>
      </c>
      <c r="L1429" s="5">
        <v>51</v>
      </c>
      <c r="M1429" s="5">
        <v>2</v>
      </c>
      <c r="N1429" s="5" t="s">
        <v>4005</v>
      </c>
      <c r="O1429" s="5" t="s">
        <v>3502</v>
      </c>
      <c r="P1429" s="5">
        <v>4</v>
      </c>
      <c r="Q1429" s="5">
        <v>1</v>
      </c>
      <c r="R1429" s="5" t="s">
        <v>3839</v>
      </c>
      <c r="S1429" s="5">
        <v>108</v>
      </c>
      <c r="T1429" s="5">
        <v>108</v>
      </c>
      <c r="U1429" s="5">
        <v>108</v>
      </c>
    </row>
    <row r="1430" spans="1:21" x14ac:dyDescent="0.25">
      <c r="A1430" s="5" t="s">
        <v>4331</v>
      </c>
      <c r="B1430" s="5" t="s">
        <v>4332</v>
      </c>
      <c r="C1430" s="5" t="s">
        <v>3548</v>
      </c>
      <c r="D1430" s="5" t="s">
        <v>3782</v>
      </c>
      <c r="E1430" s="5" t="s">
        <v>4252</v>
      </c>
      <c r="F1430" s="5" t="s">
        <v>4004</v>
      </c>
      <c r="G1430" s="5" t="s">
        <v>3501</v>
      </c>
      <c r="H1430" s="5" t="s">
        <v>3838</v>
      </c>
      <c r="I1430" s="5" t="s">
        <v>3448</v>
      </c>
      <c r="J1430" s="5" t="s">
        <v>3783</v>
      </c>
      <c r="K1430" s="5" t="s">
        <v>4253</v>
      </c>
      <c r="L1430" s="5">
        <v>51</v>
      </c>
      <c r="M1430" s="5">
        <v>1</v>
      </c>
      <c r="N1430" s="5" t="s">
        <v>4005</v>
      </c>
      <c r="O1430" s="5" t="s">
        <v>3502</v>
      </c>
      <c r="P1430" s="5">
        <v>4</v>
      </c>
      <c r="Q1430" s="5">
        <v>1</v>
      </c>
      <c r="R1430" s="5" t="s">
        <v>3839</v>
      </c>
      <c r="S1430" s="5">
        <v>56</v>
      </c>
      <c r="T1430" s="5">
        <v>56</v>
      </c>
      <c r="U1430" s="5">
        <v>56</v>
      </c>
    </row>
    <row r="1431" spans="1:21" x14ac:dyDescent="0.25">
      <c r="A1431" s="5" t="s">
        <v>4333</v>
      </c>
      <c r="B1431" s="5" t="s">
        <v>4334</v>
      </c>
      <c r="C1431" s="5" t="s">
        <v>3548</v>
      </c>
      <c r="D1431" s="5" t="s">
        <v>3782</v>
      </c>
      <c r="E1431" s="5" t="s">
        <v>4252</v>
      </c>
      <c r="F1431" s="5" t="s">
        <v>4004</v>
      </c>
      <c r="G1431" s="5" t="s">
        <v>3501</v>
      </c>
      <c r="H1431" s="5" t="s">
        <v>3848</v>
      </c>
      <c r="I1431" s="5" t="s">
        <v>3448</v>
      </c>
      <c r="J1431" s="5" t="s">
        <v>3783</v>
      </c>
      <c r="K1431" s="5" t="s">
        <v>4253</v>
      </c>
      <c r="L1431" s="5">
        <v>51</v>
      </c>
      <c r="M1431" s="5">
        <v>1</v>
      </c>
      <c r="N1431" s="5" t="s">
        <v>4005</v>
      </c>
      <c r="O1431" s="5" t="s">
        <v>3502</v>
      </c>
      <c r="P1431" s="5">
        <v>4</v>
      </c>
      <c r="Q1431" s="5">
        <v>1</v>
      </c>
      <c r="R1431" s="5" t="s">
        <v>3849</v>
      </c>
      <c r="S1431" s="5">
        <v>19</v>
      </c>
      <c r="T1431" s="5">
        <v>19</v>
      </c>
      <c r="U1431" s="5">
        <v>19</v>
      </c>
    </row>
    <row r="1432" spans="1:21" x14ac:dyDescent="0.25">
      <c r="A1432" s="5" t="s">
        <v>4335</v>
      </c>
      <c r="B1432" s="5" t="s">
        <v>4336</v>
      </c>
      <c r="C1432" s="5" t="s">
        <v>3548</v>
      </c>
      <c r="D1432" s="5" t="s">
        <v>3782</v>
      </c>
      <c r="E1432" s="5" t="s">
        <v>4252</v>
      </c>
      <c r="F1432" s="5" t="s">
        <v>4004</v>
      </c>
      <c r="G1432" s="5" t="s">
        <v>3501</v>
      </c>
      <c r="H1432" s="5" t="s">
        <v>3816</v>
      </c>
      <c r="I1432" s="5" t="s">
        <v>3448</v>
      </c>
      <c r="J1432" s="5" t="s">
        <v>3783</v>
      </c>
      <c r="K1432" s="5" t="s">
        <v>4253</v>
      </c>
      <c r="L1432" s="5">
        <v>51</v>
      </c>
      <c r="M1432" s="5">
        <v>1</v>
      </c>
      <c r="N1432" s="5" t="s">
        <v>4005</v>
      </c>
      <c r="O1432" s="5" t="s">
        <v>3502</v>
      </c>
      <c r="P1432" s="5">
        <v>4</v>
      </c>
      <c r="Q1432" s="5">
        <v>1</v>
      </c>
      <c r="R1432" s="5" t="s">
        <v>3817</v>
      </c>
      <c r="S1432" s="5">
        <v>54</v>
      </c>
      <c r="T1432" s="5">
        <v>54</v>
      </c>
      <c r="U1432" s="5">
        <v>54</v>
      </c>
    </row>
    <row r="1433" spans="1:21" x14ac:dyDescent="0.25">
      <c r="A1433" s="5" t="s">
        <v>4353</v>
      </c>
      <c r="B1433" s="5" t="s">
        <v>4354</v>
      </c>
      <c r="C1433" s="5" t="s">
        <v>3548</v>
      </c>
      <c r="D1433" s="5" t="s">
        <v>3782</v>
      </c>
      <c r="E1433" s="5" t="s">
        <v>4252</v>
      </c>
      <c r="F1433" s="5" t="s">
        <v>4004</v>
      </c>
      <c r="G1433" s="5" t="s">
        <v>3501</v>
      </c>
      <c r="H1433" s="5" t="s">
        <v>3838</v>
      </c>
      <c r="I1433" s="5" t="s">
        <v>3448</v>
      </c>
      <c r="J1433" s="5" t="s">
        <v>3783</v>
      </c>
      <c r="K1433" s="5" t="s">
        <v>4253</v>
      </c>
      <c r="L1433" s="5">
        <v>54</v>
      </c>
      <c r="M1433" s="5">
        <v>1</v>
      </c>
      <c r="N1433" s="5" t="s">
        <v>4005</v>
      </c>
      <c r="O1433" s="5" t="s">
        <v>3502</v>
      </c>
      <c r="P1433" s="5">
        <v>4</v>
      </c>
      <c r="Q1433" s="5">
        <v>1</v>
      </c>
      <c r="R1433" s="5" t="s">
        <v>3839</v>
      </c>
      <c r="S1433" s="5">
        <v>59</v>
      </c>
      <c r="T1433" s="5">
        <v>59</v>
      </c>
      <c r="U1433" s="5">
        <v>59</v>
      </c>
    </row>
    <row r="1434" spans="1:21" x14ac:dyDescent="0.25">
      <c r="A1434" s="5" t="s">
        <v>4374</v>
      </c>
      <c r="B1434" s="5" t="s">
        <v>4375</v>
      </c>
      <c r="C1434" s="5" t="s">
        <v>3548</v>
      </c>
      <c r="D1434" s="5" t="s">
        <v>3782</v>
      </c>
      <c r="E1434" s="5" t="s">
        <v>4363</v>
      </c>
      <c r="F1434" s="5" t="s">
        <v>3584</v>
      </c>
      <c r="G1434" s="5" t="s">
        <v>3493</v>
      </c>
      <c r="H1434" s="5" t="s">
        <v>3838</v>
      </c>
      <c r="I1434" s="5" t="s">
        <v>3448</v>
      </c>
      <c r="J1434" s="5" t="s">
        <v>3783</v>
      </c>
      <c r="K1434" s="5" t="s">
        <v>4363</v>
      </c>
      <c r="L1434" s="5">
        <v>17</v>
      </c>
      <c r="M1434" s="5">
        <v>1</v>
      </c>
      <c r="N1434" s="5" t="s">
        <v>3585</v>
      </c>
      <c r="O1434" s="5" t="s">
        <v>3494</v>
      </c>
      <c r="P1434" s="5">
        <v>2</v>
      </c>
      <c r="Q1434" s="5">
        <v>1</v>
      </c>
      <c r="R1434" s="5" t="s">
        <v>3839</v>
      </c>
      <c r="S1434" s="5">
        <v>17</v>
      </c>
      <c r="T1434" s="5">
        <v>17</v>
      </c>
      <c r="U1434" s="5">
        <v>17</v>
      </c>
    </row>
    <row r="1435" spans="1:21" x14ac:dyDescent="0.25">
      <c r="A1435" s="5" t="s">
        <v>4376</v>
      </c>
      <c r="B1435" s="5" t="s">
        <v>4377</v>
      </c>
      <c r="C1435" s="5" t="s">
        <v>3548</v>
      </c>
      <c r="D1435" s="5" t="s">
        <v>3782</v>
      </c>
      <c r="E1435" s="5" t="s">
        <v>4363</v>
      </c>
      <c r="F1435" s="5" t="s">
        <v>3584</v>
      </c>
      <c r="G1435" s="5" t="s">
        <v>3493</v>
      </c>
      <c r="H1435" s="5" t="s">
        <v>3848</v>
      </c>
      <c r="I1435" s="5" t="s">
        <v>3448</v>
      </c>
      <c r="J1435" s="5" t="s">
        <v>3783</v>
      </c>
      <c r="K1435" s="5" t="s">
        <v>4363</v>
      </c>
      <c r="L1435" s="5">
        <v>17</v>
      </c>
      <c r="M1435" s="5">
        <v>1</v>
      </c>
      <c r="N1435" s="5" t="s">
        <v>3585</v>
      </c>
      <c r="O1435" s="5" t="s">
        <v>3494</v>
      </c>
      <c r="P1435" s="5">
        <v>2</v>
      </c>
      <c r="Q1435" s="5">
        <v>1</v>
      </c>
      <c r="R1435" s="5" t="s">
        <v>3849</v>
      </c>
      <c r="S1435" s="5">
        <v>16</v>
      </c>
      <c r="T1435" s="5">
        <v>16</v>
      </c>
      <c r="U1435" s="5">
        <v>16</v>
      </c>
    </row>
    <row r="1436" spans="1:21" x14ac:dyDescent="0.25">
      <c r="A1436" s="5" t="s">
        <v>4378</v>
      </c>
      <c r="B1436" s="5" t="s">
        <v>4379</v>
      </c>
      <c r="C1436" s="5" t="s">
        <v>3548</v>
      </c>
      <c r="D1436" s="5" t="s">
        <v>3782</v>
      </c>
      <c r="E1436" s="5" t="s">
        <v>4363</v>
      </c>
      <c r="F1436" s="5" t="s">
        <v>3584</v>
      </c>
      <c r="G1436" s="5" t="s">
        <v>3493</v>
      </c>
      <c r="H1436" s="5" t="s">
        <v>3816</v>
      </c>
      <c r="I1436" s="5" t="s">
        <v>3448</v>
      </c>
      <c r="J1436" s="5" t="s">
        <v>3783</v>
      </c>
      <c r="K1436" s="5" t="s">
        <v>4363</v>
      </c>
      <c r="L1436" s="5">
        <v>17</v>
      </c>
      <c r="M1436" s="5">
        <v>1</v>
      </c>
      <c r="N1436" s="5" t="s">
        <v>3585</v>
      </c>
      <c r="O1436" s="5" t="s">
        <v>3494</v>
      </c>
      <c r="P1436" s="5">
        <v>2</v>
      </c>
      <c r="Q1436" s="5">
        <v>1</v>
      </c>
      <c r="R1436" s="5" t="s">
        <v>3817</v>
      </c>
      <c r="S1436" s="5">
        <v>15</v>
      </c>
      <c r="T1436" s="5">
        <v>15</v>
      </c>
      <c r="U1436" s="5">
        <v>15</v>
      </c>
    </row>
    <row r="1437" spans="1:21" x14ac:dyDescent="0.25">
      <c r="A1437" s="5" t="s">
        <v>4382</v>
      </c>
      <c r="B1437" s="5" t="s">
        <v>4383</v>
      </c>
      <c r="C1437" s="5" t="s">
        <v>3548</v>
      </c>
      <c r="D1437" s="5" t="s">
        <v>3782</v>
      </c>
      <c r="E1437" s="5" t="s">
        <v>4363</v>
      </c>
      <c r="F1437" s="5" t="s">
        <v>3584</v>
      </c>
      <c r="G1437" s="5" t="s">
        <v>3826</v>
      </c>
      <c r="H1437" s="5" t="s">
        <v>3838</v>
      </c>
      <c r="I1437" s="5" t="s">
        <v>3448</v>
      </c>
      <c r="J1437" s="5" t="s">
        <v>3783</v>
      </c>
      <c r="K1437" s="5" t="s">
        <v>4363</v>
      </c>
      <c r="L1437" s="5">
        <v>17</v>
      </c>
      <c r="M1437" s="5">
        <v>1</v>
      </c>
      <c r="N1437" s="5" t="s">
        <v>3585</v>
      </c>
      <c r="O1437" s="5" t="s">
        <v>3827</v>
      </c>
      <c r="P1437" s="5">
        <v>2</v>
      </c>
      <c r="Q1437" s="5">
        <v>1</v>
      </c>
      <c r="R1437" s="5" t="s">
        <v>3839</v>
      </c>
      <c r="S1437" s="5">
        <v>15</v>
      </c>
      <c r="T1437" s="5">
        <v>15</v>
      </c>
      <c r="U1437" s="5">
        <v>15</v>
      </c>
    </row>
    <row r="1438" spans="1:21" x14ac:dyDescent="0.25">
      <c r="A1438" s="5" t="s">
        <v>4384</v>
      </c>
      <c r="B1438" s="5" t="s">
        <v>4385</v>
      </c>
      <c r="C1438" s="5" t="s">
        <v>3548</v>
      </c>
      <c r="D1438" s="5" t="s">
        <v>3782</v>
      </c>
      <c r="E1438" s="5" t="s">
        <v>4363</v>
      </c>
      <c r="F1438" s="5" t="s">
        <v>3584</v>
      </c>
      <c r="G1438" s="5" t="s">
        <v>3826</v>
      </c>
      <c r="H1438" s="5" t="s">
        <v>3848</v>
      </c>
      <c r="I1438" s="5" t="s">
        <v>3448</v>
      </c>
      <c r="J1438" s="5" t="s">
        <v>3783</v>
      </c>
      <c r="K1438" s="5" t="s">
        <v>4363</v>
      </c>
      <c r="L1438" s="5">
        <v>17</v>
      </c>
      <c r="M1438" s="5">
        <v>1</v>
      </c>
      <c r="N1438" s="5" t="s">
        <v>3585</v>
      </c>
      <c r="O1438" s="5" t="s">
        <v>3827</v>
      </c>
      <c r="P1438" s="5">
        <v>2</v>
      </c>
      <c r="Q1438" s="5">
        <v>1</v>
      </c>
      <c r="R1438" s="5" t="s">
        <v>3849</v>
      </c>
      <c r="S1438" s="5">
        <v>14</v>
      </c>
      <c r="T1438" s="5">
        <v>14</v>
      </c>
      <c r="U1438" s="5">
        <v>14</v>
      </c>
    </row>
    <row r="1439" spans="1:21" x14ac:dyDescent="0.25">
      <c r="A1439" s="5" t="s">
        <v>4386</v>
      </c>
      <c r="B1439" s="5" t="s">
        <v>4387</v>
      </c>
      <c r="C1439" s="5" t="s">
        <v>3548</v>
      </c>
      <c r="D1439" s="5" t="s">
        <v>3782</v>
      </c>
      <c r="E1439" s="5" t="s">
        <v>4363</v>
      </c>
      <c r="F1439" s="5" t="s">
        <v>3584</v>
      </c>
      <c r="G1439" s="5" t="s">
        <v>3826</v>
      </c>
      <c r="H1439" s="5" t="s">
        <v>3816</v>
      </c>
      <c r="I1439" s="5" t="s">
        <v>3448</v>
      </c>
      <c r="J1439" s="5" t="s">
        <v>3783</v>
      </c>
      <c r="K1439" s="5" t="s">
        <v>4363</v>
      </c>
      <c r="L1439" s="5">
        <v>17</v>
      </c>
      <c r="M1439" s="5">
        <v>1</v>
      </c>
      <c r="N1439" s="5" t="s">
        <v>3585</v>
      </c>
      <c r="O1439" s="5" t="s">
        <v>3827</v>
      </c>
      <c r="P1439" s="5">
        <v>2</v>
      </c>
      <c r="Q1439" s="5">
        <v>1</v>
      </c>
      <c r="R1439" s="5" t="s">
        <v>3817</v>
      </c>
      <c r="S1439" s="5">
        <v>14</v>
      </c>
      <c r="T1439" s="5">
        <v>14</v>
      </c>
      <c r="U1439" s="5">
        <v>14</v>
      </c>
    </row>
    <row r="1440" spans="1:21" x14ac:dyDescent="0.25">
      <c r="A1440" s="5" t="s">
        <v>4396</v>
      </c>
      <c r="B1440" s="5" t="s">
        <v>4397</v>
      </c>
      <c r="C1440" s="5" t="s">
        <v>3548</v>
      </c>
      <c r="D1440" s="5" t="s">
        <v>3782</v>
      </c>
      <c r="E1440" s="5" t="s">
        <v>4363</v>
      </c>
      <c r="F1440" s="5" t="s">
        <v>3584</v>
      </c>
      <c r="G1440" s="5" t="s">
        <v>3493</v>
      </c>
      <c r="H1440" s="5" t="s">
        <v>3816</v>
      </c>
      <c r="I1440" s="5" t="s">
        <v>3448</v>
      </c>
      <c r="J1440" s="5" t="s">
        <v>3783</v>
      </c>
      <c r="K1440" s="5" t="s">
        <v>4363</v>
      </c>
      <c r="L1440" s="5">
        <v>17</v>
      </c>
      <c r="M1440" s="5">
        <v>2</v>
      </c>
      <c r="N1440" s="5" t="s">
        <v>3585</v>
      </c>
      <c r="O1440" s="5" t="s">
        <v>3494</v>
      </c>
      <c r="P1440" s="5">
        <v>2</v>
      </c>
      <c r="Q1440" s="5">
        <v>1</v>
      </c>
      <c r="R1440" s="5" t="s">
        <v>3817</v>
      </c>
      <c r="S1440" s="5">
        <v>31</v>
      </c>
      <c r="T1440" s="5">
        <v>31</v>
      </c>
      <c r="U1440" s="5">
        <v>31</v>
      </c>
    </row>
    <row r="1441" spans="1:21" x14ac:dyDescent="0.25">
      <c r="A1441" s="5" t="s">
        <v>4400</v>
      </c>
      <c r="B1441" s="5" t="s">
        <v>4401</v>
      </c>
      <c r="C1441" s="5" t="s">
        <v>3548</v>
      </c>
      <c r="D1441" s="5" t="s">
        <v>3782</v>
      </c>
      <c r="E1441" s="5" t="s">
        <v>4363</v>
      </c>
      <c r="F1441" s="5" t="s">
        <v>3584</v>
      </c>
      <c r="G1441" s="5" t="s">
        <v>3826</v>
      </c>
      <c r="H1441" s="5" t="s">
        <v>3816</v>
      </c>
      <c r="I1441" s="5" t="s">
        <v>3448</v>
      </c>
      <c r="J1441" s="5" t="s">
        <v>3783</v>
      </c>
      <c r="K1441" s="5" t="s">
        <v>4363</v>
      </c>
      <c r="L1441" s="5">
        <v>17</v>
      </c>
      <c r="M1441" s="5">
        <v>2</v>
      </c>
      <c r="N1441" s="5" t="s">
        <v>3585</v>
      </c>
      <c r="O1441" s="5" t="s">
        <v>3827</v>
      </c>
      <c r="P1441" s="5">
        <v>2</v>
      </c>
      <c r="Q1441" s="5">
        <v>1</v>
      </c>
      <c r="R1441" s="5" t="s">
        <v>3817</v>
      </c>
      <c r="S1441" s="5">
        <v>28</v>
      </c>
      <c r="T1441" s="5">
        <v>28</v>
      </c>
      <c r="U1441" s="5">
        <v>28</v>
      </c>
    </row>
    <row r="1442" spans="1:21" x14ac:dyDescent="0.25">
      <c r="A1442" s="5" t="s">
        <v>4409</v>
      </c>
      <c r="B1442" s="5" t="s">
        <v>4410</v>
      </c>
      <c r="C1442" s="5" t="s">
        <v>3548</v>
      </c>
      <c r="D1442" s="5" t="s">
        <v>3782</v>
      </c>
      <c r="E1442" s="5" t="s">
        <v>4363</v>
      </c>
      <c r="F1442" s="5" t="s">
        <v>4004</v>
      </c>
      <c r="G1442" s="5" t="s">
        <v>3493</v>
      </c>
      <c r="H1442" s="5" t="s">
        <v>3816</v>
      </c>
      <c r="I1442" s="5" t="s">
        <v>3448</v>
      </c>
      <c r="J1442" s="5" t="s">
        <v>3783</v>
      </c>
      <c r="K1442" s="5" t="s">
        <v>4363</v>
      </c>
      <c r="L1442" s="5">
        <v>17</v>
      </c>
      <c r="M1442" s="5">
        <v>2</v>
      </c>
      <c r="N1442" s="5" t="s">
        <v>4005</v>
      </c>
      <c r="O1442" s="5" t="s">
        <v>3494</v>
      </c>
      <c r="P1442" s="5">
        <v>2</v>
      </c>
      <c r="Q1442" s="5">
        <v>1</v>
      </c>
      <c r="R1442" s="5" t="s">
        <v>3817</v>
      </c>
      <c r="S1442" s="5">
        <v>34</v>
      </c>
      <c r="T1442" s="5">
        <v>34</v>
      </c>
      <c r="U1442" s="5">
        <v>34</v>
      </c>
    </row>
    <row r="1443" spans="1:21" x14ac:dyDescent="0.25">
      <c r="A1443" s="5" t="s">
        <v>4431</v>
      </c>
      <c r="B1443" s="5" t="s">
        <v>4432</v>
      </c>
      <c r="C1443" s="5" t="s">
        <v>3548</v>
      </c>
      <c r="D1443" s="5" t="s">
        <v>3782</v>
      </c>
      <c r="E1443" s="5" t="s">
        <v>4363</v>
      </c>
      <c r="F1443" s="5" t="s">
        <v>4004</v>
      </c>
      <c r="G1443" s="5" t="s">
        <v>3493</v>
      </c>
      <c r="H1443" s="5" t="s">
        <v>3838</v>
      </c>
      <c r="I1443" s="5" t="s">
        <v>3448</v>
      </c>
      <c r="J1443" s="5" t="s">
        <v>3783</v>
      </c>
      <c r="K1443" s="5" t="s">
        <v>4363</v>
      </c>
      <c r="L1443" s="5">
        <v>17</v>
      </c>
      <c r="M1443" s="5">
        <v>1</v>
      </c>
      <c r="N1443" s="5" t="s">
        <v>4005</v>
      </c>
      <c r="O1443" s="5" t="s">
        <v>3494</v>
      </c>
      <c r="P1443" s="5">
        <v>2</v>
      </c>
      <c r="Q1443" s="5">
        <v>1</v>
      </c>
      <c r="R1443" s="5" t="s">
        <v>3839</v>
      </c>
      <c r="S1443" s="5">
        <v>16</v>
      </c>
      <c r="T1443" s="5">
        <v>16</v>
      </c>
      <c r="U1443" s="5">
        <v>16</v>
      </c>
    </row>
    <row r="1444" spans="1:21" x14ac:dyDescent="0.25">
      <c r="A1444" s="5" t="s">
        <v>4433</v>
      </c>
      <c r="B1444" s="5" t="s">
        <v>4434</v>
      </c>
      <c r="C1444" s="5" t="s">
        <v>3548</v>
      </c>
      <c r="D1444" s="5" t="s">
        <v>3782</v>
      </c>
      <c r="E1444" s="5" t="s">
        <v>4363</v>
      </c>
      <c r="F1444" s="5" t="s">
        <v>4004</v>
      </c>
      <c r="G1444" s="5" t="s">
        <v>3493</v>
      </c>
      <c r="H1444" s="5" t="s">
        <v>3848</v>
      </c>
      <c r="I1444" s="5" t="s">
        <v>3448</v>
      </c>
      <c r="J1444" s="5" t="s">
        <v>3783</v>
      </c>
      <c r="K1444" s="5" t="s">
        <v>4363</v>
      </c>
      <c r="L1444" s="5">
        <v>17</v>
      </c>
      <c r="M1444" s="5">
        <v>1</v>
      </c>
      <c r="N1444" s="5" t="s">
        <v>4005</v>
      </c>
      <c r="O1444" s="5" t="s">
        <v>3494</v>
      </c>
      <c r="P1444" s="5">
        <v>2</v>
      </c>
      <c r="Q1444" s="5">
        <v>1</v>
      </c>
      <c r="R1444" s="5" t="s">
        <v>3849</v>
      </c>
      <c r="S1444" s="5">
        <v>17</v>
      </c>
      <c r="T1444" s="5">
        <v>17</v>
      </c>
      <c r="U1444" s="5">
        <v>17</v>
      </c>
    </row>
    <row r="1445" spans="1:21" x14ac:dyDescent="0.25">
      <c r="A1445" s="5" t="s">
        <v>4435</v>
      </c>
      <c r="B1445" s="5" t="s">
        <v>4436</v>
      </c>
      <c r="C1445" s="5" t="s">
        <v>3548</v>
      </c>
      <c r="D1445" s="5" t="s">
        <v>3782</v>
      </c>
      <c r="E1445" s="5" t="s">
        <v>4363</v>
      </c>
      <c r="F1445" s="5" t="s">
        <v>4004</v>
      </c>
      <c r="G1445" s="5" t="s">
        <v>3493</v>
      </c>
      <c r="H1445" s="5" t="s">
        <v>3816</v>
      </c>
      <c r="I1445" s="5" t="s">
        <v>3448</v>
      </c>
      <c r="J1445" s="5" t="s">
        <v>3783</v>
      </c>
      <c r="K1445" s="5" t="s">
        <v>4363</v>
      </c>
      <c r="L1445" s="5">
        <v>17</v>
      </c>
      <c r="M1445" s="5">
        <v>1</v>
      </c>
      <c r="N1445" s="5" t="s">
        <v>4005</v>
      </c>
      <c r="O1445" s="5" t="s">
        <v>3494</v>
      </c>
      <c r="P1445" s="5">
        <v>2</v>
      </c>
      <c r="Q1445" s="5">
        <v>1</v>
      </c>
      <c r="R1445" s="5" t="s">
        <v>3817</v>
      </c>
      <c r="S1445" s="5">
        <v>17</v>
      </c>
      <c r="T1445" s="5">
        <v>17</v>
      </c>
      <c r="U1445" s="5">
        <v>17</v>
      </c>
    </row>
    <row r="1446" spans="1:21" x14ac:dyDescent="0.25">
      <c r="A1446" s="5" t="s">
        <v>4509</v>
      </c>
      <c r="B1446" s="5" t="s">
        <v>4510</v>
      </c>
      <c r="C1446" s="5" t="s">
        <v>3548</v>
      </c>
      <c r="D1446" s="5" t="s">
        <v>3782</v>
      </c>
      <c r="E1446" s="5" t="s">
        <v>4363</v>
      </c>
      <c r="F1446" s="5" t="s">
        <v>3584</v>
      </c>
      <c r="G1446" s="5" t="s">
        <v>3493</v>
      </c>
      <c r="H1446" s="5" t="s">
        <v>3816</v>
      </c>
      <c r="I1446" s="5" t="s">
        <v>3448</v>
      </c>
      <c r="J1446" s="5" t="s">
        <v>3783</v>
      </c>
      <c r="K1446" s="5" t="s">
        <v>4363</v>
      </c>
      <c r="L1446" s="5">
        <v>25</v>
      </c>
      <c r="M1446" s="5">
        <v>2</v>
      </c>
      <c r="N1446" s="5" t="s">
        <v>3585</v>
      </c>
      <c r="O1446" s="5" t="s">
        <v>3494</v>
      </c>
      <c r="P1446" s="5">
        <v>3</v>
      </c>
      <c r="Q1446" s="5">
        <v>1</v>
      </c>
      <c r="R1446" s="5" t="s">
        <v>3817</v>
      </c>
      <c r="S1446" s="5">
        <v>44</v>
      </c>
      <c r="T1446" s="5">
        <v>44</v>
      </c>
      <c r="U1446" s="5">
        <v>44</v>
      </c>
    </row>
    <row r="1447" spans="1:21" x14ac:dyDescent="0.25">
      <c r="A1447" s="5" t="s">
        <v>4513</v>
      </c>
      <c r="B1447" s="5" t="s">
        <v>4514</v>
      </c>
      <c r="C1447" s="5" t="s">
        <v>3548</v>
      </c>
      <c r="D1447" s="5" t="s">
        <v>3782</v>
      </c>
      <c r="E1447" s="5" t="s">
        <v>4363</v>
      </c>
      <c r="F1447" s="5" t="s">
        <v>3584</v>
      </c>
      <c r="G1447" s="5" t="s">
        <v>3826</v>
      </c>
      <c r="H1447" s="5" t="s">
        <v>3816</v>
      </c>
      <c r="I1447" s="5" t="s">
        <v>3448</v>
      </c>
      <c r="J1447" s="5" t="s">
        <v>3783</v>
      </c>
      <c r="K1447" s="5" t="s">
        <v>4363</v>
      </c>
      <c r="L1447" s="5">
        <v>25</v>
      </c>
      <c r="M1447" s="5">
        <v>2</v>
      </c>
      <c r="N1447" s="5" t="s">
        <v>3585</v>
      </c>
      <c r="O1447" s="5" t="s">
        <v>3827</v>
      </c>
      <c r="P1447" s="5">
        <v>3</v>
      </c>
      <c r="Q1447" s="5">
        <v>1</v>
      </c>
      <c r="R1447" s="5" t="s">
        <v>3817</v>
      </c>
      <c r="S1447" s="5">
        <v>43</v>
      </c>
      <c r="T1447" s="5">
        <v>43</v>
      </c>
      <c r="U1447" s="5">
        <v>43</v>
      </c>
    </row>
    <row r="1448" spans="1:21" x14ac:dyDescent="0.25">
      <c r="A1448" s="5" t="s">
        <v>4519</v>
      </c>
      <c r="B1448" s="5" t="s">
        <v>4520</v>
      </c>
      <c r="C1448" s="5" t="s">
        <v>3548</v>
      </c>
      <c r="D1448" s="5" t="s">
        <v>3782</v>
      </c>
      <c r="E1448" s="5" t="s">
        <v>4363</v>
      </c>
      <c r="F1448" s="5" t="s">
        <v>4390</v>
      </c>
      <c r="G1448" s="5" t="s">
        <v>3826</v>
      </c>
      <c r="H1448" s="5" t="s">
        <v>3816</v>
      </c>
      <c r="I1448" s="5" t="s">
        <v>3448</v>
      </c>
      <c r="J1448" s="5" t="s">
        <v>3783</v>
      </c>
      <c r="K1448" s="5" t="s">
        <v>4363</v>
      </c>
      <c r="L1448" s="5">
        <v>25</v>
      </c>
      <c r="M1448" s="5">
        <v>2</v>
      </c>
      <c r="N1448" s="5" t="s">
        <v>4391</v>
      </c>
      <c r="O1448" s="5" t="s">
        <v>3827</v>
      </c>
      <c r="P1448" s="5">
        <v>3</v>
      </c>
      <c r="Q1448" s="5">
        <v>1</v>
      </c>
      <c r="R1448" s="5" t="s">
        <v>3817</v>
      </c>
      <c r="S1448" s="5">
        <v>39</v>
      </c>
      <c r="T1448" s="5">
        <v>39</v>
      </c>
      <c r="U1448" s="5">
        <v>39</v>
      </c>
    </row>
    <row r="1449" spans="1:21" x14ac:dyDescent="0.25">
      <c r="A1449" s="5" t="s">
        <v>4525</v>
      </c>
      <c r="B1449" s="5" t="s">
        <v>4526</v>
      </c>
      <c r="C1449" s="5" t="s">
        <v>3548</v>
      </c>
      <c r="D1449" s="5" t="s">
        <v>3782</v>
      </c>
      <c r="E1449" s="5" t="s">
        <v>4363</v>
      </c>
      <c r="F1449" s="5" t="s">
        <v>4004</v>
      </c>
      <c r="G1449" s="5" t="s">
        <v>3493</v>
      </c>
      <c r="H1449" s="5" t="s">
        <v>3816</v>
      </c>
      <c r="I1449" s="5" t="s">
        <v>3448</v>
      </c>
      <c r="J1449" s="5" t="s">
        <v>3783</v>
      </c>
      <c r="K1449" s="5" t="s">
        <v>4363</v>
      </c>
      <c r="L1449" s="5">
        <v>25</v>
      </c>
      <c r="M1449" s="5">
        <v>2</v>
      </c>
      <c r="N1449" s="5" t="s">
        <v>4005</v>
      </c>
      <c r="O1449" s="5" t="s">
        <v>3494</v>
      </c>
      <c r="P1449" s="5">
        <v>3</v>
      </c>
      <c r="Q1449" s="5">
        <v>1</v>
      </c>
      <c r="R1449" s="5" t="s">
        <v>3817</v>
      </c>
      <c r="S1449" s="5">
        <v>45</v>
      </c>
      <c r="T1449" s="5">
        <v>45</v>
      </c>
      <c r="U1449" s="5">
        <v>45</v>
      </c>
    </row>
    <row r="1450" spans="1:21" x14ac:dyDescent="0.25">
      <c r="A1450" s="5" t="s">
        <v>4539</v>
      </c>
      <c r="B1450" s="5" t="s">
        <v>4540</v>
      </c>
      <c r="C1450" s="5" t="s">
        <v>3548</v>
      </c>
      <c r="D1450" s="5" t="s">
        <v>3782</v>
      </c>
      <c r="E1450" s="5" t="s">
        <v>4363</v>
      </c>
      <c r="F1450" s="5" t="s">
        <v>3584</v>
      </c>
      <c r="G1450" s="5" t="s">
        <v>3493</v>
      </c>
      <c r="H1450" s="5" t="s">
        <v>3838</v>
      </c>
      <c r="I1450" s="5" t="s">
        <v>3448</v>
      </c>
      <c r="J1450" s="5" t="s">
        <v>3783</v>
      </c>
      <c r="K1450" s="5" t="s">
        <v>4363</v>
      </c>
      <c r="L1450" s="5">
        <v>25</v>
      </c>
      <c r="M1450" s="5">
        <v>2</v>
      </c>
      <c r="N1450" s="5" t="s">
        <v>3585</v>
      </c>
      <c r="O1450" s="5" t="s">
        <v>3494</v>
      </c>
      <c r="P1450" s="5">
        <v>4</v>
      </c>
      <c r="Q1450" s="5">
        <v>1</v>
      </c>
      <c r="R1450" s="5" t="s">
        <v>3839</v>
      </c>
      <c r="S1450" s="5">
        <v>43</v>
      </c>
      <c r="T1450" s="5">
        <v>43</v>
      </c>
      <c r="U1450" s="5">
        <v>43</v>
      </c>
    </row>
    <row r="1451" spans="1:21" x14ac:dyDescent="0.25">
      <c r="A1451" s="5" t="s">
        <v>4541</v>
      </c>
      <c r="B1451" s="5" t="s">
        <v>4542</v>
      </c>
      <c r="C1451" s="5" t="s">
        <v>3548</v>
      </c>
      <c r="D1451" s="5" t="s">
        <v>3782</v>
      </c>
      <c r="E1451" s="5" t="s">
        <v>4363</v>
      </c>
      <c r="F1451" s="5" t="s">
        <v>3584</v>
      </c>
      <c r="G1451" s="5" t="s">
        <v>3493</v>
      </c>
      <c r="H1451" s="5" t="s">
        <v>3816</v>
      </c>
      <c r="I1451" s="5" t="s">
        <v>3448</v>
      </c>
      <c r="J1451" s="5" t="s">
        <v>3783</v>
      </c>
      <c r="K1451" s="5" t="s">
        <v>4363</v>
      </c>
      <c r="L1451" s="5">
        <v>25</v>
      </c>
      <c r="M1451" s="5">
        <v>2</v>
      </c>
      <c r="N1451" s="5" t="s">
        <v>3585</v>
      </c>
      <c r="O1451" s="5" t="s">
        <v>3494</v>
      </c>
      <c r="P1451" s="5">
        <v>4</v>
      </c>
      <c r="Q1451" s="5">
        <v>1</v>
      </c>
      <c r="R1451" s="5" t="s">
        <v>3817</v>
      </c>
      <c r="S1451" s="5">
        <v>43</v>
      </c>
      <c r="T1451" s="5">
        <v>43</v>
      </c>
      <c r="U1451" s="5">
        <v>43</v>
      </c>
    </row>
    <row r="1452" spans="1:21" x14ac:dyDescent="0.25">
      <c r="A1452" s="5" t="s">
        <v>4547</v>
      </c>
      <c r="B1452" s="5" t="s">
        <v>4548</v>
      </c>
      <c r="C1452" s="5" t="s">
        <v>3548</v>
      </c>
      <c r="D1452" s="5" t="s">
        <v>3782</v>
      </c>
      <c r="E1452" s="5" t="s">
        <v>4363</v>
      </c>
      <c r="F1452" s="5" t="s">
        <v>3584</v>
      </c>
      <c r="G1452" s="5" t="s">
        <v>4255</v>
      </c>
      <c r="H1452" s="5" t="s">
        <v>3838</v>
      </c>
      <c r="I1452" s="5" t="s">
        <v>3448</v>
      </c>
      <c r="J1452" s="5" t="s">
        <v>3783</v>
      </c>
      <c r="K1452" s="5" t="s">
        <v>4363</v>
      </c>
      <c r="L1452" s="5">
        <v>25</v>
      </c>
      <c r="M1452" s="5">
        <v>2</v>
      </c>
      <c r="N1452" s="5" t="s">
        <v>3585</v>
      </c>
      <c r="O1452" s="5" t="s">
        <v>4256</v>
      </c>
      <c r="P1452" s="5">
        <v>4</v>
      </c>
      <c r="Q1452" s="5">
        <v>1</v>
      </c>
      <c r="R1452" s="5" t="s">
        <v>3839</v>
      </c>
      <c r="S1452" s="5">
        <v>56</v>
      </c>
      <c r="T1452" s="5">
        <v>56</v>
      </c>
      <c r="U1452" s="5">
        <v>56</v>
      </c>
    </row>
    <row r="1453" spans="1:21" x14ac:dyDescent="0.25">
      <c r="A1453" s="5" t="s">
        <v>4551</v>
      </c>
      <c r="B1453" s="5" t="s">
        <v>4552</v>
      </c>
      <c r="C1453" s="5" t="s">
        <v>3548</v>
      </c>
      <c r="D1453" s="5" t="s">
        <v>3782</v>
      </c>
      <c r="E1453" s="5" t="s">
        <v>4363</v>
      </c>
      <c r="F1453" s="5" t="s">
        <v>3584</v>
      </c>
      <c r="G1453" s="5" t="s">
        <v>4417</v>
      </c>
      <c r="H1453" s="5" t="s">
        <v>3838</v>
      </c>
      <c r="I1453" s="5" t="s">
        <v>3448</v>
      </c>
      <c r="J1453" s="5" t="s">
        <v>3783</v>
      </c>
      <c r="K1453" s="5" t="s">
        <v>4363</v>
      </c>
      <c r="L1453" s="5">
        <v>25</v>
      </c>
      <c r="M1453" s="5">
        <v>2</v>
      </c>
      <c r="N1453" s="5" t="s">
        <v>3585</v>
      </c>
      <c r="O1453" s="5" t="s">
        <v>4418</v>
      </c>
      <c r="P1453" s="5">
        <v>4</v>
      </c>
      <c r="Q1453" s="5">
        <v>1</v>
      </c>
      <c r="R1453" s="5" t="s">
        <v>3839</v>
      </c>
      <c r="S1453" s="5">
        <v>37</v>
      </c>
      <c r="T1453" s="5">
        <v>37</v>
      </c>
      <c r="U1453" s="5">
        <v>37</v>
      </c>
    </row>
    <row r="1454" spans="1:21" x14ac:dyDescent="0.25">
      <c r="A1454" s="5" t="s">
        <v>4553</v>
      </c>
      <c r="B1454" s="5" t="s">
        <v>4554</v>
      </c>
      <c r="C1454" s="5" t="s">
        <v>3548</v>
      </c>
      <c r="D1454" s="5" t="s">
        <v>3782</v>
      </c>
      <c r="E1454" s="5" t="s">
        <v>4363</v>
      </c>
      <c r="F1454" s="5" t="s">
        <v>3584</v>
      </c>
      <c r="G1454" s="5" t="s">
        <v>4417</v>
      </c>
      <c r="H1454" s="5" t="s">
        <v>3816</v>
      </c>
      <c r="I1454" s="5" t="s">
        <v>3448</v>
      </c>
      <c r="J1454" s="5" t="s">
        <v>3783</v>
      </c>
      <c r="K1454" s="5" t="s">
        <v>4363</v>
      </c>
      <c r="L1454" s="5">
        <v>25</v>
      </c>
      <c r="M1454" s="5">
        <v>2</v>
      </c>
      <c r="N1454" s="5" t="s">
        <v>3585</v>
      </c>
      <c r="O1454" s="5" t="s">
        <v>4418</v>
      </c>
      <c r="P1454" s="5">
        <v>4</v>
      </c>
      <c r="Q1454" s="5">
        <v>1</v>
      </c>
      <c r="R1454" s="5" t="s">
        <v>3817</v>
      </c>
      <c r="S1454" s="5">
        <v>37</v>
      </c>
      <c r="T1454" s="5">
        <v>37</v>
      </c>
      <c r="U1454" s="5">
        <v>37</v>
      </c>
    </row>
    <row r="1455" spans="1:21" x14ac:dyDescent="0.25">
      <c r="A1455" s="5" t="s">
        <v>4559</v>
      </c>
      <c r="B1455" s="5" t="s">
        <v>4560</v>
      </c>
      <c r="C1455" s="5" t="s">
        <v>3548</v>
      </c>
      <c r="D1455" s="5" t="s">
        <v>3782</v>
      </c>
      <c r="E1455" s="5" t="s">
        <v>4363</v>
      </c>
      <c r="F1455" s="5" t="s">
        <v>4390</v>
      </c>
      <c r="G1455" s="5" t="s">
        <v>3493</v>
      </c>
      <c r="H1455" s="5" t="s">
        <v>3816</v>
      </c>
      <c r="I1455" s="5" t="s">
        <v>3448</v>
      </c>
      <c r="J1455" s="5" t="s">
        <v>3783</v>
      </c>
      <c r="K1455" s="5" t="s">
        <v>4363</v>
      </c>
      <c r="L1455" s="5">
        <v>25</v>
      </c>
      <c r="M1455" s="5">
        <v>2</v>
      </c>
      <c r="N1455" s="5" t="s">
        <v>4391</v>
      </c>
      <c r="O1455" s="5" t="s">
        <v>3494</v>
      </c>
      <c r="P1455" s="5">
        <v>4</v>
      </c>
      <c r="Q1455" s="5">
        <v>1</v>
      </c>
      <c r="R1455" s="5" t="s">
        <v>3817</v>
      </c>
      <c r="S1455" s="5">
        <v>42</v>
      </c>
      <c r="T1455" s="5">
        <v>42</v>
      </c>
      <c r="U1455" s="5">
        <v>42</v>
      </c>
    </row>
    <row r="1456" spans="1:21" x14ac:dyDescent="0.25">
      <c r="A1456" s="5" t="s">
        <v>4565</v>
      </c>
      <c r="B1456" s="5" t="s">
        <v>4566</v>
      </c>
      <c r="C1456" s="5" t="s">
        <v>3548</v>
      </c>
      <c r="D1456" s="5" t="s">
        <v>3782</v>
      </c>
      <c r="E1456" s="5" t="s">
        <v>4363</v>
      </c>
      <c r="F1456" s="5" t="s">
        <v>4004</v>
      </c>
      <c r="G1456" s="5" t="s">
        <v>3493</v>
      </c>
      <c r="H1456" s="5" t="s">
        <v>3838</v>
      </c>
      <c r="I1456" s="5" t="s">
        <v>3448</v>
      </c>
      <c r="J1456" s="5" t="s">
        <v>3783</v>
      </c>
      <c r="K1456" s="5" t="s">
        <v>4363</v>
      </c>
      <c r="L1456" s="5">
        <v>25</v>
      </c>
      <c r="M1456" s="5">
        <v>2</v>
      </c>
      <c r="N1456" s="5" t="s">
        <v>4005</v>
      </c>
      <c r="O1456" s="5" t="s">
        <v>3494</v>
      </c>
      <c r="P1456" s="5">
        <v>4</v>
      </c>
      <c r="Q1456" s="5">
        <v>1</v>
      </c>
      <c r="R1456" s="5" t="s">
        <v>3839</v>
      </c>
      <c r="S1456" s="5">
        <v>44</v>
      </c>
      <c r="T1456" s="5">
        <v>44</v>
      </c>
      <c r="U1456" s="5">
        <v>44</v>
      </c>
    </row>
    <row r="1457" spans="1:21" x14ac:dyDescent="0.25">
      <c r="A1457" s="5" t="s">
        <v>4569</v>
      </c>
      <c r="B1457" s="5" t="s">
        <v>4570</v>
      </c>
      <c r="C1457" s="5" t="s">
        <v>3548</v>
      </c>
      <c r="D1457" s="5" t="s">
        <v>3782</v>
      </c>
      <c r="E1457" s="5" t="s">
        <v>4363</v>
      </c>
      <c r="F1457" s="5" t="s">
        <v>4004</v>
      </c>
      <c r="G1457" s="5" t="s">
        <v>4255</v>
      </c>
      <c r="H1457" s="5" t="s">
        <v>3838</v>
      </c>
      <c r="I1457" s="5" t="s">
        <v>3448</v>
      </c>
      <c r="J1457" s="5" t="s">
        <v>3783</v>
      </c>
      <c r="K1457" s="5" t="s">
        <v>4363</v>
      </c>
      <c r="L1457" s="5">
        <v>25</v>
      </c>
      <c r="M1457" s="5">
        <v>2</v>
      </c>
      <c r="N1457" s="5" t="s">
        <v>4005</v>
      </c>
      <c r="O1457" s="5" t="s">
        <v>4256</v>
      </c>
      <c r="P1457" s="5">
        <v>4</v>
      </c>
      <c r="Q1457" s="5">
        <v>1</v>
      </c>
      <c r="R1457" s="5" t="s">
        <v>3839</v>
      </c>
      <c r="S1457" s="5">
        <v>56</v>
      </c>
      <c r="T1457" s="5">
        <v>56</v>
      </c>
      <c r="U1457" s="5">
        <v>56</v>
      </c>
    </row>
    <row r="1458" spans="1:21" x14ac:dyDescent="0.25">
      <c r="A1458" s="5" t="s">
        <v>4573</v>
      </c>
      <c r="B1458" s="5" t="s">
        <v>4574</v>
      </c>
      <c r="C1458" s="5" t="s">
        <v>3548</v>
      </c>
      <c r="D1458" s="5" t="s">
        <v>3782</v>
      </c>
      <c r="E1458" s="5" t="s">
        <v>4363</v>
      </c>
      <c r="F1458" s="5" t="s">
        <v>4004</v>
      </c>
      <c r="G1458" s="5" t="s">
        <v>4417</v>
      </c>
      <c r="H1458" s="5" t="s">
        <v>3838</v>
      </c>
      <c r="I1458" s="5" t="s">
        <v>3448</v>
      </c>
      <c r="J1458" s="5" t="s">
        <v>3783</v>
      </c>
      <c r="K1458" s="5" t="s">
        <v>4363</v>
      </c>
      <c r="L1458" s="5">
        <v>25</v>
      </c>
      <c r="M1458" s="5">
        <v>2</v>
      </c>
      <c r="N1458" s="5" t="s">
        <v>4005</v>
      </c>
      <c r="O1458" s="5" t="s">
        <v>4418</v>
      </c>
      <c r="P1458" s="5">
        <v>4</v>
      </c>
      <c r="Q1458" s="5">
        <v>1</v>
      </c>
      <c r="R1458" s="5" t="s">
        <v>3839</v>
      </c>
      <c r="S1458" s="5">
        <v>38</v>
      </c>
      <c r="T1458" s="5">
        <v>38</v>
      </c>
      <c r="U1458" s="5">
        <v>38</v>
      </c>
    </row>
    <row r="1459" spans="1:21" x14ac:dyDescent="0.25">
      <c r="A1459" s="5" t="s">
        <v>4577</v>
      </c>
      <c r="B1459" s="5" t="s">
        <v>4578</v>
      </c>
      <c r="C1459" s="5" t="s">
        <v>3548</v>
      </c>
      <c r="D1459" s="5" t="s">
        <v>3782</v>
      </c>
      <c r="E1459" s="5" t="s">
        <v>4363</v>
      </c>
      <c r="F1459" s="5" t="s">
        <v>3584</v>
      </c>
      <c r="G1459" s="5" t="s">
        <v>3501</v>
      </c>
      <c r="H1459" s="5" t="s">
        <v>3838</v>
      </c>
      <c r="I1459" s="5" t="s">
        <v>3448</v>
      </c>
      <c r="J1459" s="5" t="s">
        <v>3783</v>
      </c>
      <c r="K1459" s="5" t="s">
        <v>4363</v>
      </c>
      <c r="L1459" s="5">
        <v>25</v>
      </c>
      <c r="M1459" s="5">
        <v>1</v>
      </c>
      <c r="N1459" s="5" t="s">
        <v>3585</v>
      </c>
      <c r="O1459" s="5" t="s">
        <v>3502</v>
      </c>
      <c r="P1459" s="5">
        <v>3</v>
      </c>
      <c r="Q1459" s="5">
        <v>1</v>
      </c>
      <c r="R1459" s="5" t="s">
        <v>3839</v>
      </c>
      <c r="S1459" s="5">
        <v>24</v>
      </c>
      <c r="T1459" s="5">
        <v>24</v>
      </c>
      <c r="U1459" s="5">
        <v>24</v>
      </c>
    </row>
    <row r="1460" spans="1:21" x14ac:dyDescent="0.25">
      <c r="A1460" s="5" t="s">
        <v>4581</v>
      </c>
      <c r="B1460" s="5" t="s">
        <v>4582</v>
      </c>
      <c r="C1460" s="5" t="s">
        <v>3548</v>
      </c>
      <c r="D1460" s="5" t="s">
        <v>3782</v>
      </c>
      <c r="E1460" s="5" t="s">
        <v>4363</v>
      </c>
      <c r="F1460" s="5" t="s">
        <v>3584</v>
      </c>
      <c r="G1460" s="5" t="s">
        <v>3493</v>
      </c>
      <c r="H1460" s="5" t="s">
        <v>3838</v>
      </c>
      <c r="I1460" s="5" t="s">
        <v>3448</v>
      </c>
      <c r="J1460" s="5" t="s">
        <v>3783</v>
      </c>
      <c r="K1460" s="5" t="s">
        <v>4363</v>
      </c>
      <c r="L1460" s="5">
        <v>25</v>
      </c>
      <c r="M1460" s="5">
        <v>1</v>
      </c>
      <c r="N1460" s="5" t="s">
        <v>3585</v>
      </c>
      <c r="O1460" s="5" t="s">
        <v>3494</v>
      </c>
      <c r="P1460" s="5">
        <v>3</v>
      </c>
      <c r="Q1460" s="5">
        <v>1</v>
      </c>
      <c r="R1460" s="5" t="s">
        <v>3839</v>
      </c>
      <c r="S1460" s="5">
        <v>23</v>
      </c>
      <c r="T1460" s="5">
        <v>23</v>
      </c>
      <c r="U1460" s="5">
        <v>23</v>
      </c>
    </row>
    <row r="1461" spans="1:21" x14ac:dyDescent="0.25">
      <c r="A1461" s="5" t="s">
        <v>4583</v>
      </c>
      <c r="B1461" s="5" t="s">
        <v>4584</v>
      </c>
      <c r="C1461" s="5" t="s">
        <v>3548</v>
      </c>
      <c r="D1461" s="5" t="s">
        <v>3782</v>
      </c>
      <c r="E1461" s="5" t="s">
        <v>4363</v>
      </c>
      <c r="F1461" s="5" t="s">
        <v>3584</v>
      </c>
      <c r="G1461" s="5" t="s">
        <v>3493</v>
      </c>
      <c r="H1461" s="5" t="s">
        <v>3848</v>
      </c>
      <c r="I1461" s="5" t="s">
        <v>3448</v>
      </c>
      <c r="J1461" s="5" t="s">
        <v>3783</v>
      </c>
      <c r="K1461" s="5" t="s">
        <v>4363</v>
      </c>
      <c r="L1461" s="5">
        <v>25</v>
      </c>
      <c r="M1461" s="5">
        <v>1</v>
      </c>
      <c r="N1461" s="5" t="s">
        <v>3585</v>
      </c>
      <c r="O1461" s="5" t="s">
        <v>3494</v>
      </c>
      <c r="P1461" s="5">
        <v>3</v>
      </c>
      <c r="Q1461" s="5">
        <v>1</v>
      </c>
      <c r="R1461" s="5" t="s">
        <v>3849</v>
      </c>
      <c r="S1461" s="5">
        <v>22</v>
      </c>
      <c r="T1461" s="5">
        <v>22</v>
      </c>
      <c r="U1461" s="5">
        <v>22</v>
      </c>
    </row>
    <row r="1462" spans="1:21" x14ac:dyDescent="0.25">
      <c r="A1462" s="5" t="s">
        <v>4585</v>
      </c>
      <c r="B1462" s="5" t="s">
        <v>4586</v>
      </c>
      <c r="C1462" s="5" t="s">
        <v>3548</v>
      </c>
      <c r="D1462" s="5" t="s">
        <v>3782</v>
      </c>
      <c r="E1462" s="5" t="s">
        <v>4363</v>
      </c>
      <c r="F1462" s="5" t="s">
        <v>3584</v>
      </c>
      <c r="G1462" s="5" t="s">
        <v>3493</v>
      </c>
      <c r="H1462" s="5" t="s">
        <v>3816</v>
      </c>
      <c r="I1462" s="5" t="s">
        <v>3448</v>
      </c>
      <c r="J1462" s="5" t="s">
        <v>3783</v>
      </c>
      <c r="K1462" s="5" t="s">
        <v>4363</v>
      </c>
      <c r="L1462" s="5">
        <v>25</v>
      </c>
      <c r="M1462" s="5">
        <v>1</v>
      </c>
      <c r="N1462" s="5" t="s">
        <v>3585</v>
      </c>
      <c r="O1462" s="5" t="s">
        <v>3494</v>
      </c>
      <c r="P1462" s="5">
        <v>3</v>
      </c>
      <c r="Q1462" s="5">
        <v>1</v>
      </c>
      <c r="R1462" s="5" t="s">
        <v>3817</v>
      </c>
      <c r="S1462" s="5">
        <v>22</v>
      </c>
      <c r="T1462" s="5">
        <v>22</v>
      </c>
      <c r="U1462" s="5">
        <v>22</v>
      </c>
    </row>
    <row r="1463" spans="1:21" x14ac:dyDescent="0.25">
      <c r="A1463" s="5" t="s">
        <v>4589</v>
      </c>
      <c r="B1463" s="5" t="s">
        <v>4590</v>
      </c>
      <c r="C1463" s="5" t="s">
        <v>3548</v>
      </c>
      <c r="D1463" s="5" t="s">
        <v>3782</v>
      </c>
      <c r="E1463" s="5" t="s">
        <v>4363</v>
      </c>
      <c r="F1463" s="5" t="s">
        <v>3584</v>
      </c>
      <c r="G1463" s="5" t="s">
        <v>3826</v>
      </c>
      <c r="H1463" s="5" t="s">
        <v>3838</v>
      </c>
      <c r="I1463" s="5" t="s">
        <v>3448</v>
      </c>
      <c r="J1463" s="5" t="s">
        <v>3783</v>
      </c>
      <c r="K1463" s="5" t="s">
        <v>4363</v>
      </c>
      <c r="L1463" s="5">
        <v>25</v>
      </c>
      <c r="M1463" s="5">
        <v>1</v>
      </c>
      <c r="N1463" s="5" t="s">
        <v>3585</v>
      </c>
      <c r="O1463" s="5" t="s">
        <v>3827</v>
      </c>
      <c r="P1463" s="5">
        <v>3</v>
      </c>
      <c r="Q1463" s="5">
        <v>1</v>
      </c>
      <c r="R1463" s="5" t="s">
        <v>3839</v>
      </c>
      <c r="S1463" s="5">
        <v>23</v>
      </c>
      <c r="T1463" s="5">
        <v>23</v>
      </c>
      <c r="U1463" s="5">
        <v>23</v>
      </c>
    </row>
    <row r="1464" spans="1:21" x14ac:dyDescent="0.25">
      <c r="A1464" s="5" t="s">
        <v>4591</v>
      </c>
      <c r="B1464" s="5" t="s">
        <v>4592</v>
      </c>
      <c r="C1464" s="5" t="s">
        <v>3548</v>
      </c>
      <c r="D1464" s="5" t="s">
        <v>3782</v>
      </c>
      <c r="E1464" s="5" t="s">
        <v>4363</v>
      </c>
      <c r="F1464" s="5" t="s">
        <v>3584</v>
      </c>
      <c r="G1464" s="5" t="s">
        <v>3826</v>
      </c>
      <c r="H1464" s="5" t="s">
        <v>3848</v>
      </c>
      <c r="I1464" s="5" t="s">
        <v>3448</v>
      </c>
      <c r="J1464" s="5" t="s">
        <v>3783</v>
      </c>
      <c r="K1464" s="5" t="s">
        <v>4363</v>
      </c>
      <c r="L1464" s="5">
        <v>25</v>
      </c>
      <c r="M1464" s="5">
        <v>1</v>
      </c>
      <c r="N1464" s="5" t="s">
        <v>3585</v>
      </c>
      <c r="O1464" s="5" t="s">
        <v>3827</v>
      </c>
      <c r="P1464" s="5">
        <v>3</v>
      </c>
      <c r="Q1464" s="5">
        <v>1</v>
      </c>
      <c r="R1464" s="5" t="s">
        <v>3849</v>
      </c>
      <c r="S1464" s="5">
        <v>22</v>
      </c>
      <c r="T1464" s="5">
        <v>22</v>
      </c>
      <c r="U1464" s="5">
        <v>22</v>
      </c>
    </row>
    <row r="1465" spans="1:21" x14ac:dyDescent="0.25">
      <c r="A1465" s="5" t="s">
        <v>4593</v>
      </c>
      <c r="B1465" s="5" t="s">
        <v>4594</v>
      </c>
      <c r="C1465" s="5" t="s">
        <v>3548</v>
      </c>
      <c r="D1465" s="5" t="s">
        <v>3782</v>
      </c>
      <c r="E1465" s="5" t="s">
        <v>4363</v>
      </c>
      <c r="F1465" s="5" t="s">
        <v>3584</v>
      </c>
      <c r="G1465" s="5" t="s">
        <v>3826</v>
      </c>
      <c r="H1465" s="5" t="s">
        <v>3816</v>
      </c>
      <c r="I1465" s="5" t="s">
        <v>3448</v>
      </c>
      <c r="J1465" s="5" t="s">
        <v>3783</v>
      </c>
      <c r="K1465" s="5" t="s">
        <v>4363</v>
      </c>
      <c r="L1465" s="5">
        <v>25</v>
      </c>
      <c r="M1465" s="5">
        <v>1</v>
      </c>
      <c r="N1465" s="5" t="s">
        <v>3585</v>
      </c>
      <c r="O1465" s="5" t="s">
        <v>3827</v>
      </c>
      <c r="P1465" s="5">
        <v>3</v>
      </c>
      <c r="Q1465" s="5">
        <v>1</v>
      </c>
      <c r="R1465" s="5" t="s">
        <v>3817</v>
      </c>
      <c r="S1465" s="5">
        <v>22</v>
      </c>
      <c r="T1465" s="5">
        <v>22</v>
      </c>
      <c r="U1465" s="5">
        <v>22</v>
      </c>
    </row>
    <row r="1466" spans="1:21" x14ac:dyDescent="0.25">
      <c r="A1466" s="5" t="s">
        <v>4597</v>
      </c>
      <c r="B1466" s="5" t="s">
        <v>4598</v>
      </c>
      <c r="C1466" s="5" t="s">
        <v>3548</v>
      </c>
      <c r="D1466" s="5" t="s">
        <v>3782</v>
      </c>
      <c r="E1466" s="5" t="s">
        <v>4363</v>
      </c>
      <c r="F1466" s="5" t="s">
        <v>4390</v>
      </c>
      <c r="G1466" s="5" t="s">
        <v>3493</v>
      </c>
      <c r="H1466" s="5" t="s">
        <v>3838</v>
      </c>
      <c r="I1466" s="5" t="s">
        <v>3448</v>
      </c>
      <c r="J1466" s="5" t="s">
        <v>3783</v>
      </c>
      <c r="K1466" s="5" t="s">
        <v>4363</v>
      </c>
      <c r="L1466" s="5">
        <v>25</v>
      </c>
      <c r="M1466" s="5">
        <v>1</v>
      </c>
      <c r="N1466" s="5" t="s">
        <v>4391</v>
      </c>
      <c r="O1466" s="5" t="s">
        <v>3494</v>
      </c>
      <c r="P1466" s="5">
        <v>3</v>
      </c>
      <c r="Q1466" s="5">
        <v>1</v>
      </c>
      <c r="R1466" s="5" t="s">
        <v>3839</v>
      </c>
      <c r="S1466" s="5">
        <v>22</v>
      </c>
      <c r="T1466" s="5">
        <v>22</v>
      </c>
      <c r="U1466" s="5">
        <v>22</v>
      </c>
    </row>
    <row r="1467" spans="1:21" x14ac:dyDescent="0.25">
      <c r="A1467" s="5" t="s">
        <v>4601</v>
      </c>
      <c r="B1467" s="5" t="s">
        <v>4602</v>
      </c>
      <c r="C1467" s="5" t="s">
        <v>3548</v>
      </c>
      <c r="D1467" s="5" t="s">
        <v>3782</v>
      </c>
      <c r="E1467" s="5" t="s">
        <v>4363</v>
      </c>
      <c r="F1467" s="5" t="s">
        <v>4390</v>
      </c>
      <c r="G1467" s="5" t="s">
        <v>3826</v>
      </c>
      <c r="H1467" s="5" t="s">
        <v>3838</v>
      </c>
      <c r="I1467" s="5" t="s">
        <v>3448</v>
      </c>
      <c r="J1467" s="5" t="s">
        <v>3783</v>
      </c>
      <c r="K1467" s="5" t="s">
        <v>4363</v>
      </c>
      <c r="L1467" s="5">
        <v>25</v>
      </c>
      <c r="M1467" s="5">
        <v>1</v>
      </c>
      <c r="N1467" s="5" t="s">
        <v>4391</v>
      </c>
      <c r="O1467" s="5" t="s">
        <v>3827</v>
      </c>
      <c r="P1467" s="5">
        <v>3</v>
      </c>
      <c r="Q1467" s="5">
        <v>1</v>
      </c>
      <c r="R1467" s="5" t="s">
        <v>3839</v>
      </c>
      <c r="S1467" s="5">
        <v>20</v>
      </c>
      <c r="T1467" s="5">
        <v>20</v>
      </c>
      <c r="U1467" s="5">
        <v>20</v>
      </c>
    </row>
    <row r="1468" spans="1:21" x14ac:dyDescent="0.25">
      <c r="A1468" s="5" t="s">
        <v>4603</v>
      </c>
      <c r="B1468" s="5" t="s">
        <v>4604</v>
      </c>
      <c r="C1468" s="5" t="s">
        <v>3548</v>
      </c>
      <c r="D1468" s="5" t="s">
        <v>3782</v>
      </c>
      <c r="E1468" s="5" t="s">
        <v>4363</v>
      </c>
      <c r="F1468" s="5" t="s">
        <v>4390</v>
      </c>
      <c r="G1468" s="5" t="s">
        <v>3826</v>
      </c>
      <c r="H1468" s="5" t="s">
        <v>3848</v>
      </c>
      <c r="I1468" s="5" t="s">
        <v>3448</v>
      </c>
      <c r="J1468" s="5" t="s">
        <v>3783</v>
      </c>
      <c r="K1468" s="5" t="s">
        <v>4363</v>
      </c>
      <c r="L1468" s="5">
        <v>25</v>
      </c>
      <c r="M1468" s="5">
        <v>1</v>
      </c>
      <c r="N1468" s="5" t="s">
        <v>4391</v>
      </c>
      <c r="O1468" s="5" t="s">
        <v>3827</v>
      </c>
      <c r="P1468" s="5">
        <v>3</v>
      </c>
      <c r="Q1468" s="5">
        <v>1</v>
      </c>
      <c r="R1468" s="5" t="s">
        <v>3849</v>
      </c>
      <c r="S1468" s="5">
        <v>19</v>
      </c>
      <c r="T1468" s="5">
        <v>19</v>
      </c>
      <c r="U1468" s="5">
        <v>19</v>
      </c>
    </row>
    <row r="1469" spans="1:21" x14ac:dyDescent="0.25">
      <c r="A1469" s="5" t="s">
        <v>4605</v>
      </c>
      <c r="B1469" s="5" t="s">
        <v>4606</v>
      </c>
      <c r="C1469" s="5" t="s">
        <v>3548</v>
      </c>
      <c r="D1469" s="5" t="s">
        <v>3782</v>
      </c>
      <c r="E1469" s="5" t="s">
        <v>4363</v>
      </c>
      <c r="F1469" s="5" t="s">
        <v>4390</v>
      </c>
      <c r="G1469" s="5" t="s">
        <v>3826</v>
      </c>
      <c r="H1469" s="5" t="s">
        <v>3816</v>
      </c>
      <c r="I1469" s="5" t="s">
        <v>3448</v>
      </c>
      <c r="J1469" s="5" t="s">
        <v>3783</v>
      </c>
      <c r="K1469" s="5" t="s">
        <v>4363</v>
      </c>
      <c r="L1469" s="5">
        <v>25</v>
      </c>
      <c r="M1469" s="5">
        <v>1</v>
      </c>
      <c r="N1469" s="5" t="s">
        <v>4391</v>
      </c>
      <c r="O1469" s="5" t="s">
        <v>3827</v>
      </c>
      <c r="P1469" s="5">
        <v>3</v>
      </c>
      <c r="Q1469" s="5">
        <v>1</v>
      </c>
      <c r="R1469" s="5" t="s">
        <v>3817</v>
      </c>
      <c r="S1469" s="5">
        <v>19</v>
      </c>
      <c r="T1469" s="5">
        <v>19</v>
      </c>
      <c r="U1469" s="5">
        <v>19</v>
      </c>
    </row>
    <row r="1470" spans="1:21" x14ac:dyDescent="0.25">
      <c r="A1470" s="5" t="s">
        <v>4659</v>
      </c>
      <c r="B1470" s="5" t="s">
        <v>4660</v>
      </c>
      <c r="C1470" s="5" t="s">
        <v>3548</v>
      </c>
      <c r="D1470" s="5" t="s">
        <v>3782</v>
      </c>
      <c r="E1470" s="5" t="s">
        <v>4363</v>
      </c>
      <c r="F1470" s="5" t="s">
        <v>4004</v>
      </c>
      <c r="G1470" s="5" t="s">
        <v>3493</v>
      </c>
      <c r="H1470" s="5" t="s">
        <v>3838</v>
      </c>
      <c r="I1470" s="5" t="s">
        <v>3448</v>
      </c>
      <c r="J1470" s="5" t="s">
        <v>3783</v>
      </c>
      <c r="K1470" s="5" t="s">
        <v>4363</v>
      </c>
      <c r="L1470" s="5">
        <v>25</v>
      </c>
      <c r="M1470" s="5">
        <v>1</v>
      </c>
      <c r="N1470" s="5" t="s">
        <v>4005</v>
      </c>
      <c r="O1470" s="5" t="s">
        <v>3494</v>
      </c>
      <c r="P1470" s="5">
        <v>3</v>
      </c>
      <c r="Q1470" s="5">
        <v>1</v>
      </c>
      <c r="R1470" s="5" t="s">
        <v>3839</v>
      </c>
      <c r="S1470" s="5">
        <v>23</v>
      </c>
      <c r="T1470" s="5">
        <v>23</v>
      </c>
      <c r="U1470" s="5">
        <v>23</v>
      </c>
    </row>
    <row r="1471" spans="1:21" x14ac:dyDescent="0.25">
      <c r="A1471" s="5" t="s">
        <v>4661</v>
      </c>
      <c r="B1471" s="5" t="s">
        <v>4662</v>
      </c>
      <c r="C1471" s="5" t="s">
        <v>3548</v>
      </c>
      <c r="D1471" s="5" t="s">
        <v>3782</v>
      </c>
      <c r="E1471" s="5" t="s">
        <v>4363</v>
      </c>
      <c r="F1471" s="5" t="s">
        <v>4004</v>
      </c>
      <c r="G1471" s="5" t="s">
        <v>3493</v>
      </c>
      <c r="H1471" s="5" t="s">
        <v>3848</v>
      </c>
      <c r="I1471" s="5" t="s">
        <v>3448</v>
      </c>
      <c r="J1471" s="5" t="s">
        <v>3783</v>
      </c>
      <c r="K1471" s="5" t="s">
        <v>4363</v>
      </c>
      <c r="L1471" s="5">
        <v>25</v>
      </c>
      <c r="M1471" s="5">
        <v>1</v>
      </c>
      <c r="N1471" s="5" t="s">
        <v>4005</v>
      </c>
      <c r="O1471" s="5" t="s">
        <v>3494</v>
      </c>
      <c r="P1471" s="5">
        <v>3</v>
      </c>
      <c r="Q1471" s="5">
        <v>1</v>
      </c>
      <c r="R1471" s="5" t="s">
        <v>3849</v>
      </c>
      <c r="S1471" s="5">
        <v>24</v>
      </c>
      <c r="T1471" s="5">
        <v>24</v>
      </c>
      <c r="U1471" s="5">
        <v>24</v>
      </c>
    </row>
    <row r="1472" spans="1:21" x14ac:dyDescent="0.25">
      <c r="A1472" s="5" t="s">
        <v>4663</v>
      </c>
      <c r="B1472" s="5" t="s">
        <v>4664</v>
      </c>
      <c r="C1472" s="5" t="s">
        <v>3548</v>
      </c>
      <c r="D1472" s="5" t="s">
        <v>3782</v>
      </c>
      <c r="E1472" s="5" t="s">
        <v>4363</v>
      </c>
      <c r="F1472" s="5" t="s">
        <v>4004</v>
      </c>
      <c r="G1472" s="5" t="s">
        <v>3493</v>
      </c>
      <c r="H1472" s="5" t="s">
        <v>3816</v>
      </c>
      <c r="I1472" s="5" t="s">
        <v>3448</v>
      </c>
      <c r="J1472" s="5" t="s">
        <v>3783</v>
      </c>
      <c r="K1472" s="5" t="s">
        <v>4363</v>
      </c>
      <c r="L1472" s="5">
        <v>25</v>
      </c>
      <c r="M1472" s="5">
        <v>1</v>
      </c>
      <c r="N1472" s="5" t="s">
        <v>4005</v>
      </c>
      <c r="O1472" s="5" t="s">
        <v>3494</v>
      </c>
      <c r="P1472" s="5">
        <v>3</v>
      </c>
      <c r="Q1472" s="5">
        <v>1</v>
      </c>
      <c r="R1472" s="5" t="s">
        <v>3817</v>
      </c>
      <c r="S1472" s="5">
        <v>22</v>
      </c>
      <c r="T1472" s="5">
        <v>22</v>
      </c>
      <c r="U1472" s="5">
        <v>22</v>
      </c>
    </row>
    <row r="1473" spans="1:21" x14ac:dyDescent="0.25">
      <c r="A1473" s="5" t="s">
        <v>4673</v>
      </c>
      <c r="B1473" s="5" t="s">
        <v>4674</v>
      </c>
      <c r="C1473" s="5" t="s">
        <v>3548</v>
      </c>
      <c r="D1473" s="5" t="s">
        <v>3782</v>
      </c>
      <c r="E1473" s="5" t="s">
        <v>4363</v>
      </c>
      <c r="F1473" s="5" t="s">
        <v>3584</v>
      </c>
      <c r="G1473" s="5" t="s">
        <v>3501</v>
      </c>
      <c r="H1473" s="5" t="s">
        <v>3838</v>
      </c>
      <c r="I1473" s="5" t="s">
        <v>3448</v>
      </c>
      <c r="J1473" s="5" t="s">
        <v>3783</v>
      </c>
      <c r="K1473" s="5" t="s">
        <v>4363</v>
      </c>
      <c r="L1473" s="5">
        <v>25</v>
      </c>
      <c r="M1473" s="5">
        <v>1</v>
      </c>
      <c r="N1473" s="5" t="s">
        <v>3585</v>
      </c>
      <c r="O1473" s="5" t="s">
        <v>3502</v>
      </c>
      <c r="P1473" s="5">
        <v>4</v>
      </c>
      <c r="Q1473" s="5">
        <v>1</v>
      </c>
      <c r="R1473" s="5" t="s">
        <v>3839</v>
      </c>
      <c r="S1473" s="5">
        <v>33</v>
      </c>
      <c r="T1473" s="5">
        <v>33</v>
      </c>
      <c r="U1473" s="5">
        <v>33</v>
      </c>
    </row>
    <row r="1474" spans="1:21" x14ac:dyDescent="0.25">
      <c r="A1474" s="5" t="s">
        <v>4675</v>
      </c>
      <c r="B1474" s="5" t="s">
        <v>4676</v>
      </c>
      <c r="C1474" s="5" t="s">
        <v>3548</v>
      </c>
      <c r="D1474" s="5" t="s">
        <v>3782</v>
      </c>
      <c r="E1474" s="5" t="s">
        <v>4363</v>
      </c>
      <c r="F1474" s="5" t="s">
        <v>3584</v>
      </c>
      <c r="G1474" s="5" t="s">
        <v>3501</v>
      </c>
      <c r="H1474" s="5" t="s">
        <v>3848</v>
      </c>
      <c r="I1474" s="5" t="s">
        <v>3448</v>
      </c>
      <c r="J1474" s="5" t="s">
        <v>3783</v>
      </c>
      <c r="K1474" s="5" t="s">
        <v>4363</v>
      </c>
      <c r="L1474" s="5">
        <v>25</v>
      </c>
      <c r="M1474" s="5">
        <v>1</v>
      </c>
      <c r="N1474" s="5" t="s">
        <v>3585</v>
      </c>
      <c r="O1474" s="5" t="s">
        <v>3502</v>
      </c>
      <c r="P1474" s="5">
        <v>4</v>
      </c>
      <c r="Q1474" s="5">
        <v>1</v>
      </c>
      <c r="R1474" s="5" t="s">
        <v>3849</v>
      </c>
      <c r="S1474" s="5">
        <v>31</v>
      </c>
      <c r="T1474" s="5">
        <v>31</v>
      </c>
      <c r="U1474" s="5">
        <v>31</v>
      </c>
    </row>
    <row r="1475" spans="1:21" x14ac:dyDescent="0.25">
      <c r="A1475" s="5" t="s">
        <v>4679</v>
      </c>
      <c r="B1475" s="5" t="s">
        <v>4680</v>
      </c>
      <c r="C1475" s="5" t="s">
        <v>3548</v>
      </c>
      <c r="D1475" s="5" t="s">
        <v>3782</v>
      </c>
      <c r="E1475" s="5" t="s">
        <v>4363</v>
      </c>
      <c r="F1475" s="5" t="s">
        <v>3584</v>
      </c>
      <c r="G1475" s="5" t="s">
        <v>3493</v>
      </c>
      <c r="H1475" s="5" t="s">
        <v>3838</v>
      </c>
      <c r="I1475" s="5" t="s">
        <v>3448</v>
      </c>
      <c r="J1475" s="5" t="s">
        <v>3783</v>
      </c>
      <c r="K1475" s="5" t="s">
        <v>4363</v>
      </c>
      <c r="L1475" s="5">
        <v>25</v>
      </c>
      <c r="M1475" s="5">
        <v>1</v>
      </c>
      <c r="N1475" s="5" t="s">
        <v>3585</v>
      </c>
      <c r="O1475" s="5" t="s">
        <v>3494</v>
      </c>
      <c r="P1475" s="5">
        <v>4</v>
      </c>
      <c r="Q1475" s="5">
        <v>1</v>
      </c>
      <c r="R1475" s="5" t="s">
        <v>3839</v>
      </c>
      <c r="S1475" s="5">
        <v>23</v>
      </c>
      <c r="T1475" s="5">
        <v>23</v>
      </c>
      <c r="U1475" s="5">
        <v>23</v>
      </c>
    </row>
    <row r="1476" spans="1:21" x14ac:dyDescent="0.25">
      <c r="A1476" s="5" t="s">
        <v>4681</v>
      </c>
      <c r="B1476" s="5" t="s">
        <v>4682</v>
      </c>
      <c r="C1476" s="5" t="s">
        <v>3548</v>
      </c>
      <c r="D1476" s="5" t="s">
        <v>3782</v>
      </c>
      <c r="E1476" s="5" t="s">
        <v>4363</v>
      </c>
      <c r="F1476" s="5" t="s">
        <v>3584</v>
      </c>
      <c r="G1476" s="5" t="s">
        <v>3493</v>
      </c>
      <c r="H1476" s="5" t="s">
        <v>3848</v>
      </c>
      <c r="I1476" s="5" t="s">
        <v>3448</v>
      </c>
      <c r="J1476" s="5" t="s">
        <v>3783</v>
      </c>
      <c r="K1476" s="5" t="s">
        <v>4363</v>
      </c>
      <c r="L1476" s="5">
        <v>25</v>
      </c>
      <c r="M1476" s="5">
        <v>1</v>
      </c>
      <c r="N1476" s="5" t="s">
        <v>3585</v>
      </c>
      <c r="O1476" s="5" t="s">
        <v>3494</v>
      </c>
      <c r="P1476" s="5">
        <v>4</v>
      </c>
      <c r="Q1476" s="5">
        <v>1</v>
      </c>
      <c r="R1476" s="5" t="s">
        <v>3849</v>
      </c>
      <c r="S1476" s="5">
        <v>22</v>
      </c>
      <c r="T1476" s="5">
        <v>22</v>
      </c>
      <c r="U1476" s="5">
        <v>22</v>
      </c>
    </row>
    <row r="1477" spans="1:21" x14ac:dyDescent="0.25">
      <c r="A1477" s="5" t="s">
        <v>4683</v>
      </c>
      <c r="B1477" s="5" t="s">
        <v>4684</v>
      </c>
      <c r="C1477" s="5" t="s">
        <v>3548</v>
      </c>
      <c r="D1477" s="5" t="s">
        <v>3782</v>
      </c>
      <c r="E1477" s="5" t="s">
        <v>4363</v>
      </c>
      <c r="F1477" s="5" t="s">
        <v>3584</v>
      </c>
      <c r="G1477" s="5" t="s">
        <v>3493</v>
      </c>
      <c r="H1477" s="5" t="s">
        <v>3816</v>
      </c>
      <c r="I1477" s="5" t="s">
        <v>3448</v>
      </c>
      <c r="J1477" s="5" t="s">
        <v>3783</v>
      </c>
      <c r="K1477" s="5" t="s">
        <v>4363</v>
      </c>
      <c r="L1477" s="5">
        <v>25</v>
      </c>
      <c r="M1477" s="5">
        <v>1</v>
      </c>
      <c r="N1477" s="5" t="s">
        <v>3585</v>
      </c>
      <c r="O1477" s="5" t="s">
        <v>3494</v>
      </c>
      <c r="P1477" s="5">
        <v>4</v>
      </c>
      <c r="Q1477" s="5">
        <v>1</v>
      </c>
      <c r="R1477" s="5" t="s">
        <v>3817</v>
      </c>
      <c r="S1477" s="5">
        <v>22</v>
      </c>
      <c r="T1477" s="5">
        <v>22</v>
      </c>
      <c r="U1477" s="5">
        <v>22</v>
      </c>
    </row>
    <row r="1478" spans="1:21" x14ac:dyDescent="0.25">
      <c r="A1478" s="5" t="s">
        <v>4689</v>
      </c>
      <c r="B1478" s="5" t="s">
        <v>4690</v>
      </c>
      <c r="C1478" s="5" t="s">
        <v>3548</v>
      </c>
      <c r="D1478" s="5" t="s">
        <v>3782</v>
      </c>
      <c r="E1478" s="5" t="s">
        <v>4363</v>
      </c>
      <c r="F1478" s="5" t="s">
        <v>3584</v>
      </c>
      <c r="G1478" s="5" t="s">
        <v>4255</v>
      </c>
      <c r="H1478" s="5" t="s">
        <v>3838</v>
      </c>
      <c r="I1478" s="5" t="s">
        <v>3448</v>
      </c>
      <c r="J1478" s="5" t="s">
        <v>3783</v>
      </c>
      <c r="K1478" s="5" t="s">
        <v>4363</v>
      </c>
      <c r="L1478" s="5">
        <v>25</v>
      </c>
      <c r="M1478" s="5">
        <v>1</v>
      </c>
      <c r="N1478" s="5" t="s">
        <v>3585</v>
      </c>
      <c r="O1478" s="5" t="s">
        <v>4256</v>
      </c>
      <c r="P1478" s="5">
        <v>4</v>
      </c>
      <c r="Q1478" s="5">
        <v>1</v>
      </c>
      <c r="R1478" s="5" t="s">
        <v>3839</v>
      </c>
      <c r="S1478" s="5">
        <v>29</v>
      </c>
      <c r="T1478" s="5">
        <v>29</v>
      </c>
      <c r="U1478" s="5">
        <v>29</v>
      </c>
    </row>
    <row r="1479" spans="1:21" x14ac:dyDescent="0.25">
      <c r="A1479" s="5" t="s">
        <v>4691</v>
      </c>
      <c r="B1479" s="5" t="s">
        <v>4692</v>
      </c>
      <c r="C1479" s="5" t="s">
        <v>3548</v>
      </c>
      <c r="D1479" s="5" t="s">
        <v>3782</v>
      </c>
      <c r="E1479" s="5" t="s">
        <v>4363</v>
      </c>
      <c r="F1479" s="5" t="s">
        <v>3584</v>
      </c>
      <c r="G1479" s="5" t="s">
        <v>4255</v>
      </c>
      <c r="H1479" s="5" t="s">
        <v>3848</v>
      </c>
      <c r="I1479" s="5" t="s">
        <v>3448</v>
      </c>
      <c r="J1479" s="5" t="s">
        <v>3783</v>
      </c>
      <c r="K1479" s="5" t="s">
        <v>4363</v>
      </c>
      <c r="L1479" s="5">
        <v>25</v>
      </c>
      <c r="M1479" s="5">
        <v>1</v>
      </c>
      <c r="N1479" s="5" t="s">
        <v>3585</v>
      </c>
      <c r="O1479" s="5" t="s">
        <v>4256</v>
      </c>
      <c r="P1479" s="5">
        <v>4</v>
      </c>
      <c r="Q1479" s="5">
        <v>1</v>
      </c>
      <c r="R1479" s="5" t="s">
        <v>3849</v>
      </c>
      <c r="S1479" s="5">
        <v>29</v>
      </c>
      <c r="T1479" s="5">
        <v>29</v>
      </c>
      <c r="U1479" s="5">
        <v>29</v>
      </c>
    </row>
    <row r="1480" spans="1:21" x14ac:dyDescent="0.25">
      <c r="A1480" s="5" t="s">
        <v>4693</v>
      </c>
      <c r="B1480" s="5" t="s">
        <v>4694</v>
      </c>
      <c r="C1480" s="5" t="s">
        <v>3548</v>
      </c>
      <c r="D1480" s="5" t="s">
        <v>3782</v>
      </c>
      <c r="E1480" s="5" t="s">
        <v>4363</v>
      </c>
      <c r="F1480" s="5" t="s">
        <v>3584</v>
      </c>
      <c r="G1480" s="5" t="s">
        <v>4255</v>
      </c>
      <c r="H1480" s="5" t="s">
        <v>3816</v>
      </c>
      <c r="I1480" s="5" t="s">
        <v>3448</v>
      </c>
      <c r="J1480" s="5" t="s">
        <v>3783</v>
      </c>
      <c r="K1480" s="5" t="s">
        <v>4363</v>
      </c>
      <c r="L1480" s="5">
        <v>25</v>
      </c>
      <c r="M1480" s="5">
        <v>1</v>
      </c>
      <c r="N1480" s="5" t="s">
        <v>3585</v>
      </c>
      <c r="O1480" s="5" t="s">
        <v>4256</v>
      </c>
      <c r="P1480" s="5">
        <v>4</v>
      </c>
      <c r="Q1480" s="5">
        <v>1</v>
      </c>
      <c r="R1480" s="5" t="s">
        <v>3817</v>
      </c>
      <c r="S1480" s="5">
        <v>28</v>
      </c>
      <c r="T1480" s="5">
        <v>28</v>
      </c>
      <c r="U1480" s="5">
        <v>28</v>
      </c>
    </row>
    <row r="1481" spans="1:21" x14ac:dyDescent="0.25">
      <c r="A1481" s="5" t="s">
        <v>4697</v>
      </c>
      <c r="B1481" s="5" t="s">
        <v>4698</v>
      </c>
      <c r="C1481" s="5" t="s">
        <v>3548</v>
      </c>
      <c r="D1481" s="5" t="s">
        <v>3782</v>
      </c>
      <c r="E1481" s="5" t="s">
        <v>4363</v>
      </c>
      <c r="F1481" s="5" t="s">
        <v>3584</v>
      </c>
      <c r="G1481" s="5" t="s">
        <v>4417</v>
      </c>
      <c r="H1481" s="5" t="s">
        <v>3838</v>
      </c>
      <c r="I1481" s="5" t="s">
        <v>3448</v>
      </c>
      <c r="J1481" s="5" t="s">
        <v>3783</v>
      </c>
      <c r="K1481" s="5" t="s">
        <v>4363</v>
      </c>
      <c r="L1481" s="5">
        <v>25</v>
      </c>
      <c r="M1481" s="5">
        <v>1</v>
      </c>
      <c r="N1481" s="5" t="s">
        <v>3585</v>
      </c>
      <c r="O1481" s="5" t="s">
        <v>4418</v>
      </c>
      <c r="P1481" s="5">
        <v>4</v>
      </c>
      <c r="Q1481" s="5">
        <v>1</v>
      </c>
      <c r="R1481" s="5" t="s">
        <v>3839</v>
      </c>
      <c r="S1481" s="5">
        <v>20</v>
      </c>
      <c r="T1481" s="5">
        <v>20</v>
      </c>
      <c r="U1481" s="5">
        <v>20</v>
      </c>
    </row>
    <row r="1482" spans="1:21" x14ac:dyDescent="0.25">
      <c r="A1482" s="5" t="s">
        <v>4699</v>
      </c>
      <c r="B1482" s="5" t="s">
        <v>4700</v>
      </c>
      <c r="C1482" s="5" t="s">
        <v>3548</v>
      </c>
      <c r="D1482" s="5" t="s">
        <v>3782</v>
      </c>
      <c r="E1482" s="5" t="s">
        <v>4363</v>
      </c>
      <c r="F1482" s="5" t="s">
        <v>3584</v>
      </c>
      <c r="G1482" s="5" t="s">
        <v>4417</v>
      </c>
      <c r="H1482" s="5" t="s">
        <v>3848</v>
      </c>
      <c r="I1482" s="5" t="s">
        <v>3448</v>
      </c>
      <c r="J1482" s="5" t="s">
        <v>3783</v>
      </c>
      <c r="K1482" s="5" t="s">
        <v>4363</v>
      </c>
      <c r="L1482" s="5">
        <v>25</v>
      </c>
      <c r="M1482" s="5">
        <v>1</v>
      </c>
      <c r="N1482" s="5" t="s">
        <v>3585</v>
      </c>
      <c r="O1482" s="5" t="s">
        <v>4418</v>
      </c>
      <c r="P1482" s="5">
        <v>4</v>
      </c>
      <c r="Q1482" s="5">
        <v>1</v>
      </c>
      <c r="R1482" s="5" t="s">
        <v>3849</v>
      </c>
      <c r="S1482" s="5">
        <v>19</v>
      </c>
      <c r="T1482" s="5">
        <v>19</v>
      </c>
      <c r="U1482" s="5">
        <v>19</v>
      </c>
    </row>
    <row r="1483" spans="1:21" x14ac:dyDescent="0.25">
      <c r="A1483" s="5" t="s">
        <v>4701</v>
      </c>
      <c r="B1483" s="5" t="s">
        <v>4702</v>
      </c>
      <c r="C1483" s="5" t="s">
        <v>3548</v>
      </c>
      <c r="D1483" s="5" t="s">
        <v>3782</v>
      </c>
      <c r="E1483" s="5" t="s">
        <v>4363</v>
      </c>
      <c r="F1483" s="5" t="s">
        <v>3584</v>
      </c>
      <c r="G1483" s="5" t="s">
        <v>4417</v>
      </c>
      <c r="H1483" s="5" t="s">
        <v>3816</v>
      </c>
      <c r="I1483" s="5" t="s">
        <v>3448</v>
      </c>
      <c r="J1483" s="5" t="s">
        <v>3783</v>
      </c>
      <c r="K1483" s="5" t="s">
        <v>4363</v>
      </c>
      <c r="L1483" s="5">
        <v>25</v>
      </c>
      <c r="M1483" s="5">
        <v>1</v>
      </c>
      <c r="N1483" s="5" t="s">
        <v>3585</v>
      </c>
      <c r="O1483" s="5" t="s">
        <v>4418</v>
      </c>
      <c r="P1483" s="5">
        <v>4</v>
      </c>
      <c r="Q1483" s="5">
        <v>1</v>
      </c>
      <c r="R1483" s="5" t="s">
        <v>3817</v>
      </c>
      <c r="S1483" s="5">
        <v>19</v>
      </c>
      <c r="T1483" s="5">
        <v>19</v>
      </c>
      <c r="U1483" s="5">
        <v>19</v>
      </c>
    </row>
    <row r="1484" spans="1:21" x14ac:dyDescent="0.25">
      <c r="A1484" s="5" t="s">
        <v>4707</v>
      </c>
      <c r="B1484" s="5" t="s">
        <v>4708</v>
      </c>
      <c r="C1484" s="5" t="s">
        <v>3548</v>
      </c>
      <c r="D1484" s="5" t="s">
        <v>3782</v>
      </c>
      <c r="E1484" s="5" t="s">
        <v>4363</v>
      </c>
      <c r="F1484" s="5" t="s">
        <v>4390</v>
      </c>
      <c r="G1484" s="5" t="s">
        <v>3493</v>
      </c>
      <c r="H1484" s="5" t="s">
        <v>3838</v>
      </c>
      <c r="I1484" s="5" t="s">
        <v>3448</v>
      </c>
      <c r="J1484" s="5" t="s">
        <v>3783</v>
      </c>
      <c r="K1484" s="5" t="s">
        <v>4363</v>
      </c>
      <c r="L1484" s="5">
        <v>25</v>
      </c>
      <c r="M1484" s="5">
        <v>1</v>
      </c>
      <c r="N1484" s="5" t="s">
        <v>4391</v>
      </c>
      <c r="O1484" s="5" t="s">
        <v>3494</v>
      </c>
      <c r="P1484" s="5">
        <v>4</v>
      </c>
      <c r="Q1484" s="5">
        <v>1</v>
      </c>
      <c r="R1484" s="5" t="s">
        <v>3839</v>
      </c>
      <c r="S1484" s="5">
        <v>22</v>
      </c>
      <c r="T1484" s="5">
        <v>22</v>
      </c>
      <c r="U1484" s="5">
        <v>22</v>
      </c>
    </row>
    <row r="1485" spans="1:21" x14ac:dyDescent="0.25">
      <c r="A1485" s="5" t="s">
        <v>4709</v>
      </c>
      <c r="B1485" s="5" t="s">
        <v>4710</v>
      </c>
      <c r="C1485" s="5" t="s">
        <v>3548</v>
      </c>
      <c r="D1485" s="5" t="s">
        <v>3782</v>
      </c>
      <c r="E1485" s="5" t="s">
        <v>4363</v>
      </c>
      <c r="F1485" s="5" t="s">
        <v>4390</v>
      </c>
      <c r="G1485" s="5" t="s">
        <v>3493</v>
      </c>
      <c r="H1485" s="5" t="s">
        <v>3848</v>
      </c>
      <c r="I1485" s="5" t="s">
        <v>3448</v>
      </c>
      <c r="J1485" s="5" t="s">
        <v>3783</v>
      </c>
      <c r="K1485" s="5" t="s">
        <v>4363</v>
      </c>
      <c r="L1485" s="5">
        <v>25</v>
      </c>
      <c r="M1485" s="5">
        <v>1</v>
      </c>
      <c r="N1485" s="5" t="s">
        <v>4391</v>
      </c>
      <c r="O1485" s="5" t="s">
        <v>3494</v>
      </c>
      <c r="P1485" s="5">
        <v>4</v>
      </c>
      <c r="Q1485" s="5">
        <v>1</v>
      </c>
      <c r="R1485" s="5" t="s">
        <v>3849</v>
      </c>
      <c r="S1485" s="5">
        <v>21</v>
      </c>
      <c r="T1485" s="5">
        <v>21</v>
      </c>
      <c r="U1485" s="5">
        <v>21</v>
      </c>
    </row>
    <row r="1486" spans="1:21" x14ac:dyDescent="0.25">
      <c r="A1486" s="5" t="s">
        <v>4711</v>
      </c>
      <c r="B1486" s="5" t="s">
        <v>4712</v>
      </c>
      <c r="C1486" s="5" t="s">
        <v>3548</v>
      </c>
      <c r="D1486" s="5" t="s">
        <v>3782</v>
      </c>
      <c r="E1486" s="5" t="s">
        <v>4363</v>
      </c>
      <c r="F1486" s="5" t="s">
        <v>4390</v>
      </c>
      <c r="G1486" s="5" t="s">
        <v>3493</v>
      </c>
      <c r="H1486" s="5" t="s">
        <v>3816</v>
      </c>
      <c r="I1486" s="5" t="s">
        <v>3448</v>
      </c>
      <c r="J1486" s="5" t="s">
        <v>3783</v>
      </c>
      <c r="K1486" s="5" t="s">
        <v>4363</v>
      </c>
      <c r="L1486" s="5">
        <v>25</v>
      </c>
      <c r="M1486" s="5">
        <v>1</v>
      </c>
      <c r="N1486" s="5" t="s">
        <v>4391</v>
      </c>
      <c r="O1486" s="5" t="s">
        <v>3494</v>
      </c>
      <c r="P1486" s="5">
        <v>4</v>
      </c>
      <c r="Q1486" s="5">
        <v>1</v>
      </c>
      <c r="R1486" s="5" t="s">
        <v>3817</v>
      </c>
      <c r="S1486" s="5">
        <v>21</v>
      </c>
      <c r="T1486" s="5">
        <v>21</v>
      </c>
      <c r="U1486" s="5">
        <v>21</v>
      </c>
    </row>
    <row r="1487" spans="1:21" x14ac:dyDescent="0.25">
      <c r="A1487" s="5" t="s">
        <v>4713</v>
      </c>
      <c r="B1487" s="5" t="s">
        <v>4714</v>
      </c>
      <c r="C1487" s="5" t="s">
        <v>3548</v>
      </c>
      <c r="D1487" s="5" t="s">
        <v>3782</v>
      </c>
      <c r="E1487" s="5" t="s">
        <v>4363</v>
      </c>
      <c r="F1487" s="5" t="s">
        <v>4390</v>
      </c>
      <c r="G1487" s="5" t="s">
        <v>4417</v>
      </c>
      <c r="H1487" s="5" t="s">
        <v>3838</v>
      </c>
      <c r="I1487" s="5" t="s">
        <v>3448</v>
      </c>
      <c r="J1487" s="5" t="s">
        <v>3783</v>
      </c>
      <c r="K1487" s="5" t="s">
        <v>4363</v>
      </c>
      <c r="L1487" s="5">
        <v>25</v>
      </c>
      <c r="M1487" s="5">
        <v>1</v>
      </c>
      <c r="N1487" s="5" t="s">
        <v>4391</v>
      </c>
      <c r="O1487" s="5" t="s">
        <v>4418</v>
      </c>
      <c r="P1487" s="5">
        <v>4</v>
      </c>
      <c r="Q1487" s="5">
        <v>1</v>
      </c>
      <c r="R1487" s="5" t="s">
        <v>3839</v>
      </c>
      <c r="S1487" s="5">
        <v>18</v>
      </c>
      <c r="T1487" s="5">
        <v>18</v>
      </c>
      <c r="U1487" s="5">
        <v>18</v>
      </c>
    </row>
    <row r="1488" spans="1:21" x14ac:dyDescent="0.25">
      <c r="A1488" s="5" t="s">
        <v>4715</v>
      </c>
      <c r="B1488" s="5" t="s">
        <v>4716</v>
      </c>
      <c r="C1488" s="5" t="s">
        <v>3548</v>
      </c>
      <c r="D1488" s="5" t="s">
        <v>3782</v>
      </c>
      <c r="E1488" s="5" t="s">
        <v>4363</v>
      </c>
      <c r="F1488" s="5" t="s">
        <v>4390</v>
      </c>
      <c r="G1488" s="5" t="s">
        <v>4417</v>
      </c>
      <c r="H1488" s="5" t="s">
        <v>3816</v>
      </c>
      <c r="I1488" s="5" t="s">
        <v>3448</v>
      </c>
      <c r="J1488" s="5" t="s">
        <v>3783</v>
      </c>
      <c r="K1488" s="5" t="s">
        <v>4363</v>
      </c>
      <c r="L1488" s="5">
        <v>25</v>
      </c>
      <c r="M1488" s="5">
        <v>1</v>
      </c>
      <c r="N1488" s="5" t="s">
        <v>4391</v>
      </c>
      <c r="O1488" s="5" t="s">
        <v>4418</v>
      </c>
      <c r="P1488" s="5">
        <v>4</v>
      </c>
      <c r="Q1488" s="5">
        <v>1</v>
      </c>
      <c r="R1488" s="5" t="s">
        <v>3817</v>
      </c>
      <c r="S1488" s="5">
        <v>18</v>
      </c>
      <c r="T1488" s="5">
        <v>18</v>
      </c>
      <c r="U1488" s="5">
        <v>18</v>
      </c>
    </row>
    <row r="1489" spans="1:21" x14ac:dyDescent="0.25">
      <c r="A1489" s="5" t="s">
        <v>4769</v>
      </c>
      <c r="B1489" s="5" t="s">
        <v>4770</v>
      </c>
      <c r="C1489" s="5" t="s">
        <v>3548</v>
      </c>
      <c r="D1489" s="5" t="s">
        <v>3782</v>
      </c>
      <c r="E1489" s="5" t="s">
        <v>4363</v>
      </c>
      <c r="F1489" s="5" t="s">
        <v>4004</v>
      </c>
      <c r="G1489" s="5" t="s">
        <v>3493</v>
      </c>
      <c r="H1489" s="5" t="s">
        <v>3838</v>
      </c>
      <c r="I1489" s="5" t="s">
        <v>3448</v>
      </c>
      <c r="J1489" s="5" t="s">
        <v>3783</v>
      </c>
      <c r="K1489" s="5" t="s">
        <v>4363</v>
      </c>
      <c r="L1489" s="5">
        <v>25</v>
      </c>
      <c r="M1489" s="5">
        <v>1</v>
      </c>
      <c r="N1489" s="5" t="s">
        <v>4005</v>
      </c>
      <c r="O1489" s="5" t="s">
        <v>3494</v>
      </c>
      <c r="P1489" s="5">
        <v>4</v>
      </c>
      <c r="Q1489" s="5">
        <v>1</v>
      </c>
      <c r="R1489" s="5" t="s">
        <v>3839</v>
      </c>
      <c r="S1489" s="5">
        <v>22</v>
      </c>
      <c r="T1489" s="5">
        <v>22</v>
      </c>
      <c r="U1489" s="5">
        <v>22</v>
      </c>
    </row>
    <row r="1490" spans="1:21" x14ac:dyDescent="0.25">
      <c r="A1490" s="5" t="s">
        <v>4771</v>
      </c>
      <c r="B1490" s="5" t="s">
        <v>4772</v>
      </c>
      <c r="C1490" s="5" t="s">
        <v>3548</v>
      </c>
      <c r="D1490" s="5" t="s">
        <v>3782</v>
      </c>
      <c r="E1490" s="5" t="s">
        <v>4363</v>
      </c>
      <c r="F1490" s="5" t="s">
        <v>4004</v>
      </c>
      <c r="G1490" s="5" t="s">
        <v>3493</v>
      </c>
      <c r="H1490" s="5" t="s">
        <v>3848</v>
      </c>
      <c r="I1490" s="5" t="s">
        <v>3448</v>
      </c>
      <c r="J1490" s="5" t="s">
        <v>3783</v>
      </c>
      <c r="K1490" s="5" t="s">
        <v>4363</v>
      </c>
      <c r="L1490" s="5">
        <v>25</v>
      </c>
      <c r="M1490" s="5">
        <v>1</v>
      </c>
      <c r="N1490" s="5" t="s">
        <v>4005</v>
      </c>
      <c r="O1490" s="5" t="s">
        <v>3494</v>
      </c>
      <c r="P1490" s="5">
        <v>4</v>
      </c>
      <c r="Q1490" s="5">
        <v>1</v>
      </c>
      <c r="R1490" s="5" t="s">
        <v>3849</v>
      </c>
      <c r="S1490" s="5">
        <v>23</v>
      </c>
      <c r="T1490" s="5">
        <v>23</v>
      </c>
      <c r="U1490" s="5">
        <v>23</v>
      </c>
    </row>
    <row r="1491" spans="1:21" x14ac:dyDescent="0.25">
      <c r="A1491" s="5" t="s">
        <v>4773</v>
      </c>
      <c r="B1491" s="5" t="s">
        <v>4774</v>
      </c>
      <c r="C1491" s="5" t="s">
        <v>3548</v>
      </c>
      <c r="D1491" s="5" t="s">
        <v>3782</v>
      </c>
      <c r="E1491" s="5" t="s">
        <v>4363</v>
      </c>
      <c r="F1491" s="5" t="s">
        <v>4004</v>
      </c>
      <c r="G1491" s="5" t="s">
        <v>3493</v>
      </c>
      <c r="H1491" s="5" t="s">
        <v>3816</v>
      </c>
      <c r="I1491" s="5" t="s">
        <v>3448</v>
      </c>
      <c r="J1491" s="5" t="s">
        <v>3783</v>
      </c>
      <c r="K1491" s="5" t="s">
        <v>4363</v>
      </c>
      <c r="L1491" s="5">
        <v>25</v>
      </c>
      <c r="M1491" s="5">
        <v>1</v>
      </c>
      <c r="N1491" s="5" t="s">
        <v>4005</v>
      </c>
      <c r="O1491" s="5" t="s">
        <v>3494</v>
      </c>
      <c r="P1491" s="5">
        <v>4</v>
      </c>
      <c r="Q1491" s="5">
        <v>1</v>
      </c>
      <c r="R1491" s="5" t="s">
        <v>3817</v>
      </c>
      <c r="S1491" s="5">
        <v>22</v>
      </c>
      <c r="T1491" s="5">
        <v>22</v>
      </c>
      <c r="U1491" s="5">
        <v>22</v>
      </c>
    </row>
    <row r="1492" spans="1:21" x14ac:dyDescent="0.25">
      <c r="A1492" s="5" t="s">
        <v>4777</v>
      </c>
      <c r="B1492" s="5" t="s">
        <v>4778</v>
      </c>
      <c r="C1492" s="5" t="s">
        <v>3548</v>
      </c>
      <c r="D1492" s="5" t="s">
        <v>3782</v>
      </c>
      <c r="E1492" s="5" t="s">
        <v>4363</v>
      </c>
      <c r="F1492" s="5" t="s">
        <v>4004</v>
      </c>
      <c r="G1492" s="5" t="s">
        <v>4255</v>
      </c>
      <c r="H1492" s="5" t="s">
        <v>3838</v>
      </c>
      <c r="I1492" s="5" t="s">
        <v>3448</v>
      </c>
      <c r="J1492" s="5" t="s">
        <v>3783</v>
      </c>
      <c r="K1492" s="5" t="s">
        <v>4363</v>
      </c>
      <c r="L1492" s="5">
        <v>25</v>
      </c>
      <c r="M1492" s="5">
        <v>1</v>
      </c>
      <c r="N1492" s="5" t="s">
        <v>4005</v>
      </c>
      <c r="O1492" s="5" t="s">
        <v>4256</v>
      </c>
      <c r="P1492" s="5">
        <v>4</v>
      </c>
      <c r="Q1492" s="5">
        <v>1</v>
      </c>
      <c r="R1492" s="5" t="s">
        <v>3839</v>
      </c>
      <c r="S1492" s="5">
        <v>29</v>
      </c>
      <c r="T1492" s="5">
        <v>29</v>
      </c>
      <c r="U1492" s="5">
        <v>29</v>
      </c>
    </row>
    <row r="1493" spans="1:21" x14ac:dyDescent="0.25">
      <c r="A1493" s="5" t="s">
        <v>4779</v>
      </c>
      <c r="B1493" s="5" t="s">
        <v>4780</v>
      </c>
      <c r="C1493" s="5" t="s">
        <v>3548</v>
      </c>
      <c r="D1493" s="5" t="s">
        <v>3782</v>
      </c>
      <c r="E1493" s="5" t="s">
        <v>4363</v>
      </c>
      <c r="F1493" s="5" t="s">
        <v>4004</v>
      </c>
      <c r="G1493" s="5" t="s">
        <v>4255</v>
      </c>
      <c r="H1493" s="5" t="s">
        <v>3848</v>
      </c>
      <c r="I1493" s="5" t="s">
        <v>3448</v>
      </c>
      <c r="J1493" s="5" t="s">
        <v>3783</v>
      </c>
      <c r="K1493" s="5" t="s">
        <v>4363</v>
      </c>
      <c r="L1493" s="5">
        <v>25</v>
      </c>
      <c r="M1493" s="5">
        <v>1</v>
      </c>
      <c r="N1493" s="5" t="s">
        <v>4005</v>
      </c>
      <c r="O1493" s="5" t="s">
        <v>4256</v>
      </c>
      <c r="P1493" s="5">
        <v>4</v>
      </c>
      <c r="Q1493" s="5">
        <v>1</v>
      </c>
      <c r="R1493" s="5" t="s">
        <v>3849</v>
      </c>
      <c r="S1493" s="5">
        <v>28</v>
      </c>
      <c r="T1493" s="5">
        <v>28</v>
      </c>
      <c r="U1493" s="5">
        <v>28</v>
      </c>
    </row>
    <row r="1494" spans="1:21" x14ac:dyDescent="0.25">
      <c r="A1494" s="5" t="s">
        <v>4781</v>
      </c>
      <c r="B1494" s="5" t="s">
        <v>4782</v>
      </c>
      <c r="C1494" s="5" t="s">
        <v>3548</v>
      </c>
      <c r="D1494" s="5" t="s">
        <v>3782</v>
      </c>
      <c r="E1494" s="5" t="s">
        <v>4363</v>
      </c>
      <c r="F1494" s="5" t="s">
        <v>4004</v>
      </c>
      <c r="G1494" s="5" t="s">
        <v>4255</v>
      </c>
      <c r="H1494" s="5" t="s">
        <v>3816</v>
      </c>
      <c r="I1494" s="5" t="s">
        <v>3448</v>
      </c>
      <c r="J1494" s="5" t="s">
        <v>3783</v>
      </c>
      <c r="K1494" s="5" t="s">
        <v>4363</v>
      </c>
      <c r="L1494" s="5">
        <v>25</v>
      </c>
      <c r="M1494" s="5">
        <v>1</v>
      </c>
      <c r="N1494" s="5" t="s">
        <v>4005</v>
      </c>
      <c r="O1494" s="5" t="s">
        <v>4256</v>
      </c>
      <c r="P1494" s="5">
        <v>4</v>
      </c>
      <c r="Q1494" s="5">
        <v>1</v>
      </c>
      <c r="R1494" s="5" t="s">
        <v>3817</v>
      </c>
      <c r="S1494" s="5">
        <v>28</v>
      </c>
      <c r="T1494" s="5">
        <v>28</v>
      </c>
      <c r="U1494" s="5">
        <v>28</v>
      </c>
    </row>
    <row r="1495" spans="1:21" x14ac:dyDescent="0.25">
      <c r="A1495" s="5" t="s">
        <v>4785</v>
      </c>
      <c r="B1495" s="5" t="s">
        <v>4786</v>
      </c>
      <c r="C1495" s="5" t="s">
        <v>3548</v>
      </c>
      <c r="D1495" s="5" t="s">
        <v>3782</v>
      </c>
      <c r="E1495" s="5" t="s">
        <v>4363</v>
      </c>
      <c r="F1495" s="5" t="s">
        <v>4004</v>
      </c>
      <c r="G1495" s="5" t="s">
        <v>4417</v>
      </c>
      <c r="H1495" s="5" t="s">
        <v>3838</v>
      </c>
      <c r="I1495" s="5" t="s">
        <v>3448</v>
      </c>
      <c r="J1495" s="5" t="s">
        <v>3783</v>
      </c>
      <c r="K1495" s="5" t="s">
        <v>4363</v>
      </c>
      <c r="L1495" s="5">
        <v>25</v>
      </c>
      <c r="M1495" s="5">
        <v>1</v>
      </c>
      <c r="N1495" s="5" t="s">
        <v>4005</v>
      </c>
      <c r="O1495" s="5" t="s">
        <v>4418</v>
      </c>
      <c r="P1495" s="5">
        <v>4</v>
      </c>
      <c r="Q1495" s="5">
        <v>1</v>
      </c>
      <c r="R1495" s="5" t="s">
        <v>3839</v>
      </c>
      <c r="S1495" s="5">
        <v>19</v>
      </c>
      <c r="T1495" s="5">
        <v>19</v>
      </c>
      <c r="U1495" s="5">
        <v>19</v>
      </c>
    </row>
    <row r="1496" spans="1:21" x14ac:dyDescent="0.25">
      <c r="A1496" s="5" t="s">
        <v>4787</v>
      </c>
      <c r="B1496" s="5" t="s">
        <v>4788</v>
      </c>
      <c r="C1496" s="5" t="s">
        <v>3548</v>
      </c>
      <c r="D1496" s="5" t="s">
        <v>3782</v>
      </c>
      <c r="E1496" s="5" t="s">
        <v>4363</v>
      </c>
      <c r="F1496" s="5" t="s">
        <v>4004</v>
      </c>
      <c r="G1496" s="5" t="s">
        <v>4417</v>
      </c>
      <c r="H1496" s="5" t="s">
        <v>3848</v>
      </c>
      <c r="I1496" s="5" t="s">
        <v>3448</v>
      </c>
      <c r="J1496" s="5" t="s">
        <v>3783</v>
      </c>
      <c r="K1496" s="5" t="s">
        <v>4363</v>
      </c>
      <c r="L1496" s="5">
        <v>25</v>
      </c>
      <c r="M1496" s="5">
        <v>1</v>
      </c>
      <c r="N1496" s="5" t="s">
        <v>4005</v>
      </c>
      <c r="O1496" s="5" t="s">
        <v>4418</v>
      </c>
      <c r="P1496" s="5">
        <v>4</v>
      </c>
      <c r="Q1496" s="5">
        <v>1</v>
      </c>
      <c r="R1496" s="5" t="s">
        <v>3849</v>
      </c>
      <c r="S1496" s="5">
        <v>19</v>
      </c>
      <c r="T1496" s="5">
        <v>19</v>
      </c>
      <c r="U1496" s="5">
        <v>19</v>
      </c>
    </row>
    <row r="1497" spans="1:21" x14ac:dyDescent="0.25">
      <c r="A1497" s="5" t="s">
        <v>4789</v>
      </c>
      <c r="B1497" s="5" t="s">
        <v>4790</v>
      </c>
      <c r="C1497" s="5" t="s">
        <v>3548</v>
      </c>
      <c r="D1497" s="5" t="s">
        <v>3782</v>
      </c>
      <c r="E1497" s="5" t="s">
        <v>4363</v>
      </c>
      <c r="F1497" s="5" t="s">
        <v>4004</v>
      </c>
      <c r="G1497" s="5" t="s">
        <v>4417</v>
      </c>
      <c r="H1497" s="5" t="s">
        <v>3816</v>
      </c>
      <c r="I1497" s="5" t="s">
        <v>3448</v>
      </c>
      <c r="J1497" s="5" t="s">
        <v>3783</v>
      </c>
      <c r="K1497" s="5" t="s">
        <v>4363</v>
      </c>
      <c r="L1497" s="5">
        <v>25</v>
      </c>
      <c r="M1497" s="5">
        <v>1</v>
      </c>
      <c r="N1497" s="5" t="s">
        <v>4005</v>
      </c>
      <c r="O1497" s="5" t="s">
        <v>4418</v>
      </c>
      <c r="P1497" s="5">
        <v>4</v>
      </c>
      <c r="Q1497" s="5">
        <v>1</v>
      </c>
      <c r="R1497" s="5" t="s">
        <v>3817</v>
      </c>
      <c r="S1497" s="5">
        <v>19</v>
      </c>
      <c r="T1497" s="5">
        <v>19</v>
      </c>
      <c r="U1497" s="5">
        <v>19</v>
      </c>
    </row>
    <row r="1498" spans="1:21" x14ac:dyDescent="0.25">
      <c r="A1498" s="5" t="s">
        <v>4833</v>
      </c>
      <c r="B1498" s="5" t="s">
        <v>4834</v>
      </c>
      <c r="C1498" s="5" t="s">
        <v>3548</v>
      </c>
      <c r="D1498" s="5" t="s">
        <v>3782</v>
      </c>
      <c r="E1498" s="5" t="s">
        <v>4363</v>
      </c>
      <c r="F1498" s="5" t="s">
        <v>4835</v>
      </c>
      <c r="G1498" s="5" t="s">
        <v>3493</v>
      </c>
      <c r="H1498" s="5" t="s">
        <v>3838</v>
      </c>
      <c r="I1498" s="5" t="s">
        <v>3448</v>
      </c>
      <c r="J1498" s="5" t="s">
        <v>3783</v>
      </c>
      <c r="K1498" s="5" t="s">
        <v>4363</v>
      </c>
      <c r="L1498" s="5">
        <v>28</v>
      </c>
      <c r="M1498" s="5">
        <v>2</v>
      </c>
      <c r="N1498" s="5" t="s">
        <v>4836</v>
      </c>
      <c r="O1498" s="5" t="s">
        <v>3494</v>
      </c>
      <c r="P1498" s="5">
        <v>4</v>
      </c>
      <c r="Q1498" s="5">
        <v>1</v>
      </c>
      <c r="R1498" s="5" t="s">
        <v>3839</v>
      </c>
      <c r="S1498" s="5">
        <v>47</v>
      </c>
      <c r="T1498" s="5">
        <v>47</v>
      </c>
      <c r="U1498" s="5">
        <v>47</v>
      </c>
    </row>
    <row r="1499" spans="1:21" x14ac:dyDescent="0.25">
      <c r="A1499" s="5" t="s">
        <v>4845</v>
      </c>
      <c r="B1499" s="5" t="s">
        <v>4846</v>
      </c>
      <c r="C1499" s="5" t="s">
        <v>3548</v>
      </c>
      <c r="D1499" s="5" t="s">
        <v>3782</v>
      </c>
      <c r="E1499" s="5" t="s">
        <v>4363</v>
      </c>
      <c r="F1499" s="5" t="s">
        <v>3584</v>
      </c>
      <c r="G1499" s="5" t="s">
        <v>4255</v>
      </c>
      <c r="H1499" s="5" t="s">
        <v>3838</v>
      </c>
      <c r="I1499" s="5" t="s">
        <v>3448</v>
      </c>
      <c r="J1499" s="5" t="s">
        <v>3783</v>
      </c>
      <c r="K1499" s="5" t="s">
        <v>4363</v>
      </c>
      <c r="L1499" s="5">
        <v>28</v>
      </c>
      <c r="M1499" s="5">
        <v>2</v>
      </c>
      <c r="N1499" s="5" t="s">
        <v>3585</v>
      </c>
      <c r="O1499" s="5" t="s">
        <v>4256</v>
      </c>
      <c r="P1499" s="5">
        <v>4</v>
      </c>
      <c r="Q1499" s="5">
        <v>1</v>
      </c>
      <c r="R1499" s="5" t="s">
        <v>3839</v>
      </c>
      <c r="S1499" s="5">
        <v>62</v>
      </c>
      <c r="T1499" s="5">
        <v>62</v>
      </c>
      <c r="U1499" s="5">
        <v>62</v>
      </c>
    </row>
    <row r="1500" spans="1:21" x14ac:dyDescent="0.25">
      <c r="A1500" s="5" t="s">
        <v>4849</v>
      </c>
      <c r="B1500" s="5" t="s">
        <v>4850</v>
      </c>
      <c r="C1500" s="5" t="s">
        <v>3548</v>
      </c>
      <c r="D1500" s="5" t="s">
        <v>3782</v>
      </c>
      <c r="E1500" s="5" t="s">
        <v>4363</v>
      </c>
      <c r="F1500" s="5" t="s">
        <v>3584</v>
      </c>
      <c r="G1500" s="5" t="s">
        <v>4417</v>
      </c>
      <c r="H1500" s="5" t="s">
        <v>3838</v>
      </c>
      <c r="I1500" s="5" t="s">
        <v>3448</v>
      </c>
      <c r="J1500" s="5" t="s">
        <v>3783</v>
      </c>
      <c r="K1500" s="5" t="s">
        <v>4363</v>
      </c>
      <c r="L1500" s="5">
        <v>28</v>
      </c>
      <c r="M1500" s="5">
        <v>2</v>
      </c>
      <c r="N1500" s="5" t="s">
        <v>3585</v>
      </c>
      <c r="O1500" s="5" t="s">
        <v>4418</v>
      </c>
      <c r="P1500" s="5">
        <v>4</v>
      </c>
      <c r="Q1500" s="5">
        <v>1</v>
      </c>
      <c r="R1500" s="5" t="s">
        <v>3839</v>
      </c>
      <c r="S1500" s="5">
        <v>41</v>
      </c>
      <c r="T1500" s="5">
        <v>41</v>
      </c>
      <c r="U1500" s="5">
        <v>41</v>
      </c>
    </row>
    <row r="1501" spans="1:21" x14ac:dyDescent="0.25">
      <c r="A1501" s="5" t="s">
        <v>4857</v>
      </c>
      <c r="B1501" s="5" t="s">
        <v>4858</v>
      </c>
      <c r="C1501" s="5" t="s">
        <v>3548</v>
      </c>
      <c r="D1501" s="5" t="s">
        <v>3782</v>
      </c>
      <c r="E1501" s="5" t="s">
        <v>4363</v>
      </c>
      <c r="F1501" s="5" t="s">
        <v>4004</v>
      </c>
      <c r="G1501" s="5" t="s">
        <v>3493</v>
      </c>
      <c r="H1501" s="5" t="s">
        <v>3838</v>
      </c>
      <c r="I1501" s="5" t="s">
        <v>3448</v>
      </c>
      <c r="J1501" s="5" t="s">
        <v>3783</v>
      </c>
      <c r="K1501" s="5" t="s">
        <v>4363</v>
      </c>
      <c r="L1501" s="5">
        <v>28</v>
      </c>
      <c r="M1501" s="5">
        <v>2</v>
      </c>
      <c r="N1501" s="5" t="s">
        <v>4005</v>
      </c>
      <c r="O1501" s="5" t="s">
        <v>3494</v>
      </c>
      <c r="P1501" s="5">
        <v>4</v>
      </c>
      <c r="Q1501" s="5">
        <v>1</v>
      </c>
      <c r="R1501" s="5" t="s">
        <v>3839</v>
      </c>
      <c r="S1501" s="5">
        <v>49</v>
      </c>
      <c r="T1501" s="5">
        <v>49</v>
      </c>
      <c r="U1501" s="5">
        <v>49</v>
      </c>
    </row>
    <row r="1502" spans="1:21" x14ac:dyDescent="0.25">
      <c r="A1502" s="5" t="s">
        <v>4859</v>
      </c>
      <c r="B1502" s="5" t="s">
        <v>4860</v>
      </c>
      <c r="C1502" s="5" t="s">
        <v>3548</v>
      </c>
      <c r="D1502" s="5" t="s">
        <v>3782</v>
      </c>
      <c r="E1502" s="5" t="s">
        <v>4363</v>
      </c>
      <c r="F1502" s="5" t="s">
        <v>4004</v>
      </c>
      <c r="G1502" s="5" t="s">
        <v>4255</v>
      </c>
      <c r="H1502" s="5" t="s">
        <v>3838</v>
      </c>
      <c r="I1502" s="5" t="s">
        <v>3448</v>
      </c>
      <c r="J1502" s="5" t="s">
        <v>3783</v>
      </c>
      <c r="K1502" s="5" t="s">
        <v>4363</v>
      </c>
      <c r="L1502" s="5">
        <v>28</v>
      </c>
      <c r="M1502" s="5">
        <v>2</v>
      </c>
      <c r="N1502" s="5" t="s">
        <v>4005</v>
      </c>
      <c r="O1502" s="5" t="s">
        <v>4256</v>
      </c>
      <c r="P1502" s="5">
        <v>4</v>
      </c>
      <c r="Q1502" s="5">
        <v>1</v>
      </c>
      <c r="R1502" s="5" t="s">
        <v>3839</v>
      </c>
      <c r="S1502" s="5">
        <v>62</v>
      </c>
      <c r="T1502" s="5">
        <v>62</v>
      </c>
      <c r="U1502" s="5">
        <v>62</v>
      </c>
    </row>
    <row r="1503" spans="1:21" x14ac:dyDescent="0.25">
      <c r="A1503" s="5" t="s">
        <v>4863</v>
      </c>
      <c r="B1503" s="5" t="s">
        <v>4864</v>
      </c>
      <c r="C1503" s="5" t="s">
        <v>3548</v>
      </c>
      <c r="D1503" s="5" t="s">
        <v>3782</v>
      </c>
      <c r="E1503" s="5" t="s">
        <v>4363</v>
      </c>
      <c r="F1503" s="5" t="s">
        <v>4004</v>
      </c>
      <c r="G1503" s="5" t="s">
        <v>4417</v>
      </c>
      <c r="H1503" s="5" t="s">
        <v>3838</v>
      </c>
      <c r="I1503" s="5" t="s">
        <v>3448</v>
      </c>
      <c r="J1503" s="5" t="s">
        <v>3783</v>
      </c>
      <c r="K1503" s="5" t="s">
        <v>4363</v>
      </c>
      <c r="L1503" s="5">
        <v>28</v>
      </c>
      <c r="M1503" s="5">
        <v>2</v>
      </c>
      <c r="N1503" s="5" t="s">
        <v>4005</v>
      </c>
      <c r="O1503" s="5" t="s">
        <v>4418</v>
      </c>
      <c r="P1503" s="5">
        <v>4</v>
      </c>
      <c r="Q1503" s="5">
        <v>1</v>
      </c>
      <c r="R1503" s="5" t="s">
        <v>3839</v>
      </c>
      <c r="S1503" s="5">
        <v>39</v>
      </c>
      <c r="T1503" s="5">
        <v>39</v>
      </c>
      <c r="U1503" s="5">
        <v>39</v>
      </c>
    </row>
    <row r="1504" spans="1:21" x14ac:dyDescent="0.25">
      <c r="A1504" s="5" t="s">
        <v>4903</v>
      </c>
      <c r="B1504" s="5" t="s">
        <v>4904</v>
      </c>
      <c r="C1504" s="5" t="s">
        <v>3548</v>
      </c>
      <c r="D1504" s="5" t="s">
        <v>3782</v>
      </c>
      <c r="E1504" s="5" t="s">
        <v>4363</v>
      </c>
      <c r="F1504" s="5" t="s">
        <v>3584</v>
      </c>
      <c r="G1504" s="5" t="s">
        <v>4255</v>
      </c>
      <c r="H1504" s="5" t="s">
        <v>3838</v>
      </c>
      <c r="I1504" s="5" t="s">
        <v>3448</v>
      </c>
      <c r="J1504" s="5" t="s">
        <v>3783</v>
      </c>
      <c r="K1504" s="5" t="s">
        <v>4363</v>
      </c>
      <c r="L1504" s="5">
        <v>28</v>
      </c>
      <c r="M1504" s="5">
        <v>1</v>
      </c>
      <c r="N1504" s="5" t="s">
        <v>3585</v>
      </c>
      <c r="O1504" s="5" t="s">
        <v>4256</v>
      </c>
      <c r="P1504" s="5">
        <v>4</v>
      </c>
      <c r="Q1504" s="5">
        <v>1</v>
      </c>
      <c r="R1504" s="5" t="s">
        <v>3839</v>
      </c>
      <c r="S1504" s="5">
        <v>33</v>
      </c>
      <c r="T1504" s="5">
        <v>33</v>
      </c>
      <c r="U1504" s="5">
        <v>33</v>
      </c>
    </row>
    <row r="1505" spans="1:21" x14ac:dyDescent="0.25">
      <c r="A1505" s="5" t="s">
        <v>4905</v>
      </c>
      <c r="B1505" s="5" t="s">
        <v>4906</v>
      </c>
      <c r="C1505" s="5" t="s">
        <v>3548</v>
      </c>
      <c r="D1505" s="5" t="s">
        <v>3782</v>
      </c>
      <c r="E1505" s="5" t="s">
        <v>4363</v>
      </c>
      <c r="F1505" s="5" t="s">
        <v>3584</v>
      </c>
      <c r="G1505" s="5" t="s">
        <v>4255</v>
      </c>
      <c r="H1505" s="5" t="s">
        <v>3848</v>
      </c>
      <c r="I1505" s="5" t="s">
        <v>3448</v>
      </c>
      <c r="J1505" s="5" t="s">
        <v>3783</v>
      </c>
      <c r="K1505" s="5" t="s">
        <v>4363</v>
      </c>
      <c r="L1505" s="5">
        <v>28</v>
      </c>
      <c r="M1505" s="5">
        <v>1</v>
      </c>
      <c r="N1505" s="5" t="s">
        <v>3585</v>
      </c>
      <c r="O1505" s="5" t="s">
        <v>4256</v>
      </c>
      <c r="P1505" s="5">
        <v>4</v>
      </c>
      <c r="Q1505" s="5">
        <v>1</v>
      </c>
      <c r="R1505" s="5" t="s">
        <v>3849</v>
      </c>
      <c r="S1505" s="5">
        <v>32</v>
      </c>
      <c r="T1505" s="5">
        <v>32</v>
      </c>
      <c r="U1505" s="5">
        <v>32</v>
      </c>
    </row>
    <row r="1506" spans="1:21" x14ac:dyDescent="0.25">
      <c r="A1506" s="5" t="s">
        <v>4907</v>
      </c>
      <c r="B1506" s="5" t="s">
        <v>4908</v>
      </c>
      <c r="C1506" s="5" t="s">
        <v>3548</v>
      </c>
      <c r="D1506" s="5" t="s">
        <v>3782</v>
      </c>
      <c r="E1506" s="5" t="s">
        <v>4363</v>
      </c>
      <c r="F1506" s="5" t="s">
        <v>3584</v>
      </c>
      <c r="G1506" s="5" t="s">
        <v>4255</v>
      </c>
      <c r="H1506" s="5" t="s">
        <v>3816</v>
      </c>
      <c r="I1506" s="5" t="s">
        <v>3448</v>
      </c>
      <c r="J1506" s="5" t="s">
        <v>3783</v>
      </c>
      <c r="K1506" s="5" t="s">
        <v>4363</v>
      </c>
      <c r="L1506" s="5">
        <v>28</v>
      </c>
      <c r="M1506" s="5">
        <v>1</v>
      </c>
      <c r="N1506" s="5" t="s">
        <v>3585</v>
      </c>
      <c r="O1506" s="5" t="s">
        <v>4256</v>
      </c>
      <c r="P1506" s="5">
        <v>4</v>
      </c>
      <c r="Q1506" s="5">
        <v>1</v>
      </c>
      <c r="R1506" s="5" t="s">
        <v>3817</v>
      </c>
      <c r="S1506" s="5">
        <v>31</v>
      </c>
      <c r="T1506" s="5">
        <v>31</v>
      </c>
      <c r="U1506" s="5">
        <v>31</v>
      </c>
    </row>
    <row r="1507" spans="1:21" x14ac:dyDescent="0.25">
      <c r="A1507" s="5" t="s">
        <v>4909</v>
      </c>
      <c r="B1507" s="5" t="s">
        <v>4910</v>
      </c>
      <c r="C1507" s="5" t="s">
        <v>3548</v>
      </c>
      <c r="D1507" s="5" t="s">
        <v>3782</v>
      </c>
      <c r="E1507" s="5" t="s">
        <v>4363</v>
      </c>
      <c r="F1507" s="5" t="s">
        <v>3584</v>
      </c>
      <c r="G1507" s="5" t="s">
        <v>4417</v>
      </c>
      <c r="H1507" s="5" t="s">
        <v>3838</v>
      </c>
      <c r="I1507" s="5" t="s">
        <v>3448</v>
      </c>
      <c r="J1507" s="5" t="s">
        <v>3783</v>
      </c>
      <c r="K1507" s="5" t="s">
        <v>4363</v>
      </c>
      <c r="L1507" s="5">
        <v>28</v>
      </c>
      <c r="M1507" s="5">
        <v>1</v>
      </c>
      <c r="N1507" s="5" t="s">
        <v>3585</v>
      </c>
      <c r="O1507" s="5" t="s">
        <v>4418</v>
      </c>
      <c r="P1507" s="5">
        <v>4</v>
      </c>
      <c r="Q1507" s="5">
        <v>1</v>
      </c>
      <c r="R1507" s="5" t="s">
        <v>3839</v>
      </c>
      <c r="S1507" s="5">
        <v>21</v>
      </c>
      <c r="T1507" s="5">
        <v>21</v>
      </c>
      <c r="U1507" s="5">
        <v>21</v>
      </c>
    </row>
    <row r="1508" spans="1:21" x14ac:dyDescent="0.25">
      <c r="A1508" s="5" t="s">
        <v>4911</v>
      </c>
      <c r="B1508" s="5" t="s">
        <v>4912</v>
      </c>
      <c r="C1508" s="5" t="s">
        <v>3548</v>
      </c>
      <c r="D1508" s="5" t="s">
        <v>3782</v>
      </c>
      <c r="E1508" s="5" t="s">
        <v>4363</v>
      </c>
      <c r="F1508" s="5" t="s">
        <v>3584</v>
      </c>
      <c r="G1508" s="5" t="s">
        <v>4417</v>
      </c>
      <c r="H1508" s="5" t="s">
        <v>3816</v>
      </c>
      <c r="I1508" s="5" t="s">
        <v>3448</v>
      </c>
      <c r="J1508" s="5" t="s">
        <v>3783</v>
      </c>
      <c r="K1508" s="5" t="s">
        <v>4363</v>
      </c>
      <c r="L1508" s="5">
        <v>28</v>
      </c>
      <c r="M1508" s="5">
        <v>1</v>
      </c>
      <c r="N1508" s="5" t="s">
        <v>3585</v>
      </c>
      <c r="O1508" s="5" t="s">
        <v>4418</v>
      </c>
      <c r="P1508" s="5">
        <v>4</v>
      </c>
      <c r="Q1508" s="5">
        <v>1</v>
      </c>
      <c r="R1508" s="5" t="s">
        <v>3817</v>
      </c>
      <c r="S1508" s="5">
        <v>20</v>
      </c>
      <c r="T1508" s="5">
        <v>20</v>
      </c>
      <c r="U1508" s="5">
        <v>20</v>
      </c>
    </row>
    <row r="1509" spans="1:21" x14ac:dyDescent="0.25">
      <c r="A1509" s="5" t="s">
        <v>4943</v>
      </c>
      <c r="B1509" s="5" t="s">
        <v>4944</v>
      </c>
      <c r="C1509" s="5" t="s">
        <v>3548</v>
      </c>
      <c r="D1509" s="5" t="s">
        <v>3782</v>
      </c>
      <c r="E1509" s="5" t="s">
        <v>4363</v>
      </c>
      <c r="F1509" s="5" t="s">
        <v>4004</v>
      </c>
      <c r="G1509" s="5" t="s">
        <v>3493</v>
      </c>
      <c r="H1509" s="5" t="s">
        <v>3838</v>
      </c>
      <c r="I1509" s="5" t="s">
        <v>3448</v>
      </c>
      <c r="J1509" s="5" t="s">
        <v>3783</v>
      </c>
      <c r="K1509" s="5" t="s">
        <v>4363</v>
      </c>
      <c r="L1509" s="5">
        <v>28</v>
      </c>
      <c r="M1509" s="5">
        <v>1</v>
      </c>
      <c r="N1509" s="5" t="s">
        <v>4005</v>
      </c>
      <c r="O1509" s="5" t="s">
        <v>3494</v>
      </c>
      <c r="P1509" s="5">
        <v>4</v>
      </c>
      <c r="Q1509" s="5">
        <v>1</v>
      </c>
      <c r="R1509" s="5" t="s">
        <v>3839</v>
      </c>
      <c r="S1509" s="5">
        <v>25</v>
      </c>
      <c r="T1509" s="5">
        <v>25</v>
      </c>
      <c r="U1509" s="5">
        <v>25</v>
      </c>
    </row>
    <row r="1510" spans="1:21" x14ac:dyDescent="0.25">
      <c r="A1510" s="5" t="s">
        <v>4945</v>
      </c>
      <c r="B1510" s="5" t="s">
        <v>4946</v>
      </c>
      <c r="C1510" s="5" t="s">
        <v>3548</v>
      </c>
      <c r="D1510" s="5" t="s">
        <v>3782</v>
      </c>
      <c r="E1510" s="5" t="s">
        <v>4363</v>
      </c>
      <c r="F1510" s="5" t="s">
        <v>4004</v>
      </c>
      <c r="G1510" s="5" t="s">
        <v>3493</v>
      </c>
      <c r="H1510" s="5" t="s">
        <v>3848</v>
      </c>
      <c r="I1510" s="5" t="s">
        <v>3448</v>
      </c>
      <c r="J1510" s="5" t="s">
        <v>3783</v>
      </c>
      <c r="K1510" s="5" t="s">
        <v>4363</v>
      </c>
      <c r="L1510" s="5">
        <v>28</v>
      </c>
      <c r="M1510" s="5">
        <v>1</v>
      </c>
      <c r="N1510" s="5" t="s">
        <v>4005</v>
      </c>
      <c r="O1510" s="5" t="s">
        <v>3494</v>
      </c>
      <c r="P1510" s="5">
        <v>4</v>
      </c>
      <c r="Q1510" s="5">
        <v>1</v>
      </c>
      <c r="R1510" s="5" t="s">
        <v>3849</v>
      </c>
      <c r="S1510" s="5">
        <v>25</v>
      </c>
      <c r="T1510" s="5">
        <v>25</v>
      </c>
      <c r="U1510" s="5">
        <v>25</v>
      </c>
    </row>
    <row r="1511" spans="1:21" x14ac:dyDescent="0.25">
      <c r="A1511" s="5" t="s">
        <v>4947</v>
      </c>
      <c r="B1511" s="5" t="s">
        <v>4948</v>
      </c>
      <c r="C1511" s="5" t="s">
        <v>3548</v>
      </c>
      <c r="D1511" s="5" t="s">
        <v>3782</v>
      </c>
      <c r="E1511" s="5" t="s">
        <v>4363</v>
      </c>
      <c r="F1511" s="5" t="s">
        <v>4004</v>
      </c>
      <c r="G1511" s="5" t="s">
        <v>3493</v>
      </c>
      <c r="H1511" s="5" t="s">
        <v>3816</v>
      </c>
      <c r="I1511" s="5" t="s">
        <v>3448</v>
      </c>
      <c r="J1511" s="5" t="s">
        <v>3783</v>
      </c>
      <c r="K1511" s="5" t="s">
        <v>4363</v>
      </c>
      <c r="L1511" s="5">
        <v>28</v>
      </c>
      <c r="M1511" s="5">
        <v>1</v>
      </c>
      <c r="N1511" s="5" t="s">
        <v>4005</v>
      </c>
      <c r="O1511" s="5" t="s">
        <v>3494</v>
      </c>
      <c r="P1511" s="5">
        <v>4</v>
      </c>
      <c r="Q1511" s="5">
        <v>1</v>
      </c>
      <c r="R1511" s="5" t="s">
        <v>3817</v>
      </c>
      <c r="S1511" s="5">
        <v>24</v>
      </c>
      <c r="T1511" s="5">
        <v>24</v>
      </c>
      <c r="U1511" s="5">
        <v>24</v>
      </c>
    </row>
    <row r="1512" spans="1:21" x14ac:dyDescent="0.25">
      <c r="A1512" s="5" t="s">
        <v>4951</v>
      </c>
      <c r="B1512" s="5" t="s">
        <v>4952</v>
      </c>
      <c r="C1512" s="5" t="s">
        <v>3548</v>
      </c>
      <c r="D1512" s="5" t="s">
        <v>3782</v>
      </c>
      <c r="E1512" s="5" t="s">
        <v>4363</v>
      </c>
      <c r="F1512" s="5" t="s">
        <v>4004</v>
      </c>
      <c r="G1512" s="5" t="s">
        <v>4255</v>
      </c>
      <c r="H1512" s="5" t="s">
        <v>3838</v>
      </c>
      <c r="I1512" s="5" t="s">
        <v>3448</v>
      </c>
      <c r="J1512" s="5" t="s">
        <v>3783</v>
      </c>
      <c r="K1512" s="5" t="s">
        <v>4363</v>
      </c>
      <c r="L1512" s="5">
        <v>28</v>
      </c>
      <c r="M1512" s="5">
        <v>1</v>
      </c>
      <c r="N1512" s="5" t="s">
        <v>4005</v>
      </c>
      <c r="O1512" s="5" t="s">
        <v>4256</v>
      </c>
      <c r="P1512" s="5">
        <v>4</v>
      </c>
      <c r="Q1512" s="5">
        <v>1</v>
      </c>
      <c r="R1512" s="5" t="s">
        <v>3839</v>
      </c>
      <c r="S1512" s="5">
        <v>31</v>
      </c>
      <c r="T1512" s="5">
        <v>31</v>
      </c>
      <c r="U1512" s="5">
        <v>31</v>
      </c>
    </row>
    <row r="1513" spans="1:21" x14ac:dyDescent="0.25">
      <c r="A1513" s="5" t="s">
        <v>4953</v>
      </c>
      <c r="B1513" s="5" t="s">
        <v>4954</v>
      </c>
      <c r="C1513" s="5" t="s">
        <v>3548</v>
      </c>
      <c r="D1513" s="5" t="s">
        <v>3782</v>
      </c>
      <c r="E1513" s="5" t="s">
        <v>4363</v>
      </c>
      <c r="F1513" s="5" t="s">
        <v>4004</v>
      </c>
      <c r="G1513" s="5" t="s">
        <v>4255</v>
      </c>
      <c r="H1513" s="5" t="s">
        <v>3848</v>
      </c>
      <c r="I1513" s="5" t="s">
        <v>3448</v>
      </c>
      <c r="J1513" s="5" t="s">
        <v>3783</v>
      </c>
      <c r="K1513" s="5" t="s">
        <v>4363</v>
      </c>
      <c r="L1513" s="5">
        <v>28</v>
      </c>
      <c r="M1513" s="5">
        <v>1</v>
      </c>
      <c r="N1513" s="5" t="s">
        <v>4005</v>
      </c>
      <c r="O1513" s="5" t="s">
        <v>4256</v>
      </c>
      <c r="P1513" s="5">
        <v>4</v>
      </c>
      <c r="Q1513" s="5">
        <v>1</v>
      </c>
      <c r="R1513" s="5" t="s">
        <v>3849</v>
      </c>
      <c r="S1513" s="5">
        <v>32</v>
      </c>
      <c r="T1513" s="5">
        <v>32</v>
      </c>
      <c r="U1513" s="5">
        <v>32</v>
      </c>
    </row>
    <row r="1514" spans="1:21" x14ac:dyDescent="0.25">
      <c r="A1514" s="5" t="s">
        <v>4955</v>
      </c>
      <c r="B1514" s="5" t="s">
        <v>4956</v>
      </c>
      <c r="C1514" s="5" t="s">
        <v>3548</v>
      </c>
      <c r="D1514" s="5" t="s">
        <v>3782</v>
      </c>
      <c r="E1514" s="5" t="s">
        <v>4363</v>
      </c>
      <c r="F1514" s="5" t="s">
        <v>4004</v>
      </c>
      <c r="G1514" s="5" t="s">
        <v>4255</v>
      </c>
      <c r="H1514" s="5" t="s">
        <v>3816</v>
      </c>
      <c r="I1514" s="5" t="s">
        <v>3448</v>
      </c>
      <c r="J1514" s="5" t="s">
        <v>3783</v>
      </c>
      <c r="K1514" s="5" t="s">
        <v>4363</v>
      </c>
      <c r="L1514" s="5">
        <v>28</v>
      </c>
      <c r="M1514" s="5">
        <v>1</v>
      </c>
      <c r="N1514" s="5" t="s">
        <v>4005</v>
      </c>
      <c r="O1514" s="5" t="s">
        <v>4256</v>
      </c>
      <c r="P1514" s="5">
        <v>4</v>
      </c>
      <c r="Q1514" s="5">
        <v>1</v>
      </c>
      <c r="R1514" s="5" t="s">
        <v>3817</v>
      </c>
      <c r="S1514" s="5">
        <v>31</v>
      </c>
      <c r="T1514" s="5">
        <v>31</v>
      </c>
      <c r="U1514" s="5">
        <v>31</v>
      </c>
    </row>
    <row r="1515" spans="1:21" x14ac:dyDescent="0.25">
      <c r="A1515" s="5" t="s">
        <v>4959</v>
      </c>
      <c r="B1515" s="5" t="s">
        <v>4960</v>
      </c>
      <c r="C1515" s="5" t="s">
        <v>3548</v>
      </c>
      <c r="D1515" s="5" t="s">
        <v>3782</v>
      </c>
      <c r="E1515" s="5" t="s">
        <v>4363</v>
      </c>
      <c r="F1515" s="5" t="s">
        <v>4004</v>
      </c>
      <c r="G1515" s="5" t="s">
        <v>4417</v>
      </c>
      <c r="H1515" s="5" t="s">
        <v>3838</v>
      </c>
      <c r="I1515" s="5" t="s">
        <v>3448</v>
      </c>
      <c r="J1515" s="5" t="s">
        <v>3783</v>
      </c>
      <c r="K1515" s="5" t="s">
        <v>4363</v>
      </c>
      <c r="L1515" s="5">
        <v>28</v>
      </c>
      <c r="M1515" s="5">
        <v>1</v>
      </c>
      <c r="N1515" s="5" t="s">
        <v>4005</v>
      </c>
      <c r="O1515" s="5" t="s">
        <v>4418</v>
      </c>
      <c r="P1515" s="5">
        <v>4</v>
      </c>
      <c r="Q1515" s="5">
        <v>1</v>
      </c>
      <c r="R1515" s="5" t="s">
        <v>3839</v>
      </c>
      <c r="S1515" s="5">
        <v>20</v>
      </c>
      <c r="T1515" s="5">
        <v>20</v>
      </c>
      <c r="U1515" s="5">
        <v>20</v>
      </c>
    </row>
    <row r="1516" spans="1:21" x14ac:dyDescent="0.25">
      <c r="A1516" s="5" t="s">
        <v>4961</v>
      </c>
      <c r="B1516" s="5" t="s">
        <v>4962</v>
      </c>
      <c r="C1516" s="5" t="s">
        <v>3548</v>
      </c>
      <c r="D1516" s="5" t="s">
        <v>3782</v>
      </c>
      <c r="E1516" s="5" t="s">
        <v>4363</v>
      </c>
      <c r="F1516" s="5" t="s">
        <v>4004</v>
      </c>
      <c r="G1516" s="5" t="s">
        <v>4417</v>
      </c>
      <c r="H1516" s="5" t="s">
        <v>3848</v>
      </c>
      <c r="I1516" s="5" t="s">
        <v>3448</v>
      </c>
      <c r="J1516" s="5" t="s">
        <v>3783</v>
      </c>
      <c r="K1516" s="5" t="s">
        <v>4363</v>
      </c>
      <c r="L1516" s="5">
        <v>28</v>
      </c>
      <c r="M1516" s="5">
        <v>1</v>
      </c>
      <c r="N1516" s="5" t="s">
        <v>4005</v>
      </c>
      <c r="O1516" s="5" t="s">
        <v>4418</v>
      </c>
      <c r="P1516" s="5">
        <v>4</v>
      </c>
      <c r="Q1516" s="5">
        <v>1</v>
      </c>
      <c r="R1516" s="5" t="s">
        <v>3849</v>
      </c>
      <c r="S1516" s="5">
        <v>20</v>
      </c>
      <c r="T1516" s="5">
        <v>20</v>
      </c>
      <c r="U1516" s="5">
        <v>20</v>
      </c>
    </row>
    <row r="1517" spans="1:21" x14ac:dyDescent="0.25">
      <c r="A1517" s="5" t="s">
        <v>4963</v>
      </c>
      <c r="B1517" s="5" t="s">
        <v>4964</v>
      </c>
      <c r="C1517" s="5" t="s">
        <v>3548</v>
      </c>
      <c r="D1517" s="5" t="s">
        <v>3782</v>
      </c>
      <c r="E1517" s="5" t="s">
        <v>4363</v>
      </c>
      <c r="F1517" s="5" t="s">
        <v>4004</v>
      </c>
      <c r="G1517" s="5" t="s">
        <v>4417</v>
      </c>
      <c r="H1517" s="5" t="s">
        <v>3816</v>
      </c>
      <c r="I1517" s="5" t="s">
        <v>3448</v>
      </c>
      <c r="J1517" s="5" t="s">
        <v>3783</v>
      </c>
      <c r="K1517" s="5" t="s">
        <v>4363</v>
      </c>
      <c r="L1517" s="5">
        <v>28</v>
      </c>
      <c r="M1517" s="5">
        <v>1</v>
      </c>
      <c r="N1517" s="5" t="s">
        <v>4005</v>
      </c>
      <c r="O1517" s="5" t="s">
        <v>4418</v>
      </c>
      <c r="P1517" s="5">
        <v>4</v>
      </c>
      <c r="Q1517" s="5">
        <v>1</v>
      </c>
      <c r="R1517" s="5" t="s">
        <v>3817</v>
      </c>
      <c r="S1517" s="5">
        <v>20</v>
      </c>
      <c r="T1517" s="5">
        <v>20</v>
      </c>
      <c r="U1517" s="5">
        <v>20</v>
      </c>
    </row>
    <row r="1518" spans="1:21" x14ac:dyDescent="0.25">
      <c r="A1518" s="5" t="s">
        <v>4370</v>
      </c>
      <c r="B1518" s="5" t="s">
        <v>4371</v>
      </c>
      <c r="C1518" s="5" t="s">
        <v>3548</v>
      </c>
      <c r="D1518" s="5" t="s">
        <v>3782</v>
      </c>
      <c r="E1518" s="5" t="s">
        <v>4363</v>
      </c>
      <c r="F1518" s="5" t="s">
        <v>4004</v>
      </c>
      <c r="G1518" s="5" t="s">
        <v>4255</v>
      </c>
      <c r="H1518" s="5"/>
      <c r="I1518" s="5" t="s">
        <v>3448</v>
      </c>
      <c r="J1518" s="5" t="s">
        <v>3783</v>
      </c>
      <c r="K1518" s="5" t="s">
        <v>4363</v>
      </c>
      <c r="L1518" s="5">
        <v>15</v>
      </c>
      <c r="M1518" s="5">
        <v>1</v>
      </c>
      <c r="N1518" s="5" t="s">
        <v>4005</v>
      </c>
      <c r="O1518" s="5" t="s">
        <v>4256</v>
      </c>
      <c r="P1518" s="5">
        <v>2</v>
      </c>
      <c r="Q1518" s="5">
        <v>1</v>
      </c>
      <c r="R1518" s="5"/>
      <c r="S1518" s="5">
        <v>22</v>
      </c>
      <c r="T1518" s="5">
        <v>22</v>
      </c>
      <c r="U1518" s="5">
        <v>22</v>
      </c>
    </row>
    <row r="1519" spans="1:21" x14ac:dyDescent="0.25">
      <c r="A1519" s="5" t="s">
        <v>4413</v>
      </c>
      <c r="B1519" s="5" t="s">
        <v>4414</v>
      </c>
      <c r="C1519" s="5" t="s">
        <v>3548</v>
      </c>
      <c r="D1519" s="5" t="s">
        <v>3782</v>
      </c>
      <c r="E1519" s="5" t="s">
        <v>4363</v>
      </c>
      <c r="F1519" s="5" t="s">
        <v>4004</v>
      </c>
      <c r="G1519" s="5" t="s">
        <v>4255</v>
      </c>
      <c r="H1519" s="5"/>
      <c r="I1519" s="5" t="s">
        <v>3448</v>
      </c>
      <c r="J1519" s="5" t="s">
        <v>3783</v>
      </c>
      <c r="K1519" s="5" t="s">
        <v>4363</v>
      </c>
      <c r="L1519" s="5">
        <v>17</v>
      </c>
      <c r="M1519" s="5">
        <v>2</v>
      </c>
      <c r="N1519" s="5" t="s">
        <v>4005</v>
      </c>
      <c r="O1519" s="5" t="s">
        <v>4256</v>
      </c>
      <c r="P1519" s="5">
        <v>2</v>
      </c>
      <c r="Q1519" s="5">
        <v>1</v>
      </c>
      <c r="R1519" s="5"/>
      <c r="S1519" s="5">
        <v>41</v>
      </c>
      <c r="T1519" s="5">
        <v>41</v>
      </c>
      <c r="U1519" s="5">
        <v>41</v>
      </c>
    </row>
    <row r="1520" spans="1:21" x14ac:dyDescent="0.25">
      <c r="A1520" s="5" t="s">
        <v>4423</v>
      </c>
      <c r="B1520" s="5" t="s">
        <v>4424</v>
      </c>
      <c r="C1520" s="5" t="s">
        <v>3548</v>
      </c>
      <c r="D1520" s="5" t="s">
        <v>3782</v>
      </c>
      <c r="E1520" s="5" t="s">
        <v>4363</v>
      </c>
      <c r="F1520" s="5" t="s">
        <v>4004</v>
      </c>
      <c r="G1520" s="5" t="s">
        <v>4255</v>
      </c>
      <c r="H1520" s="5"/>
      <c r="I1520" s="5" t="s">
        <v>3448</v>
      </c>
      <c r="J1520" s="5" t="s">
        <v>3783</v>
      </c>
      <c r="K1520" s="5" t="s">
        <v>4363</v>
      </c>
      <c r="L1520" s="5">
        <v>17</v>
      </c>
      <c r="M1520" s="5">
        <v>2</v>
      </c>
      <c r="N1520" s="5" t="s">
        <v>4005</v>
      </c>
      <c r="O1520" s="5" t="s">
        <v>4256</v>
      </c>
      <c r="P1520" s="5">
        <v>3</v>
      </c>
      <c r="Q1520" s="5">
        <v>1</v>
      </c>
      <c r="R1520" s="5"/>
      <c r="S1520" s="5">
        <v>57</v>
      </c>
      <c r="T1520" s="5">
        <v>57</v>
      </c>
      <c r="U1520" s="5">
        <v>57</v>
      </c>
    </row>
    <row r="1521" spans="1:21" x14ac:dyDescent="0.25">
      <c r="A1521" s="5" t="s">
        <v>4439</v>
      </c>
      <c r="B1521" s="5" t="s">
        <v>4440</v>
      </c>
      <c r="C1521" s="5" t="s">
        <v>3548</v>
      </c>
      <c r="D1521" s="5" t="s">
        <v>3782</v>
      </c>
      <c r="E1521" s="5" t="s">
        <v>4363</v>
      </c>
      <c r="F1521" s="5" t="s">
        <v>4004</v>
      </c>
      <c r="G1521" s="5" t="s">
        <v>4255</v>
      </c>
      <c r="H1521" s="5"/>
      <c r="I1521" s="5" t="s">
        <v>3448</v>
      </c>
      <c r="J1521" s="5" t="s">
        <v>3783</v>
      </c>
      <c r="K1521" s="5" t="s">
        <v>4363</v>
      </c>
      <c r="L1521" s="5">
        <v>17</v>
      </c>
      <c r="M1521" s="5">
        <v>1</v>
      </c>
      <c r="N1521" s="5" t="s">
        <v>4005</v>
      </c>
      <c r="O1521" s="5" t="s">
        <v>4256</v>
      </c>
      <c r="P1521" s="5">
        <v>2</v>
      </c>
      <c r="Q1521" s="5">
        <v>1</v>
      </c>
      <c r="R1521" s="5"/>
      <c r="S1521" s="5">
        <v>22</v>
      </c>
      <c r="T1521" s="5">
        <v>22</v>
      </c>
      <c r="U1521" s="5">
        <v>22</v>
      </c>
    </row>
    <row r="1522" spans="1:21" x14ac:dyDescent="0.25">
      <c r="A1522" s="5" t="s">
        <v>4461</v>
      </c>
      <c r="B1522" s="5" t="s">
        <v>4462</v>
      </c>
      <c r="C1522" s="5" t="s">
        <v>3548</v>
      </c>
      <c r="D1522" s="5" t="s">
        <v>3782</v>
      </c>
      <c r="E1522" s="5" t="s">
        <v>4363</v>
      </c>
      <c r="F1522" s="5" t="s">
        <v>4004</v>
      </c>
      <c r="G1522" s="5" t="s">
        <v>4255</v>
      </c>
      <c r="H1522" s="5"/>
      <c r="I1522" s="5" t="s">
        <v>3448</v>
      </c>
      <c r="J1522" s="5" t="s">
        <v>3783</v>
      </c>
      <c r="K1522" s="5" t="s">
        <v>4363</v>
      </c>
      <c r="L1522" s="5">
        <v>17</v>
      </c>
      <c r="M1522" s="5">
        <v>3</v>
      </c>
      <c r="N1522" s="5" t="s">
        <v>4005</v>
      </c>
      <c r="O1522" s="5" t="s">
        <v>4256</v>
      </c>
      <c r="P1522" s="5">
        <v>2</v>
      </c>
      <c r="Q1522" s="5">
        <v>1</v>
      </c>
      <c r="R1522" s="5"/>
      <c r="S1522" s="5">
        <v>59</v>
      </c>
      <c r="T1522" s="5">
        <v>59</v>
      </c>
      <c r="U1522" s="5">
        <v>59</v>
      </c>
    </row>
    <row r="1523" spans="1:21" x14ac:dyDescent="0.25">
      <c r="A1523" s="5" t="s">
        <v>4467</v>
      </c>
      <c r="B1523" s="5" t="s">
        <v>4468</v>
      </c>
      <c r="C1523" s="5" t="s">
        <v>3548</v>
      </c>
      <c r="D1523" s="5" t="s">
        <v>3782</v>
      </c>
      <c r="E1523" s="5" t="s">
        <v>4363</v>
      </c>
      <c r="F1523" s="5" t="s">
        <v>4004</v>
      </c>
      <c r="G1523" s="5" t="s">
        <v>4255</v>
      </c>
      <c r="H1523" s="5"/>
      <c r="I1523" s="5" t="s">
        <v>3448</v>
      </c>
      <c r="J1523" s="5" t="s">
        <v>3783</v>
      </c>
      <c r="K1523" s="5" t="s">
        <v>4363</v>
      </c>
      <c r="L1523" s="5">
        <v>17</v>
      </c>
      <c r="M1523" s="5">
        <v>3</v>
      </c>
      <c r="N1523" s="5" t="s">
        <v>4005</v>
      </c>
      <c r="O1523" s="5" t="s">
        <v>4256</v>
      </c>
      <c r="P1523" s="5">
        <v>3</v>
      </c>
      <c r="Q1523" s="5">
        <v>1</v>
      </c>
      <c r="R1523" s="5"/>
      <c r="S1523" s="5">
        <v>83</v>
      </c>
      <c r="T1523" s="5">
        <v>83</v>
      </c>
      <c r="U1523" s="5">
        <v>83</v>
      </c>
    </row>
    <row r="1524" spans="1:21" x14ac:dyDescent="0.25">
      <c r="A1524" s="5" t="s">
        <v>4469</v>
      </c>
      <c r="B1524" s="5" t="s">
        <v>4470</v>
      </c>
      <c r="C1524" s="5" t="s">
        <v>3548</v>
      </c>
      <c r="D1524" s="5" t="s">
        <v>3782</v>
      </c>
      <c r="E1524" s="5" t="s">
        <v>4363</v>
      </c>
      <c r="F1524" s="5" t="s">
        <v>4004</v>
      </c>
      <c r="G1524" s="5" t="s">
        <v>4255</v>
      </c>
      <c r="H1524" s="5"/>
      <c r="I1524" s="5" t="s">
        <v>3448</v>
      </c>
      <c r="J1524" s="5" t="s">
        <v>3783</v>
      </c>
      <c r="K1524" s="5" t="s">
        <v>4363</v>
      </c>
      <c r="L1524" s="5">
        <v>17</v>
      </c>
      <c r="M1524" s="5">
        <v>1</v>
      </c>
      <c r="N1524" s="5" t="s">
        <v>4005</v>
      </c>
      <c r="O1524" s="5" t="s">
        <v>4256</v>
      </c>
      <c r="P1524" s="5">
        <v>3</v>
      </c>
      <c r="Q1524" s="5">
        <v>1</v>
      </c>
      <c r="R1524" s="5"/>
      <c r="S1524" s="5">
        <v>30</v>
      </c>
      <c r="T1524" s="5">
        <v>30</v>
      </c>
      <c r="U1524" s="5">
        <v>30</v>
      </c>
    </row>
    <row r="1525" spans="1:21" x14ac:dyDescent="0.25">
      <c r="A1525" s="5" t="s">
        <v>4483</v>
      </c>
      <c r="B1525" s="5" t="s">
        <v>4484</v>
      </c>
      <c r="C1525" s="5" t="s">
        <v>3548</v>
      </c>
      <c r="D1525" s="5" t="s">
        <v>3782</v>
      </c>
      <c r="E1525" s="5" t="s">
        <v>4363</v>
      </c>
      <c r="F1525" s="5" t="s">
        <v>4004</v>
      </c>
      <c r="G1525" s="5" t="s">
        <v>4255</v>
      </c>
      <c r="H1525" s="5"/>
      <c r="I1525" s="5" t="s">
        <v>3448</v>
      </c>
      <c r="J1525" s="5" t="s">
        <v>3783</v>
      </c>
      <c r="K1525" s="5" t="s">
        <v>4363</v>
      </c>
      <c r="L1525" s="5">
        <v>17</v>
      </c>
      <c r="M1525" s="5">
        <v>4</v>
      </c>
      <c r="N1525" s="5" t="s">
        <v>4005</v>
      </c>
      <c r="O1525" s="5" t="s">
        <v>4256</v>
      </c>
      <c r="P1525" s="5">
        <v>2</v>
      </c>
      <c r="Q1525" s="5">
        <v>1</v>
      </c>
      <c r="R1525" s="5"/>
      <c r="S1525" s="5">
        <v>81</v>
      </c>
      <c r="T1525" s="5">
        <v>81</v>
      </c>
      <c r="U1525" s="5">
        <v>81</v>
      </c>
    </row>
    <row r="1526" spans="1:21" x14ac:dyDescent="0.25">
      <c r="A1526" s="5" t="s">
        <v>4493</v>
      </c>
      <c r="B1526" s="5" t="s">
        <v>4494</v>
      </c>
      <c r="C1526" s="5" t="s">
        <v>3548</v>
      </c>
      <c r="D1526" s="5" t="s">
        <v>3782</v>
      </c>
      <c r="E1526" s="5" t="s">
        <v>4363</v>
      </c>
      <c r="F1526" s="5" t="s">
        <v>4004</v>
      </c>
      <c r="G1526" s="5" t="s">
        <v>4255</v>
      </c>
      <c r="H1526" s="5"/>
      <c r="I1526" s="5" t="s">
        <v>3448</v>
      </c>
      <c r="J1526" s="5" t="s">
        <v>3783</v>
      </c>
      <c r="K1526" s="5" t="s">
        <v>4363</v>
      </c>
      <c r="L1526" s="5">
        <v>25</v>
      </c>
      <c r="M1526" s="5">
        <v>10</v>
      </c>
      <c r="N1526" s="5" t="s">
        <v>4005</v>
      </c>
      <c r="O1526" s="5" t="s">
        <v>4256</v>
      </c>
      <c r="P1526" s="5">
        <v>4</v>
      </c>
      <c r="Q1526" s="5">
        <v>3</v>
      </c>
      <c r="R1526" s="5"/>
      <c r="S1526" s="5">
        <v>280</v>
      </c>
      <c r="T1526" s="5">
        <v>280</v>
      </c>
      <c r="U1526" s="5">
        <v>280</v>
      </c>
    </row>
    <row r="1527" spans="1:21" x14ac:dyDescent="0.25">
      <c r="A1527" s="5" t="s">
        <v>5001</v>
      </c>
      <c r="B1527" s="5" t="s">
        <v>5002</v>
      </c>
      <c r="C1527" s="5" t="s">
        <v>3548</v>
      </c>
      <c r="D1527" s="5" t="s">
        <v>3782</v>
      </c>
      <c r="E1527" s="5" t="s">
        <v>4363</v>
      </c>
      <c r="F1527" s="5" t="s">
        <v>3584</v>
      </c>
      <c r="G1527" s="5" t="s">
        <v>3493</v>
      </c>
      <c r="H1527" s="5" t="s">
        <v>3816</v>
      </c>
      <c r="I1527" s="5" t="s">
        <v>3448</v>
      </c>
      <c r="J1527" s="5" t="s">
        <v>3783</v>
      </c>
      <c r="K1527" s="5" t="s">
        <v>4363</v>
      </c>
      <c r="L1527" s="5">
        <v>30</v>
      </c>
      <c r="M1527" s="5">
        <v>2</v>
      </c>
      <c r="N1527" s="5" t="s">
        <v>3585</v>
      </c>
      <c r="O1527" s="5" t="s">
        <v>3494</v>
      </c>
      <c r="P1527" s="5">
        <v>4</v>
      </c>
      <c r="Q1527" s="5">
        <v>1</v>
      </c>
      <c r="R1527" s="5" t="s">
        <v>3817</v>
      </c>
      <c r="S1527" s="5">
        <v>52</v>
      </c>
      <c r="T1527" s="5">
        <v>52</v>
      </c>
      <c r="U1527" s="5">
        <v>52</v>
      </c>
    </row>
    <row r="1528" spans="1:21" x14ac:dyDescent="0.25">
      <c r="A1528" s="5" t="s">
        <v>4499</v>
      </c>
      <c r="B1528" s="5" t="s">
        <v>4500</v>
      </c>
      <c r="C1528" s="5" t="s">
        <v>3548</v>
      </c>
      <c r="D1528" s="5" t="s">
        <v>3782</v>
      </c>
      <c r="E1528" s="5" t="s">
        <v>4363</v>
      </c>
      <c r="F1528" s="5" t="s">
        <v>4004</v>
      </c>
      <c r="G1528" s="5" t="s">
        <v>4255</v>
      </c>
      <c r="H1528" s="5"/>
      <c r="I1528" s="5" t="s">
        <v>3448</v>
      </c>
      <c r="J1528" s="5" t="s">
        <v>3783</v>
      </c>
      <c r="K1528" s="5" t="s">
        <v>4363</v>
      </c>
      <c r="L1528" s="5">
        <v>25</v>
      </c>
      <c r="M1528" s="5">
        <v>12</v>
      </c>
      <c r="N1528" s="5" t="s">
        <v>4005</v>
      </c>
      <c r="O1528" s="5" t="s">
        <v>4256</v>
      </c>
      <c r="P1528" s="5">
        <v>4</v>
      </c>
      <c r="Q1528" s="5">
        <v>3</v>
      </c>
      <c r="R1528" s="5"/>
      <c r="S1528" s="5">
        <v>334</v>
      </c>
      <c r="T1528" s="5">
        <v>334</v>
      </c>
      <c r="U1528" s="5">
        <v>334</v>
      </c>
    </row>
    <row r="1529" spans="1:21" x14ac:dyDescent="0.25">
      <c r="A1529" s="5" t="s">
        <v>5005</v>
      </c>
      <c r="B1529" s="5" t="s">
        <v>5006</v>
      </c>
      <c r="C1529" s="5" t="s">
        <v>3548</v>
      </c>
      <c r="D1529" s="5" t="s">
        <v>3782</v>
      </c>
      <c r="E1529" s="5" t="s">
        <v>4363</v>
      </c>
      <c r="F1529" s="5" t="s">
        <v>3584</v>
      </c>
      <c r="G1529" s="5" t="s">
        <v>3826</v>
      </c>
      <c r="H1529" s="5" t="s">
        <v>3816</v>
      </c>
      <c r="I1529" s="5" t="s">
        <v>3448</v>
      </c>
      <c r="J1529" s="5" t="s">
        <v>3783</v>
      </c>
      <c r="K1529" s="5" t="s">
        <v>4363</v>
      </c>
      <c r="L1529" s="5">
        <v>30</v>
      </c>
      <c r="M1529" s="5">
        <v>2</v>
      </c>
      <c r="N1529" s="5" t="s">
        <v>3585</v>
      </c>
      <c r="O1529" s="5" t="s">
        <v>3827</v>
      </c>
      <c r="P1529" s="5">
        <v>4</v>
      </c>
      <c r="Q1529" s="5">
        <v>1</v>
      </c>
      <c r="R1529" s="5" t="s">
        <v>3817</v>
      </c>
      <c r="S1529" s="5">
        <v>47</v>
      </c>
      <c r="T1529" s="5">
        <v>47</v>
      </c>
      <c r="U1529" s="5">
        <v>47</v>
      </c>
    </row>
    <row r="1530" spans="1:21" x14ac:dyDescent="0.25">
      <c r="A1530" s="5" t="s">
        <v>5009</v>
      </c>
      <c r="B1530" s="5" t="s">
        <v>5010</v>
      </c>
      <c r="C1530" s="5" t="s">
        <v>3548</v>
      </c>
      <c r="D1530" s="5" t="s">
        <v>3782</v>
      </c>
      <c r="E1530" s="5" t="s">
        <v>4363</v>
      </c>
      <c r="F1530" s="5" t="s">
        <v>4390</v>
      </c>
      <c r="G1530" s="5" t="s">
        <v>3493</v>
      </c>
      <c r="H1530" s="5" t="s">
        <v>3816</v>
      </c>
      <c r="I1530" s="5" t="s">
        <v>3448</v>
      </c>
      <c r="J1530" s="5" t="s">
        <v>3783</v>
      </c>
      <c r="K1530" s="5" t="s">
        <v>4363</v>
      </c>
      <c r="L1530" s="5">
        <v>30</v>
      </c>
      <c r="M1530" s="5">
        <v>2</v>
      </c>
      <c r="N1530" s="5" t="s">
        <v>4391</v>
      </c>
      <c r="O1530" s="5" t="s">
        <v>3494</v>
      </c>
      <c r="P1530" s="5">
        <v>4</v>
      </c>
      <c r="Q1530" s="5">
        <v>1</v>
      </c>
      <c r="R1530" s="5" t="s">
        <v>3817</v>
      </c>
      <c r="S1530" s="5">
        <v>51</v>
      </c>
      <c r="T1530" s="5">
        <v>51</v>
      </c>
      <c r="U1530" s="5">
        <v>51</v>
      </c>
    </row>
    <row r="1531" spans="1:21" x14ac:dyDescent="0.25">
      <c r="A1531" s="5" t="s">
        <v>4529</v>
      </c>
      <c r="B1531" s="5" t="s">
        <v>4530</v>
      </c>
      <c r="C1531" s="5" t="s">
        <v>3548</v>
      </c>
      <c r="D1531" s="5" t="s">
        <v>3782</v>
      </c>
      <c r="E1531" s="5" t="s">
        <v>4363</v>
      </c>
      <c r="F1531" s="5" t="s">
        <v>4004</v>
      </c>
      <c r="G1531" s="5" t="s">
        <v>4255</v>
      </c>
      <c r="H1531" s="5"/>
      <c r="I1531" s="5" t="s">
        <v>3448</v>
      </c>
      <c r="J1531" s="5" t="s">
        <v>3783</v>
      </c>
      <c r="K1531" s="5" t="s">
        <v>4363</v>
      </c>
      <c r="L1531" s="5">
        <v>25</v>
      </c>
      <c r="M1531" s="5">
        <v>2</v>
      </c>
      <c r="N1531" s="5" t="s">
        <v>4005</v>
      </c>
      <c r="O1531" s="5" t="s">
        <v>4256</v>
      </c>
      <c r="P1531" s="5">
        <v>3</v>
      </c>
      <c r="Q1531" s="5">
        <v>1</v>
      </c>
      <c r="R1531" s="5"/>
      <c r="S1531" s="5">
        <v>70</v>
      </c>
      <c r="T1531" s="5">
        <v>70</v>
      </c>
      <c r="U1531" s="5">
        <v>70</v>
      </c>
    </row>
    <row r="1532" spans="1:21" x14ac:dyDescent="0.25">
      <c r="A1532" s="5" t="s">
        <v>5013</v>
      </c>
      <c r="B1532" s="5" t="s">
        <v>5014</v>
      </c>
      <c r="C1532" s="5" t="s">
        <v>3548</v>
      </c>
      <c r="D1532" s="5" t="s">
        <v>3782</v>
      </c>
      <c r="E1532" s="5" t="s">
        <v>4363</v>
      </c>
      <c r="F1532" s="5" t="s">
        <v>4390</v>
      </c>
      <c r="G1532" s="5" t="s">
        <v>3826</v>
      </c>
      <c r="H1532" s="5" t="s">
        <v>3816</v>
      </c>
      <c r="I1532" s="5" t="s">
        <v>3448</v>
      </c>
      <c r="J1532" s="5" t="s">
        <v>3783</v>
      </c>
      <c r="K1532" s="5" t="s">
        <v>4363</v>
      </c>
      <c r="L1532" s="5">
        <v>30</v>
      </c>
      <c r="M1532" s="5">
        <v>2</v>
      </c>
      <c r="N1532" s="5" t="s">
        <v>4391</v>
      </c>
      <c r="O1532" s="5" t="s">
        <v>3827</v>
      </c>
      <c r="P1532" s="5">
        <v>4</v>
      </c>
      <c r="Q1532" s="5">
        <v>1</v>
      </c>
      <c r="R1532" s="5" t="s">
        <v>3817</v>
      </c>
      <c r="S1532" s="5">
        <v>46</v>
      </c>
      <c r="T1532" s="5">
        <v>46</v>
      </c>
      <c r="U1532" s="5">
        <v>46</v>
      </c>
    </row>
    <row r="1533" spans="1:21" x14ac:dyDescent="0.25">
      <c r="A1533" s="5" t="s">
        <v>5019</v>
      </c>
      <c r="B1533" s="5" t="s">
        <v>5020</v>
      </c>
      <c r="C1533" s="5" t="s">
        <v>3548</v>
      </c>
      <c r="D1533" s="5" t="s">
        <v>3782</v>
      </c>
      <c r="E1533" s="5" t="s">
        <v>4363</v>
      </c>
      <c r="F1533" s="5" t="s">
        <v>4004</v>
      </c>
      <c r="G1533" s="5" t="s">
        <v>3493</v>
      </c>
      <c r="H1533" s="5" t="s">
        <v>3838</v>
      </c>
      <c r="I1533" s="5" t="s">
        <v>3448</v>
      </c>
      <c r="J1533" s="5" t="s">
        <v>3783</v>
      </c>
      <c r="K1533" s="5" t="s">
        <v>4363</v>
      </c>
      <c r="L1533" s="5">
        <v>30</v>
      </c>
      <c r="M1533" s="5">
        <v>2</v>
      </c>
      <c r="N1533" s="5" t="s">
        <v>4005</v>
      </c>
      <c r="O1533" s="5" t="s">
        <v>3494</v>
      </c>
      <c r="P1533" s="5">
        <v>4</v>
      </c>
      <c r="Q1533" s="5">
        <v>1</v>
      </c>
      <c r="R1533" s="5" t="s">
        <v>3839</v>
      </c>
      <c r="S1533" s="5">
        <v>54</v>
      </c>
      <c r="T1533" s="5">
        <v>54</v>
      </c>
      <c r="U1533" s="5">
        <v>54</v>
      </c>
    </row>
    <row r="1534" spans="1:21" x14ac:dyDescent="0.25">
      <c r="A1534" s="5" t="s">
        <v>5021</v>
      </c>
      <c r="B1534" s="5" t="s">
        <v>5022</v>
      </c>
      <c r="C1534" s="5" t="s">
        <v>3548</v>
      </c>
      <c r="D1534" s="5" t="s">
        <v>3782</v>
      </c>
      <c r="E1534" s="5" t="s">
        <v>4363</v>
      </c>
      <c r="F1534" s="5" t="s">
        <v>4004</v>
      </c>
      <c r="G1534" s="5" t="s">
        <v>4255</v>
      </c>
      <c r="H1534" s="5" t="s">
        <v>3838</v>
      </c>
      <c r="I1534" s="5" t="s">
        <v>3448</v>
      </c>
      <c r="J1534" s="5" t="s">
        <v>3783</v>
      </c>
      <c r="K1534" s="5" t="s">
        <v>4363</v>
      </c>
      <c r="L1534" s="5">
        <v>30</v>
      </c>
      <c r="M1534" s="5">
        <v>2</v>
      </c>
      <c r="N1534" s="5" t="s">
        <v>4005</v>
      </c>
      <c r="O1534" s="5" t="s">
        <v>4256</v>
      </c>
      <c r="P1534" s="5">
        <v>4</v>
      </c>
      <c r="Q1534" s="5">
        <v>1</v>
      </c>
      <c r="R1534" s="5" t="s">
        <v>3839</v>
      </c>
      <c r="S1534" s="5">
        <v>67</v>
      </c>
      <c r="T1534" s="5">
        <v>67</v>
      </c>
      <c r="U1534" s="5">
        <v>67</v>
      </c>
    </row>
    <row r="1535" spans="1:21" x14ac:dyDescent="0.25">
      <c r="A1535" s="5" t="s">
        <v>4545</v>
      </c>
      <c r="B1535" s="5" t="s">
        <v>4546</v>
      </c>
      <c r="C1535" s="5" t="s">
        <v>3548</v>
      </c>
      <c r="D1535" s="5" t="s">
        <v>3782</v>
      </c>
      <c r="E1535" s="5" t="s">
        <v>4363</v>
      </c>
      <c r="F1535" s="5" t="s">
        <v>3584</v>
      </c>
      <c r="G1535" s="5" t="s">
        <v>4255</v>
      </c>
      <c r="H1535" s="5"/>
      <c r="I1535" s="5" t="s">
        <v>3448</v>
      </c>
      <c r="J1535" s="5" t="s">
        <v>3783</v>
      </c>
      <c r="K1535" s="5" t="s">
        <v>4363</v>
      </c>
      <c r="L1535" s="5">
        <v>25</v>
      </c>
      <c r="M1535" s="5">
        <v>2</v>
      </c>
      <c r="N1535" s="5" t="s">
        <v>3585</v>
      </c>
      <c r="O1535" s="5" t="s">
        <v>4256</v>
      </c>
      <c r="P1535" s="5">
        <v>4</v>
      </c>
      <c r="Q1535" s="5">
        <v>1</v>
      </c>
      <c r="R1535" s="5"/>
      <c r="S1535" s="5">
        <v>59</v>
      </c>
      <c r="T1535" s="5">
        <v>59</v>
      </c>
      <c r="U1535" s="5">
        <v>59</v>
      </c>
    </row>
    <row r="1536" spans="1:21" x14ac:dyDescent="0.25">
      <c r="A1536" s="5" t="s">
        <v>5025</v>
      </c>
      <c r="B1536" s="5" t="s">
        <v>5026</v>
      </c>
      <c r="C1536" s="5" t="s">
        <v>3548</v>
      </c>
      <c r="D1536" s="5" t="s">
        <v>3782</v>
      </c>
      <c r="E1536" s="5" t="s">
        <v>4363</v>
      </c>
      <c r="F1536" s="5" t="s">
        <v>4004</v>
      </c>
      <c r="G1536" s="5" t="s">
        <v>4417</v>
      </c>
      <c r="H1536" s="5" t="s">
        <v>3838</v>
      </c>
      <c r="I1536" s="5" t="s">
        <v>3448</v>
      </c>
      <c r="J1536" s="5" t="s">
        <v>3783</v>
      </c>
      <c r="K1536" s="5" t="s">
        <v>4363</v>
      </c>
      <c r="L1536" s="5">
        <v>30</v>
      </c>
      <c r="M1536" s="5">
        <v>2</v>
      </c>
      <c r="N1536" s="5" t="s">
        <v>4005</v>
      </c>
      <c r="O1536" s="5" t="s">
        <v>4418</v>
      </c>
      <c r="P1536" s="5">
        <v>4</v>
      </c>
      <c r="Q1536" s="5">
        <v>1</v>
      </c>
      <c r="R1536" s="5" t="s">
        <v>3839</v>
      </c>
      <c r="S1536" s="5">
        <v>43</v>
      </c>
      <c r="T1536" s="5">
        <v>43</v>
      </c>
      <c r="U1536" s="5">
        <v>43</v>
      </c>
    </row>
    <row r="1537" spans="1:21" x14ac:dyDescent="0.25">
      <c r="A1537" s="5" t="s">
        <v>4567</v>
      </c>
      <c r="B1537" s="5" t="s">
        <v>4568</v>
      </c>
      <c r="C1537" s="5" t="s">
        <v>3548</v>
      </c>
      <c r="D1537" s="5" t="s">
        <v>3782</v>
      </c>
      <c r="E1537" s="5" t="s">
        <v>4363</v>
      </c>
      <c r="F1537" s="5" t="s">
        <v>4004</v>
      </c>
      <c r="G1537" s="5" t="s">
        <v>4255</v>
      </c>
      <c r="H1537" s="5"/>
      <c r="I1537" s="5" t="s">
        <v>3448</v>
      </c>
      <c r="J1537" s="5" t="s">
        <v>3783</v>
      </c>
      <c r="K1537" s="5" t="s">
        <v>4363</v>
      </c>
      <c r="L1537" s="5">
        <v>25</v>
      </c>
      <c r="M1537" s="5">
        <v>2</v>
      </c>
      <c r="N1537" s="5" t="s">
        <v>4005</v>
      </c>
      <c r="O1537" s="5" t="s">
        <v>4256</v>
      </c>
      <c r="P1537" s="5">
        <v>4</v>
      </c>
      <c r="Q1537" s="5">
        <v>1</v>
      </c>
      <c r="R1537" s="5"/>
      <c r="S1537" s="5">
        <v>58</v>
      </c>
      <c r="T1537" s="5">
        <v>58</v>
      </c>
      <c r="U1537" s="5">
        <v>58</v>
      </c>
    </row>
    <row r="1538" spans="1:21" x14ac:dyDescent="0.25">
      <c r="A1538" s="5" t="s">
        <v>4637</v>
      </c>
      <c r="B1538" s="5" t="s">
        <v>4638</v>
      </c>
      <c r="C1538" s="5" t="s">
        <v>3548</v>
      </c>
      <c r="D1538" s="5" t="s">
        <v>3782</v>
      </c>
      <c r="E1538" s="5" t="s">
        <v>4363</v>
      </c>
      <c r="F1538" s="5" t="s">
        <v>3584</v>
      </c>
      <c r="G1538" s="5" t="s">
        <v>4255</v>
      </c>
      <c r="H1538" s="5"/>
      <c r="I1538" s="5" t="s">
        <v>3448</v>
      </c>
      <c r="J1538" s="5" t="s">
        <v>3783</v>
      </c>
      <c r="K1538" s="5" t="s">
        <v>4363</v>
      </c>
      <c r="L1538" s="5">
        <v>25</v>
      </c>
      <c r="M1538" s="5">
        <v>3</v>
      </c>
      <c r="N1538" s="5" t="s">
        <v>3585</v>
      </c>
      <c r="O1538" s="5" t="s">
        <v>4256</v>
      </c>
      <c r="P1538" s="5">
        <v>4</v>
      </c>
      <c r="Q1538" s="5">
        <v>1</v>
      </c>
      <c r="R1538" s="5"/>
      <c r="S1538" s="5">
        <v>86</v>
      </c>
      <c r="T1538" s="5">
        <v>86</v>
      </c>
      <c r="U1538" s="5">
        <v>86</v>
      </c>
    </row>
    <row r="1539" spans="1:21" x14ac:dyDescent="0.25">
      <c r="A1539" s="5" t="s">
        <v>4651</v>
      </c>
      <c r="B1539" s="5" t="s">
        <v>4652</v>
      </c>
      <c r="C1539" s="5" t="s">
        <v>3548</v>
      </c>
      <c r="D1539" s="5" t="s">
        <v>3782</v>
      </c>
      <c r="E1539" s="5" t="s">
        <v>4363</v>
      </c>
      <c r="F1539" s="5" t="s">
        <v>4004</v>
      </c>
      <c r="G1539" s="5" t="s">
        <v>4255</v>
      </c>
      <c r="H1539" s="5"/>
      <c r="I1539" s="5" t="s">
        <v>3448</v>
      </c>
      <c r="J1539" s="5" t="s">
        <v>3783</v>
      </c>
      <c r="K1539" s="5" t="s">
        <v>4363</v>
      </c>
      <c r="L1539" s="5">
        <v>25</v>
      </c>
      <c r="M1539" s="5">
        <v>3</v>
      </c>
      <c r="N1539" s="5" t="s">
        <v>4005</v>
      </c>
      <c r="O1539" s="5" t="s">
        <v>4256</v>
      </c>
      <c r="P1539" s="5">
        <v>4</v>
      </c>
      <c r="Q1539" s="5">
        <v>1</v>
      </c>
      <c r="R1539" s="5"/>
      <c r="S1539" s="5">
        <v>85</v>
      </c>
      <c r="T1539" s="5">
        <v>85</v>
      </c>
      <c r="U1539" s="5">
        <v>85</v>
      </c>
    </row>
    <row r="1540" spans="1:21" x14ac:dyDescent="0.25">
      <c r="A1540" s="5" t="s">
        <v>4687</v>
      </c>
      <c r="B1540" s="5" t="s">
        <v>4688</v>
      </c>
      <c r="C1540" s="5" t="s">
        <v>3548</v>
      </c>
      <c r="D1540" s="5" t="s">
        <v>3782</v>
      </c>
      <c r="E1540" s="5" t="s">
        <v>4363</v>
      </c>
      <c r="F1540" s="5" t="s">
        <v>3584</v>
      </c>
      <c r="G1540" s="5" t="s">
        <v>4255</v>
      </c>
      <c r="H1540" s="5"/>
      <c r="I1540" s="5" t="s">
        <v>3448</v>
      </c>
      <c r="J1540" s="5" t="s">
        <v>3783</v>
      </c>
      <c r="K1540" s="5" t="s">
        <v>4363</v>
      </c>
      <c r="L1540" s="5">
        <v>25</v>
      </c>
      <c r="M1540" s="5">
        <v>1</v>
      </c>
      <c r="N1540" s="5" t="s">
        <v>3585</v>
      </c>
      <c r="O1540" s="5" t="s">
        <v>4256</v>
      </c>
      <c r="P1540" s="5">
        <v>4</v>
      </c>
      <c r="Q1540" s="5">
        <v>1</v>
      </c>
      <c r="R1540" s="5"/>
      <c r="S1540" s="5">
        <v>32</v>
      </c>
      <c r="T1540" s="5">
        <v>32</v>
      </c>
      <c r="U1540" s="5">
        <v>32</v>
      </c>
    </row>
    <row r="1541" spans="1:21" x14ac:dyDescent="0.25">
      <c r="A1541" s="5" t="s">
        <v>4751</v>
      </c>
      <c r="B1541" s="5" t="s">
        <v>4752</v>
      </c>
      <c r="C1541" s="5" t="s">
        <v>3548</v>
      </c>
      <c r="D1541" s="5" t="s">
        <v>3782</v>
      </c>
      <c r="E1541" s="5" t="s">
        <v>4363</v>
      </c>
      <c r="F1541" s="5" t="s">
        <v>3584</v>
      </c>
      <c r="G1541" s="5" t="s">
        <v>4255</v>
      </c>
      <c r="H1541" s="5"/>
      <c r="I1541" s="5" t="s">
        <v>3448</v>
      </c>
      <c r="J1541" s="5" t="s">
        <v>3783</v>
      </c>
      <c r="K1541" s="5" t="s">
        <v>4363</v>
      </c>
      <c r="L1541" s="5">
        <v>25</v>
      </c>
      <c r="M1541" s="5">
        <v>4</v>
      </c>
      <c r="N1541" s="5" t="s">
        <v>3585</v>
      </c>
      <c r="O1541" s="5" t="s">
        <v>4256</v>
      </c>
      <c r="P1541" s="5">
        <v>4</v>
      </c>
      <c r="Q1541" s="5">
        <v>1</v>
      </c>
      <c r="R1541" s="5"/>
      <c r="S1541" s="5">
        <v>111</v>
      </c>
      <c r="T1541" s="5">
        <v>111</v>
      </c>
      <c r="U1541" s="5">
        <v>111</v>
      </c>
    </row>
    <row r="1542" spans="1:21" x14ac:dyDescent="0.25">
      <c r="A1542" s="5" t="s">
        <v>4763</v>
      </c>
      <c r="B1542" s="5" t="s">
        <v>4764</v>
      </c>
      <c r="C1542" s="5" t="s">
        <v>3548</v>
      </c>
      <c r="D1542" s="5" t="s">
        <v>3782</v>
      </c>
      <c r="E1542" s="5" t="s">
        <v>4363</v>
      </c>
      <c r="F1542" s="5" t="s">
        <v>4004</v>
      </c>
      <c r="G1542" s="5" t="s">
        <v>4255</v>
      </c>
      <c r="H1542" s="5"/>
      <c r="I1542" s="5" t="s">
        <v>3448</v>
      </c>
      <c r="J1542" s="5" t="s">
        <v>3783</v>
      </c>
      <c r="K1542" s="5" t="s">
        <v>4363</v>
      </c>
      <c r="L1542" s="5">
        <v>25</v>
      </c>
      <c r="M1542" s="5">
        <v>4</v>
      </c>
      <c r="N1542" s="5" t="s">
        <v>4005</v>
      </c>
      <c r="O1542" s="5" t="s">
        <v>4256</v>
      </c>
      <c r="P1542" s="5">
        <v>4</v>
      </c>
      <c r="Q1542" s="5">
        <v>1</v>
      </c>
      <c r="R1542" s="5"/>
      <c r="S1542" s="5">
        <v>111</v>
      </c>
      <c r="T1542" s="5">
        <v>111</v>
      </c>
      <c r="U1542" s="5">
        <v>111</v>
      </c>
    </row>
    <row r="1543" spans="1:21" x14ac:dyDescent="0.25">
      <c r="A1543" s="5" t="s">
        <v>4775</v>
      </c>
      <c r="B1543" s="5" t="s">
        <v>4776</v>
      </c>
      <c r="C1543" s="5" t="s">
        <v>3548</v>
      </c>
      <c r="D1543" s="5" t="s">
        <v>3782</v>
      </c>
      <c r="E1543" s="5" t="s">
        <v>4363</v>
      </c>
      <c r="F1543" s="5" t="s">
        <v>4004</v>
      </c>
      <c r="G1543" s="5" t="s">
        <v>4255</v>
      </c>
      <c r="H1543" s="5"/>
      <c r="I1543" s="5" t="s">
        <v>3448</v>
      </c>
      <c r="J1543" s="5" t="s">
        <v>3783</v>
      </c>
      <c r="K1543" s="5" t="s">
        <v>4363</v>
      </c>
      <c r="L1543" s="5">
        <v>25</v>
      </c>
      <c r="M1543" s="5">
        <v>1</v>
      </c>
      <c r="N1543" s="5" t="s">
        <v>4005</v>
      </c>
      <c r="O1543" s="5" t="s">
        <v>4256</v>
      </c>
      <c r="P1543" s="5">
        <v>4</v>
      </c>
      <c r="Q1543" s="5">
        <v>1</v>
      </c>
      <c r="R1543" s="5"/>
      <c r="S1543" s="5">
        <v>31</v>
      </c>
      <c r="T1543" s="5">
        <v>31</v>
      </c>
      <c r="U1543" s="5">
        <v>31</v>
      </c>
    </row>
    <row r="1544" spans="1:21" x14ac:dyDescent="0.25">
      <c r="A1544" s="5" t="s">
        <v>5057</v>
      </c>
      <c r="B1544" s="5" t="s">
        <v>5058</v>
      </c>
      <c r="C1544" s="5" t="s">
        <v>3548</v>
      </c>
      <c r="D1544" s="5" t="s">
        <v>3782</v>
      </c>
      <c r="E1544" s="5" t="s">
        <v>4363</v>
      </c>
      <c r="F1544" s="5" t="s">
        <v>3584</v>
      </c>
      <c r="G1544" s="5" t="s">
        <v>3493</v>
      </c>
      <c r="H1544" s="5" t="s">
        <v>3838</v>
      </c>
      <c r="I1544" s="5" t="s">
        <v>3448</v>
      </c>
      <c r="J1544" s="5" t="s">
        <v>3783</v>
      </c>
      <c r="K1544" s="5" t="s">
        <v>4363</v>
      </c>
      <c r="L1544" s="5">
        <v>30</v>
      </c>
      <c r="M1544" s="5">
        <v>1</v>
      </c>
      <c r="N1544" s="5" t="s">
        <v>3585</v>
      </c>
      <c r="O1544" s="5" t="s">
        <v>3494</v>
      </c>
      <c r="P1544" s="5">
        <v>4</v>
      </c>
      <c r="Q1544" s="5">
        <v>1</v>
      </c>
      <c r="R1544" s="5" t="s">
        <v>3839</v>
      </c>
      <c r="S1544" s="5">
        <v>27</v>
      </c>
      <c r="T1544" s="5">
        <v>27</v>
      </c>
      <c r="U1544" s="5">
        <v>27</v>
      </c>
    </row>
    <row r="1545" spans="1:21" x14ac:dyDescent="0.25">
      <c r="A1545" s="5" t="s">
        <v>5059</v>
      </c>
      <c r="B1545" s="5" t="s">
        <v>5060</v>
      </c>
      <c r="C1545" s="5" t="s">
        <v>3548</v>
      </c>
      <c r="D1545" s="5" t="s">
        <v>3782</v>
      </c>
      <c r="E1545" s="5" t="s">
        <v>4363</v>
      </c>
      <c r="F1545" s="5" t="s">
        <v>3584</v>
      </c>
      <c r="G1545" s="5" t="s">
        <v>3493</v>
      </c>
      <c r="H1545" s="5" t="s">
        <v>3848</v>
      </c>
      <c r="I1545" s="5" t="s">
        <v>3448</v>
      </c>
      <c r="J1545" s="5" t="s">
        <v>3783</v>
      </c>
      <c r="K1545" s="5" t="s">
        <v>4363</v>
      </c>
      <c r="L1545" s="5">
        <v>30</v>
      </c>
      <c r="M1545" s="5">
        <v>1</v>
      </c>
      <c r="N1545" s="5" t="s">
        <v>3585</v>
      </c>
      <c r="O1545" s="5" t="s">
        <v>3494</v>
      </c>
      <c r="P1545" s="5">
        <v>4</v>
      </c>
      <c r="Q1545" s="5">
        <v>1</v>
      </c>
      <c r="R1545" s="5" t="s">
        <v>3849</v>
      </c>
      <c r="S1545" s="5">
        <v>26</v>
      </c>
      <c r="T1545" s="5">
        <v>26</v>
      </c>
      <c r="U1545" s="5">
        <v>26</v>
      </c>
    </row>
    <row r="1546" spans="1:21" x14ac:dyDescent="0.25">
      <c r="A1546" s="5" t="s">
        <v>5061</v>
      </c>
      <c r="B1546" s="5" t="s">
        <v>5062</v>
      </c>
      <c r="C1546" s="5" t="s">
        <v>3548</v>
      </c>
      <c r="D1546" s="5" t="s">
        <v>3782</v>
      </c>
      <c r="E1546" s="5" t="s">
        <v>4363</v>
      </c>
      <c r="F1546" s="5" t="s">
        <v>3584</v>
      </c>
      <c r="G1546" s="5" t="s">
        <v>3493</v>
      </c>
      <c r="H1546" s="5" t="s">
        <v>3816</v>
      </c>
      <c r="I1546" s="5" t="s">
        <v>3448</v>
      </c>
      <c r="J1546" s="5" t="s">
        <v>3783</v>
      </c>
      <c r="K1546" s="5" t="s">
        <v>4363</v>
      </c>
      <c r="L1546" s="5">
        <v>30</v>
      </c>
      <c r="M1546" s="5">
        <v>1</v>
      </c>
      <c r="N1546" s="5" t="s">
        <v>3585</v>
      </c>
      <c r="O1546" s="5" t="s">
        <v>3494</v>
      </c>
      <c r="P1546" s="5">
        <v>4</v>
      </c>
      <c r="Q1546" s="5">
        <v>1</v>
      </c>
      <c r="R1546" s="5" t="s">
        <v>3817</v>
      </c>
      <c r="S1546" s="5">
        <v>26</v>
      </c>
      <c r="T1546" s="5">
        <v>26</v>
      </c>
      <c r="U1546" s="5">
        <v>26</v>
      </c>
    </row>
    <row r="1547" spans="1:21" x14ac:dyDescent="0.25">
      <c r="A1547" s="5" t="s">
        <v>4797</v>
      </c>
      <c r="B1547" s="5" t="s">
        <v>4798</v>
      </c>
      <c r="C1547" s="5" t="s">
        <v>3548</v>
      </c>
      <c r="D1547" s="5" t="s">
        <v>3782</v>
      </c>
      <c r="E1547" s="5" t="s">
        <v>4363</v>
      </c>
      <c r="F1547" s="5" t="s">
        <v>4004</v>
      </c>
      <c r="G1547" s="5" t="s">
        <v>4255</v>
      </c>
      <c r="H1547" s="5"/>
      <c r="I1547" s="5" t="s">
        <v>3448</v>
      </c>
      <c r="J1547" s="5" t="s">
        <v>3783</v>
      </c>
      <c r="K1547" s="5" t="s">
        <v>4363</v>
      </c>
      <c r="L1547" s="5">
        <v>25</v>
      </c>
      <c r="M1547" s="5">
        <v>6</v>
      </c>
      <c r="N1547" s="5" t="s">
        <v>4005</v>
      </c>
      <c r="O1547" s="5" t="s">
        <v>4256</v>
      </c>
      <c r="P1547" s="5">
        <v>4</v>
      </c>
      <c r="Q1547" s="5">
        <v>2</v>
      </c>
      <c r="R1547" s="5"/>
      <c r="S1547" s="5">
        <v>170</v>
      </c>
      <c r="T1547" s="5">
        <v>170</v>
      </c>
      <c r="U1547" s="5">
        <v>170</v>
      </c>
    </row>
    <row r="1548" spans="1:21" x14ac:dyDescent="0.25">
      <c r="A1548" s="5" t="s">
        <v>5065</v>
      </c>
      <c r="B1548" s="5" t="s">
        <v>5066</v>
      </c>
      <c r="C1548" s="5" t="s">
        <v>3548</v>
      </c>
      <c r="D1548" s="5" t="s">
        <v>3782</v>
      </c>
      <c r="E1548" s="5" t="s">
        <v>4363</v>
      </c>
      <c r="F1548" s="5" t="s">
        <v>3584</v>
      </c>
      <c r="G1548" s="5" t="s">
        <v>3826</v>
      </c>
      <c r="H1548" s="5" t="s">
        <v>3838</v>
      </c>
      <c r="I1548" s="5" t="s">
        <v>3448</v>
      </c>
      <c r="J1548" s="5" t="s">
        <v>3783</v>
      </c>
      <c r="K1548" s="5" t="s">
        <v>4363</v>
      </c>
      <c r="L1548" s="5">
        <v>30</v>
      </c>
      <c r="M1548" s="5">
        <v>1</v>
      </c>
      <c r="N1548" s="5" t="s">
        <v>3585</v>
      </c>
      <c r="O1548" s="5" t="s">
        <v>3827</v>
      </c>
      <c r="P1548" s="5">
        <v>4</v>
      </c>
      <c r="Q1548" s="5">
        <v>1</v>
      </c>
      <c r="R1548" s="5" t="s">
        <v>3839</v>
      </c>
      <c r="S1548" s="5">
        <v>23</v>
      </c>
      <c r="T1548" s="5">
        <v>23</v>
      </c>
      <c r="U1548" s="5">
        <v>23</v>
      </c>
    </row>
    <row r="1549" spans="1:21" x14ac:dyDescent="0.25">
      <c r="A1549" s="5" t="s">
        <v>5067</v>
      </c>
      <c r="B1549" s="5" t="s">
        <v>5068</v>
      </c>
      <c r="C1549" s="5" t="s">
        <v>3548</v>
      </c>
      <c r="D1549" s="5" t="s">
        <v>3782</v>
      </c>
      <c r="E1549" s="5" t="s">
        <v>4363</v>
      </c>
      <c r="F1549" s="5" t="s">
        <v>3584</v>
      </c>
      <c r="G1549" s="5" t="s">
        <v>3826</v>
      </c>
      <c r="H1549" s="5" t="s">
        <v>3848</v>
      </c>
      <c r="I1549" s="5" t="s">
        <v>3448</v>
      </c>
      <c r="J1549" s="5" t="s">
        <v>3783</v>
      </c>
      <c r="K1549" s="5" t="s">
        <v>4363</v>
      </c>
      <c r="L1549" s="5">
        <v>30</v>
      </c>
      <c r="M1549" s="5">
        <v>1</v>
      </c>
      <c r="N1549" s="5" t="s">
        <v>3585</v>
      </c>
      <c r="O1549" s="5" t="s">
        <v>3827</v>
      </c>
      <c r="P1549" s="5">
        <v>4</v>
      </c>
      <c r="Q1549" s="5">
        <v>1</v>
      </c>
      <c r="R1549" s="5" t="s">
        <v>3849</v>
      </c>
      <c r="S1549" s="5">
        <v>22</v>
      </c>
      <c r="T1549" s="5">
        <v>22</v>
      </c>
      <c r="U1549" s="5">
        <v>22</v>
      </c>
    </row>
    <row r="1550" spans="1:21" x14ac:dyDescent="0.25">
      <c r="A1550" s="5" t="s">
        <v>5069</v>
      </c>
      <c r="B1550" s="5" t="s">
        <v>5070</v>
      </c>
      <c r="C1550" s="5" t="s">
        <v>3548</v>
      </c>
      <c r="D1550" s="5" t="s">
        <v>3782</v>
      </c>
      <c r="E1550" s="5" t="s">
        <v>4363</v>
      </c>
      <c r="F1550" s="5" t="s">
        <v>3584</v>
      </c>
      <c r="G1550" s="5" t="s">
        <v>3826</v>
      </c>
      <c r="H1550" s="5" t="s">
        <v>3816</v>
      </c>
      <c r="I1550" s="5" t="s">
        <v>3448</v>
      </c>
      <c r="J1550" s="5" t="s">
        <v>3783</v>
      </c>
      <c r="K1550" s="5" t="s">
        <v>4363</v>
      </c>
      <c r="L1550" s="5">
        <v>30</v>
      </c>
      <c r="M1550" s="5">
        <v>1</v>
      </c>
      <c r="N1550" s="5" t="s">
        <v>3585</v>
      </c>
      <c r="O1550" s="5" t="s">
        <v>3827</v>
      </c>
      <c r="P1550" s="5">
        <v>4</v>
      </c>
      <c r="Q1550" s="5">
        <v>1</v>
      </c>
      <c r="R1550" s="5" t="s">
        <v>3817</v>
      </c>
      <c r="S1550" s="5">
        <v>22</v>
      </c>
      <c r="T1550" s="5">
        <v>22</v>
      </c>
      <c r="U1550" s="5">
        <v>22</v>
      </c>
    </row>
    <row r="1551" spans="1:21" x14ac:dyDescent="0.25">
      <c r="A1551" s="5" t="s">
        <v>4801</v>
      </c>
      <c r="B1551" s="5" t="s">
        <v>4802</v>
      </c>
      <c r="C1551" s="5" t="s">
        <v>3548</v>
      </c>
      <c r="D1551" s="5" t="s">
        <v>3782</v>
      </c>
      <c r="E1551" s="5" t="s">
        <v>4363</v>
      </c>
      <c r="F1551" s="5" t="s">
        <v>3584</v>
      </c>
      <c r="G1551" s="5" t="s">
        <v>4255</v>
      </c>
      <c r="H1551" s="5"/>
      <c r="I1551" s="5" t="s">
        <v>3448</v>
      </c>
      <c r="J1551" s="5" t="s">
        <v>3783</v>
      </c>
      <c r="K1551" s="5" t="s">
        <v>4363</v>
      </c>
      <c r="L1551" s="5">
        <v>25</v>
      </c>
      <c r="M1551" s="5">
        <v>6</v>
      </c>
      <c r="N1551" s="5" t="s">
        <v>3585</v>
      </c>
      <c r="O1551" s="5" t="s">
        <v>4256</v>
      </c>
      <c r="P1551" s="5">
        <v>4</v>
      </c>
      <c r="Q1551" s="5">
        <v>1</v>
      </c>
      <c r="R1551" s="5"/>
      <c r="S1551" s="5">
        <v>176</v>
      </c>
      <c r="T1551" s="5">
        <v>176</v>
      </c>
      <c r="U1551" s="5">
        <v>176</v>
      </c>
    </row>
    <row r="1552" spans="1:21" x14ac:dyDescent="0.25">
      <c r="A1552" s="5" t="s">
        <v>5077</v>
      </c>
      <c r="B1552" s="5" t="s">
        <v>5078</v>
      </c>
      <c r="C1552" s="5" t="s">
        <v>3548</v>
      </c>
      <c r="D1552" s="5" t="s">
        <v>3782</v>
      </c>
      <c r="E1552" s="5" t="s">
        <v>4363</v>
      </c>
      <c r="F1552" s="5" t="s">
        <v>4390</v>
      </c>
      <c r="G1552" s="5" t="s">
        <v>3493</v>
      </c>
      <c r="H1552" s="5" t="s">
        <v>3838</v>
      </c>
      <c r="I1552" s="5" t="s">
        <v>3448</v>
      </c>
      <c r="J1552" s="5" t="s">
        <v>3783</v>
      </c>
      <c r="K1552" s="5" t="s">
        <v>4363</v>
      </c>
      <c r="L1552" s="5">
        <v>30</v>
      </c>
      <c r="M1552" s="5">
        <v>1</v>
      </c>
      <c r="N1552" s="5" t="s">
        <v>4391</v>
      </c>
      <c r="O1552" s="5" t="s">
        <v>3494</v>
      </c>
      <c r="P1552" s="5">
        <v>4</v>
      </c>
      <c r="Q1552" s="5">
        <v>1</v>
      </c>
      <c r="R1552" s="5" t="s">
        <v>3839</v>
      </c>
      <c r="S1552" s="5">
        <v>26</v>
      </c>
      <c r="T1552" s="5">
        <v>26</v>
      </c>
      <c r="U1552" s="5">
        <v>26</v>
      </c>
    </row>
    <row r="1553" spans="1:21" x14ac:dyDescent="0.25">
      <c r="A1553" s="5" t="s">
        <v>5079</v>
      </c>
      <c r="B1553" s="5" t="s">
        <v>5080</v>
      </c>
      <c r="C1553" s="5" t="s">
        <v>3548</v>
      </c>
      <c r="D1553" s="5" t="s">
        <v>3782</v>
      </c>
      <c r="E1553" s="5" t="s">
        <v>4363</v>
      </c>
      <c r="F1553" s="5" t="s">
        <v>4390</v>
      </c>
      <c r="G1553" s="5" t="s">
        <v>3493</v>
      </c>
      <c r="H1553" s="5" t="s">
        <v>3848</v>
      </c>
      <c r="I1553" s="5" t="s">
        <v>3448</v>
      </c>
      <c r="J1553" s="5" t="s">
        <v>3783</v>
      </c>
      <c r="K1553" s="5" t="s">
        <v>4363</v>
      </c>
      <c r="L1553" s="5">
        <v>30</v>
      </c>
      <c r="M1553" s="5">
        <v>1</v>
      </c>
      <c r="N1553" s="5" t="s">
        <v>4391</v>
      </c>
      <c r="O1553" s="5" t="s">
        <v>3494</v>
      </c>
      <c r="P1553" s="5">
        <v>4</v>
      </c>
      <c r="Q1553" s="5">
        <v>1</v>
      </c>
      <c r="R1553" s="5" t="s">
        <v>3849</v>
      </c>
      <c r="S1553" s="5">
        <v>25</v>
      </c>
      <c r="T1553" s="5">
        <v>25</v>
      </c>
      <c r="U1553" s="5">
        <v>25</v>
      </c>
    </row>
    <row r="1554" spans="1:21" x14ac:dyDescent="0.25">
      <c r="A1554" s="5" t="s">
        <v>5081</v>
      </c>
      <c r="B1554" s="5" t="s">
        <v>5082</v>
      </c>
      <c r="C1554" s="5" t="s">
        <v>3548</v>
      </c>
      <c r="D1554" s="5" t="s">
        <v>3782</v>
      </c>
      <c r="E1554" s="5" t="s">
        <v>4363</v>
      </c>
      <c r="F1554" s="5" t="s">
        <v>4390</v>
      </c>
      <c r="G1554" s="5" t="s">
        <v>3493</v>
      </c>
      <c r="H1554" s="5" t="s">
        <v>3816</v>
      </c>
      <c r="I1554" s="5" t="s">
        <v>3448</v>
      </c>
      <c r="J1554" s="5" t="s">
        <v>3783</v>
      </c>
      <c r="K1554" s="5" t="s">
        <v>4363</v>
      </c>
      <c r="L1554" s="5">
        <v>30</v>
      </c>
      <c r="M1554" s="5">
        <v>1</v>
      </c>
      <c r="N1554" s="5" t="s">
        <v>4391</v>
      </c>
      <c r="O1554" s="5" t="s">
        <v>3494</v>
      </c>
      <c r="P1554" s="5">
        <v>4</v>
      </c>
      <c r="Q1554" s="5">
        <v>1</v>
      </c>
      <c r="R1554" s="5" t="s">
        <v>3817</v>
      </c>
      <c r="S1554" s="5">
        <v>25</v>
      </c>
      <c r="T1554" s="5">
        <v>25</v>
      </c>
      <c r="U1554" s="5">
        <v>25</v>
      </c>
    </row>
    <row r="1555" spans="1:21" x14ac:dyDescent="0.25">
      <c r="A1555" s="5" t="s">
        <v>4805</v>
      </c>
      <c r="B1555" s="5" t="s">
        <v>4806</v>
      </c>
      <c r="C1555" s="5" t="s">
        <v>3548</v>
      </c>
      <c r="D1555" s="5" t="s">
        <v>3782</v>
      </c>
      <c r="E1555" s="5" t="s">
        <v>4363</v>
      </c>
      <c r="F1555" s="5" t="s">
        <v>4004</v>
      </c>
      <c r="G1555" s="5" t="s">
        <v>4255</v>
      </c>
      <c r="H1555" s="5"/>
      <c r="I1555" s="5" t="s">
        <v>3448</v>
      </c>
      <c r="J1555" s="5" t="s">
        <v>3783</v>
      </c>
      <c r="K1555" s="5" t="s">
        <v>4363</v>
      </c>
      <c r="L1555" s="5">
        <v>25</v>
      </c>
      <c r="M1555" s="5">
        <v>6</v>
      </c>
      <c r="N1555" s="5" t="s">
        <v>4005</v>
      </c>
      <c r="O1555" s="5" t="s">
        <v>4256</v>
      </c>
      <c r="P1555" s="5">
        <v>4</v>
      </c>
      <c r="Q1555" s="5">
        <v>1</v>
      </c>
      <c r="R1555" s="5"/>
      <c r="S1555" s="5">
        <v>170</v>
      </c>
      <c r="T1555" s="5">
        <v>170</v>
      </c>
      <c r="U1555" s="5">
        <v>170</v>
      </c>
    </row>
    <row r="1556" spans="1:21" x14ac:dyDescent="0.25">
      <c r="A1556" s="5" t="s">
        <v>4811</v>
      </c>
      <c r="B1556" s="5" t="s">
        <v>4812</v>
      </c>
      <c r="C1556" s="5" t="s">
        <v>3548</v>
      </c>
      <c r="D1556" s="5" t="s">
        <v>3782</v>
      </c>
      <c r="E1556" s="5" t="s">
        <v>4363</v>
      </c>
      <c r="F1556" s="5" t="s">
        <v>4004</v>
      </c>
      <c r="G1556" s="5" t="s">
        <v>4255</v>
      </c>
      <c r="H1556" s="5"/>
      <c r="I1556" s="5" t="s">
        <v>3448</v>
      </c>
      <c r="J1556" s="5" t="s">
        <v>3783</v>
      </c>
      <c r="K1556" s="5" t="s">
        <v>4363</v>
      </c>
      <c r="L1556" s="5">
        <v>25</v>
      </c>
      <c r="M1556" s="5">
        <v>8</v>
      </c>
      <c r="N1556" s="5" t="s">
        <v>4005</v>
      </c>
      <c r="O1556" s="5" t="s">
        <v>4256</v>
      </c>
      <c r="P1556" s="5">
        <v>4</v>
      </c>
      <c r="Q1556" s="5">
        <v>2</v>
      </c>
      <c r="R1556" s="5"/>
      <c r="S1556" s="5">
        <v>223</v>
      </c>
      <c r="T1556" s="5">
        <v>223</v>
      </c>
      <c r="U1556" s="5">
        <v>223</v>
      </c>
    </row>
    <row r="1557" spans="1:21" x14ac:dyDescent="0.25">
      <c r="A1557" s="5" t="s">
        <v>4817</v>
      </c>
      <c r="B1557" s="5" t="s">
        <v>4818</v>
      </c>
      <c r="C1557" s="5" t="s">
        <v>3548</v>
      </c>
      <c r="D1557" s="5" t="s">
        <v>3782</v>
      </c>
      <c r="E1557" s="5" t="s">
        <v>4363</v>
      </c>
      <c r="F1557" s="5" t="s">
        <v>4004</v>
      </c>
      <c r="G1557" s="5" t="s">
        <v>4255</v>
      </c>
      <c r="H1557" s="5"/>
      <c r="I1557" s="5" t="s">
        <v>3448</v>
      </c>
      <c r="J1557" s="5" t="s">
        <v>3783</v>
      </c>
      <c r="K1557" s="5" t="s">
        <v>4363</v>
      </c>
      <c r="L1557" s="5">
        <v>28</v>
      </c>
      <c r="M1557" s="5">
        <v>10</v>
      </c>
      <c r="N1557" s="5" t="s">
        <v>4005</v>
      </c>
      <c r="O1557" s="5" t="s">
        <v>4256</v>
      </c>
      <c r="P1557" s="5">
        <v>4</v>
      </c>
      <c r="Q1557" s="5">
        <v>3</v>
      </c>
      <c r="R1557" s="5"/>
      <c r="S1557" s="5">
        <v>310</v>
      </c>
      <c r="T1557" s="5">
        <v>310</v>
      </c>
      <c r="U1557" s="5">
        <v>310</v>
      </c>
    </row>
    <row r="1558" spans="1:21" x14ac:dyDescent="0.25">
      <c r="A1558" s="5" t="s">
        <v>4823</v>
      </c>
      <c r="B1558" s="5" t="s">
        <v>4824</v>
      </c>
      <c r="C1558" s="5" t="s">
        <v>3548</v>
      </c>
      <c r="D1558" s="5" t="s">
        <v>3782</v>
      </c>
      <c r="E1558" s="5" t="s">
        <v>4363</v>
      </c>
      <c r="F1558" s="5" t="s">
        <v>4004</v>
      </c>
      <c r="G1558" s="5" t="s">
        <v>4255</v>
      </c>
      <c r="H1558" s="5"/>
      <c r="I1558" s="5" t="s">
        <v>3448</v>
      </c>
      <c r="J1558" s="5" t="s">
        <v>3783</v>
      </c>
      <c r="K1558" s="5" t="s">
        <v>4363</v>
      </c>
      <c r="L1558" s="5">
        <v>28</v>
      </c>
      <c r="M1558" s="5">
        <v>12</v>
      </c>
      <c r="N1558" s="5" t="s">
        <v>4005</v>
      </c>
      <c r="O1558" s="5" t="s">
        <v>4256</v>
      </c>
      <c r="P1558" s="5">
        <v>4</v>
      </c>
      <c r="Q1558" s="5">
        <v>3</v>
      </c>
      <c r="R1558" s="5"/>
      <c r="S1558" s="5">
        <v>371</v>
      </c>
      <c r="T1558" s="5">
        <v>371</v>
      </c>
      <c r="U1558" s="5">
        <v>371</v>
      </c>
    </row>
    <row r="1559" spans="1:21" x14ac:dyDescent="0.25">
      <c r="A1559" s="5" t="s">
        <v>4829</v>
      </c>
      <c r="B1559" s="5" t="s">
        <v>4830</v>
      </c>
      <c r="C1559" s="5" t="s">
        <v>3548</v>
      </c>
      <c r="D1559" s="5" t="s">
        <v>3782</v>
      </c>
      <c r="E1559" s="5" t="s">
        <v>4363</v>
      </c>
      <c r="F1559" s="5" t="s">
        <v>4004</v>
      </c>
      <c r="G1559" s="5" t="s">
        <v>4255</v>
      </c>
      <c r="H1559" s="5"/>
      <c r="I1559" s="5" t="s">
        <v>3448</v>
      </c>
      <c r="J1559" s="5" t="s">
        <v>3783</v>
      </c>
      <c r="K1559" s="5" t="s">
        <v>4363</v>
      </c>
      <c r="L1559" s="5">
        <v>28</v>
      </c>
      <c r="M1559" s="5">
        <v>2</v>
      </c>
      <c r="N1559" s="5" t="s">
        <v>4005</v>
      </c>
      <c r="O1559" s="5" t="s">
        <v>4256</v>
      </c>
      <c r="P1559" s="5">
        <v>3</v>
      </c>
      <c r="Q1559" s="5">
        <v>1</v>
      </c>
      <c r="R1559" s="5"/>
      <c r="S1559" s="5">
        <v>58</v>
      </c>
      <c r="T1559" s="5">
        <v>58</v>
      </c>
      <c r="U1559" s="5">
        <v>58</v>
      </c>
    </row>
    <row r="1560" spans="1:21" x14ac:dyDescent="0.25">
      <c r="A1560" s="5" t="s">
        <v>5105</v>
      </c>
      <c r="B1560" s="5" t="s">
        <v>5106</v>
      </c>
      <c r="C1560" s="5" t="s">
        <v>3548</v>
      </c>
      <c r="D1560" s="5" t="s">
        <v>3782</v>
      </c>
      <c r="E1560" s="5" t="s">
        <v>4363</v>
      </c>
      <c r="F1560" s="5" t="s">
        <v>4004</v>
      </c>
      <c r="G1560" s="5" t="s">
        <v>3493</v>
      </c>
      <c r="H1560" s="5" t="s">
        <v>3838</v>
      </c>
      <c r="I1560" s="5" t="s">
        <v>3448</v>
      </c>
      <c r="J1560" s="5" t="s">
        <v>3783</v>
      </c>
      <c r="K1560" s="5" t="s">
        <v>4363</v>
      </c>
      <c r="L1560" s="5">
        <v>30</v>
      </c>
      <c r="M1560" s="5">
        <v>1</v>
      </c>
      <c r="N1560" s="5" t="s">
        <v>4005</v>
      </c>
      <c r="O1560" s="5" t="s">
        <v>3494</v>
      </c>
      <c r="P1560" s="5">
        <v>4</v>
      </c>
      <c r="Q1560" s="5">
        <v>1</v>
      </c>
      <c r="R1560" s="5" t="s">
        <v>3839</v>
      </c>
      <c r="S1560" s="5">
        <v>28</v>
      </c>
      <c r="T1560" s="5">
        <v>28</v>
      </c>
      <c r="U1560" s="5">
        <v>28</v>
      </c>
    </row>
    <row r="1561" spans="1:21" x14ac:dyDescent="0.25">
      <c r="A1561" s="5" t="s">
        <v>5107</v>
      </c>
      <c r="B1561" s="5" t="s">
        <v>5108</v>
      </c>
      <c r="C1561" s="5" t="s">
        <v>3548</v>
      </c>
      <c r="D1561" s="5" t="s">
        <v>3782</v>
      </c>
      <c r="E1561" s="5" t="s">
        <v>4363</v>
      </c>
      <c r="F1561" s="5" t="s">
        <v>4004</v>
      </c>
      <c r="G1561" s="5" t="s">
        <v>3493</v>
      </c>
      <c r="H1561" s="5" t="s">
        <v>3848</v>
      </c>
      <c r="I1561" s="5" t="s">
        <v>3448</v>
      </c>
      <c r="J1561" s="5" t="s">
        <v>3783</v>
      </c>
      <c r="K1561" s="5" t="s">
        <v>4363</v>
      </c>
      <c r="L1561" s="5">
        <v>30</v>
      </c>
      <c r="M1561" s="5">
        <v>1</v>
      </c>
      <c r="N1561" s="5" t="s">
        <v>4005</v>
      </c>
      <c r="O1561" s="5" t="s">
        <v>3494</v>
      </c>
      <c r="P1561" s="5">
        <v>4</v>
      </c>
      <c r="Q1561" s="5">
        <v>1</v>
      </c>
      <c r="R1561" s="5" t="s">
        <v>3849</v>
      </c>
      <c r="S1561" s="5">
        <v>27</v>
      </c>
      <c r="T1561" s="5">
        <v>27</v>
      </c>
      <c r="U1561" s="5">
        <v>27</v>
      </c>
    </row>
    <row r="1562" spans="1:21" x14ac:dyDescent="0.25">
      <c r="A1562" s="5" t="s">
        <v>5109</v>
      </c>
      <c r="B1562" s="5" t="s">
        <v>5110</v>
      </c>
      <c r="C1562" s="5" t="s">
        <v>3548</v>
      </c>
      <c r="D1562" s="5" t="s">
        <v>3782</v>
      </c>
      <c r="E1562" s="5" t="s">
        <v>4363</v>
      </c>
      <c r="F1562" s="5" t="s">
        <v>4004</v>
      </c>
      <c r="G1562" s="5" t="s">
        <v>3493</v>
      </c>
      <c r="H1562" s="5" t="s">
        <v>3816</v>
      </c>
      <c r="I1562" s="5" t="s">
        <v>3448</v>
      </c>
      <c r="J1562" s="5" t="s">
        <v>3783</v>
      </c>
      <c r="K1562" s="5" t="s">
        <v>4363</v>
      </c>
      <c r="L1562" s="5">
        <v>30</v>
      </c>
      <c r="M1562" s="5">
        <v>1</v>
      </c>
      <c r="N1562" s="5" t="s">
        <v>4005</v>
      </c>
      <c r="O1562" s="5" t="s">
        <v>3494</v>
      </c>
      <c r="P1562" s="5">
        <v>4</v>
      </c>
      <c r="Q1562" s="5">
        <v>1</v>
      </c>
      <c r="R1562" s="5" t="s">
        <v>3817</v>
      </c>
      <c r="S1562" s="5">
        <v>27</v>
      </c>
      <c r="T1562" s="5">
        <v>27</v>
      </c>
      <c r="U1562" s="5">
        <v>27</v>
      </c>
    </row>
    <row r="1563" spans="1:21" x14ac:dyDescent="0.25">
      <c r="A1563" s="5" t="s">
        <v>4843</v>
      </c>
      <c r="B1563" s="5" t="s">
        <v>4844</v>
      </c>
      <c r="C1563" s="5" t="s">
        <v>3548</v>
      </c>
      <c r="D1563" s="5" t="s">
        <v>3782</v>
      </c>
      <c r="E1563" s="5" t="s">
        <v>4363</v>
      </c>
      <c r="F1563" s="5" t="s">
        <v>3584</v>
      </c>
      <c r="G1563" s="5" t="s">
        <v>4255</v>
      </c>
      <c r="H1563" s="5"/>
      <c r="I1563" s="5" t="s">
        <v>3448</v>
      </c>
      <c r="J1563" s="5" t="s">
        <v>3783</v>
      </c>
      <c r="K1563" s="5" t="s">
        <v>4363</v>
      </c>
      <c r="L1563" s="5">
        <v>28</v>
      </c>
      <c r="M1563" s="5">
        <v>2</v>
      </c>
      <c r="N1563" s="5" t="s">
        <v>3585</v>
      </c>
      <c r="O1563" s="5" t="s">
        <v>4256</v>
      </c>
      <c r="P1563" s="5">
        <v>4</v>
      </c>
      <c r="Q1563" s="5">
        <v>1</v>
      </c>
      <c r="R1563" s="5"/>
      <c r="S1563" s="5">
        <v>65</v>
      </c>
      <c r="T1563" s="5">
        <v>65</v>
      </c>
      <c r="U1563" s="5">
        <v>65</v>
      </c>
    </row>
    <row r="1564" spans="1:21" x14ac:dyDescent="0.25">
      <c r="A1564" s="5" t="s">
        <v>5113</v>
      </c>
      <c r="B1564" s="5" t="s">
        <v>5114</v>
      </c>
      <c r="C1564" s="5" t="s">
        <v>3548</v>
      </c>
      <c r="D1564" s="5" t="s">
        <v>3782</v>
      </c>
      <c r="E1564" s="5" t="s">
        <v>4363</v>
      </c>
      <c r="F1564" s="5" t="s">
        <v>4004</v>
      </c>
      <c r="G1564" s="5" t="s">
        <v>4255</v>
      </c>
      <c r="H1564" s="5" t="s">
        <v>3838</v>
      </c>
      <c r="I1564" s="5" t="s">
        <v>3448</v>
      </c>
      <c r="J1564" s="5" t="s">
        <v>3783</v>
      </c>
      <c r="K1564" s="5" t="s">
        <v>4363</v>
      </c>
      <c r="L1564" s="5">
        <v>30</v>
      </c>
      <c r="M1564" s="5">
        <v>1</v>
      </c>
      <c r="N1564" s="5" t="s">
        <v>4005</v>
      </c>
      <c r="O1564" s="5" t="s">
        <v>4256</v>
      </c>
      <c r="P1564" s="5">
        <v>4</v>
      </c>
      <c r="Q1564" s="5">
        <v>1</v>
      </c>
      <c r="R1564" s="5" t="s">
        <v>3839</v>
      </c>
      <c r="S1564" s="5">
        <v>34</v>
      </c>
      <c r="T1564" s="5">
        <v>34</v>
      </c>
      <c r="U1564" s="5">
        <v>34</v>
      </c>
    </row>
    <row r="1565" spans="1:21" x14ac:dyDescent="0.25">
      <c r="A1565" s="5" t="s">
        <v>5115</v>
      </c>
      <c r="B1565" s="5" t="s">
        <v>5116</v>
      </c>
      <c r="C1565" s="5" t="s">
        <v>3548</v>
      </c>
      <c r="D1565" s="5" t="s">
        <v>3782</v>
      </c>
      <c r="E1565" s="5" t="s">
        <v>4363</v>
      </c>
      <c r="F1565" s="5" t="s">
        <v>4004</v>
      </c>
      <c r="G1565" s="5" t="s">
        <v>4255</v>
      </c>
      <c r="H1565" s="5" t="s">
        <v>3848</v>
      </c>
      <c r="I1565" s="5" t="s">
        <v>3448</v>
      </c>
      <c r="J1565" s="5" t="s">
        <v>3783</v>
      </c>
      <c r="K1565" s="5" t="s">
        <v>4363</v>
      </c>
      <c r="L1565" s="5">
        <v>30</v>
      </c>
      <c r="M1565" s="5">
        <v>1</v>
      </c>
      <c r="N1565" s="5" t="s">
        <v>4005</v>
      </c>
      <c r="O1565" s="5" t="s">
        <v>4256</v>
      </c>
      <c r="P1565" s="5">
        <v>4</v>
      </c>
      <c r="Q1565" s="5">
        <v>1</v>
      </c>
      <c r="R1565" s="5" t="s">
        <v>3849</v>
      </c>
      <c r="S1565" s="5">
        <v>34</v>
      </c>
      <c r="T1565" s="5">
        <v>34</v>
      </c>
      <c r="U1565" s="5">
        <v>34</v>
      </c>
    </row>
    <row r="1566" spans="1:21" x14ac:dyDescent="0.25">
      <c r="A1566" s="5" t="s">
        <v>5117</v>
      </c>
      <c r="B1566" s="5" t="s">
        <v>5118</v>
      </c>
      <c r="C1566" s="5" t="s">
        <v>3548</v>
      </c>
      <c r="D1566" s="5" t="s">
        <v>3782</v>
      </c>
      <c r="E1566" s="5" t="s">
        <v>4363</v>
      </c>
      <c r="F1566" s="5" t="s">
        <v>4004</v>
      </c>
      <c r="G1566" s="5" t="s">
        <v>4255</v>
      </c>
      <c r="H1566" s="5" t="s">
        <v>3816</v>
      </c>
      <c r="I1566" s="5" t="s">
        <v>3448</v>
      </c>
      <c r="J1566" s="5" t="s">
        <v>3783</v>
      </c>
      <c r="K1566" s="5" t="s">
        <v>4363</v>
      </c>
      <c r="L1566" s="5">
        <v>30</v>
      </c>
      <c r="M1566" s="5">
        <v>1</v>
      </c>
      <c r="N1566" s="5" t="s">
        <v>4005</v>
      </c>
      <c r="O1566" s="5" t="s">
        <v>4256</v>
      </c>
      <c r="P1566" s="5">
        <v>4</v>
      </c>
      <c r="Q1566" s="5">
        <v>1</v>
      </c>
      <c r="R1566" s="5" t="s">
        <v>3817</v>
      </c>
      <c r="S1566" s="5">
        <v>34</v>
      </c>
      <c r="T1566" s="5">
        <v>34</v>
      </c>
      <c r="U1566" s="5">
        <v>34</v>
      </c>
    </row>
    <row r="1567" spans="1:21" x14ac:dyDescent="0.25">
      <c r="A1567" s="5" t="s">
        <v>4867</v>
      </c>
      <c r="B1567" s="5" t="s">
        <v>4868</v>
      </c>
      <c r="C1567" s="5" t="s">
        <v>3548</v>
      </c>
      <c r="D1567" s="5" t="s">
        <v>3782</v>
      </c>
      <c r="E1567" s="5" t="s">
        <v>4363</v>
      </c>
      <c r="F1567" s="5" t="s">
        <v>4004</v>
      </c>
      <c r="G1567" s="5" t="s">
        <v>4255</v>
      </c>
      <c r="H1567" s="5"/>
      <c r="I1567" s="5" t="s">
        <v>3448</v>
      </c>
      <c r="J1567" s="5" t="s">
        <v>3783</v>
      </c>
      <c r="K1567" s="5" t="s">
        <v>4363</v>
      </c>
      <c r="L1567" s="5">
        <v>28</v>
      </c>
      <c r="M1567" s="5">
        <v>3</v>
      </c>
      <c r="N1567" s="5" t="s">
        <v>4005</v>
      </c>
      <c r="O1567" s="5" t="s">
        <v>4256</v>
      </c>
      <c r="P1567" s="5">
        <v>3</v>
      </c>
      <c r="Q1567" s="5">
        <v>1</v>
      </c>
      <c r="R1567" s="5"/>
      <c r="S1567" s="5">
        <v>84</v>
      </c>
      <c r="T1567" s="5">
        <v>84</v>
      </c>
      <c r="U1567" s="5">
        <v>84</v>
      </c>
    </row>
    <row r="1568" spans="1:21" x14ac:dyDescent="0.25">
      <c r="A1568" s="5" t="s">
        <v>5121</v>
      </c>
      <c r="B1568" s="5" t="s">
        <v>5122</v>
      </c>
      <c r="C1568" s="5" t="s">
        <v>3548</v>
      </c>
      <c r="D1568" s="5" t="s">
        <v>3782</v>
      </c>
      <c r="E1568" s="5" t="s">
        <v>4363</v>
      </c>
      <c r="F1568" s="5" t="s">
        <v>4004</v>
      </c>
      <c r="G1568" s="5" t="s">
        <v>4417</v>
      </c>
      <c r="H1568" s="5" t="s">
        <v>3838</v>
      </c>
      <c r="I1568" s="5" t="s">
        <v>3448</v>
      </c>
      <c r="J1568" s="5" t="s">
        <v>3783</v>
      </c>
      <c r="K1568" s="5" t="s">
        <v>4363</v>
      </c>
      <c r="L1568" s="5">
        <v>30</v>
      </c>
      <c r="M1568" s="5">
        <v>1</v>
      </c>
      <c r="N1568" s="5" t="s">
        <v>4005</v>
      </c>
      <c r="O1568" s="5" t="s">
        <v>4418</v>
      </c>
      <c r="P1568" s="5">
        <v>4</v>
      </c>
      <c r="Q1568" s="5">
        <v>1</v>
      </c>
      <c r="R1568" s="5" t="s">
        <v>3839</v>
      </c>
      <c r="S1568" s="5">
        <v>22</v>
      </c>
      <c r="T1568" s="5">
        <v>22</v>
      </c>
      <c r="U1568" s="5">
        <v>22</v>
      </c>
    </row>
    <row r="1569" spans="1:21" x14ac:dyDescent="0.25">
      <c r="A1569" s="5" t="s">
        <v>5123</v>
      </c>
      <c r="B1569" s="5" t="s">
        <v>5124</v>
      </c>
      <c r="C1569" s="5" t="s">
        <v>3548</v>
      </c>
      <c r="D1569" s="5" t="s">
        <v>3782</v>
      </c>
      <c r="E1569" s="5" t="s">
        <v>4363</v>
      </c>
      <c r="F1569" s="5" t="s">
        <v>4004</v>
      </c>
      <c r="G1569" s="5" t="s">
        <v>4417</v>
      </c>
      <c r="H1569" s="5" t="s">
        <v>3848</v>
      </c>
      <c r="I1569" s="5" t="s">
        <v>3448</v>
      </c>
      <c r="J1569" s="5" t="s">
        <v>3783</v>
      </c>
      <c r="K1569" s="5" t="s">
        <v>4363</v>
      </c>
      <c r="L1569" s="5">
        <v>30</v>
      </c>
      <c r="M1569" s="5">
        <v>1</v>
      </c>
      <c r="N1569" s="5" t="s">
        <v>4005</v>
      </c>
      <c r="O1569" s="5" t="s">
        <v>4418</v>
      </c>
      <c r="P1569" s="5">
        <v>4</v>
      </c>
      <c r="Q1569" s="5">
        <v>1</v>
      </c>
      <c r="R1569" s="5" t="s">
        <v>3849</v>
      </c>
      <c r="S1569" s="5">
        <v>22</v>
      </c>
      <c r="T1569" s="5">
        <v>22</v>
      </c>
      <c r="U1569" s="5">
        <v>22</v>
      </c>
    </row>
    <row r="1570" spans="1:21" x14ac:dyDescent="0.25">
      <c r="A1570" s="5" t="s">
        <v>5125</v>
      </c>
      <c r="B1570" s="5" t="s">
        <v>5126</v>
      </c>
      <c r="C1570" s="5" t="s">
        <v>3548</v>
      </c>
      <c r="D1570" s="5" t="s">
        <v>3782</v>
      </c>
      <c r="E1570" s="5" t="s">
        <v>4363</v>
      </c>
      <c r="F1570" s="5" t="s">
        <v>4004</v>
      </c>
      <c r="G1570" s="5" t="s">
        <v>4417</v>
      </c>
      <c r="H1570" s="5" t="s">
        <v>3816</v>
      </c>
      <c r="I1570" s="5" t="s">
        <v>3448</v>
      </c>
      <c r="J1570" s="5" t="s">
        <v>3783</v>
      </c>
      <c r="K1570" s="5" t="s">
        <v>4363</v>
      </c>
      <c r="L1570" s="5">
        <v>30</v>
      </c>
      <c r="M1570" s="5">
        <v>1</v>
      </c>
      <c r="N1570" s="5" t="s">
        <v>4005</v>
      </c>
      <c r="O1570" s="5" t="s">
        <v>4418</v>
      </c>
      <c r="P1570" s="5">
        <v>4</v>
      </c>
      <c r="Q1570" s="5">
        <v>1</v>
      </c>
      <c r="R1570" s="5" t="s">
        <v>3817</v>
      </c>
      <c r="S1570" s="5">
        <v>21</v>
      </c>
      <c r="T1570" s="5">
        <v>21</v>
      </c>
      <c r="U1570" s="5">
        <v>21</v>
      </c>
    </row>
    <row r="1571" spans="1:21" x14ac:dyDescent="0.25">
      <c r="A1571" s="5" t="s">
        <v>4877</v>
      </c>
      <c r="B1571" s="5" t="s">
        <v>4878</v>
      </c>
      <c r="C1571" s="5" t="s">
        <v>3548</v>
      </c>
      <c r="D1571" s="5" t="s">
        <v>3782</v>
      </c>
      <c r="E1571" s="5" t="s">
        <v>4363</v>
      </c>
      <c r="F1571" s="5" t="s">
        <v>3584</v>
      </c>
      <c r="G1571" s="5" t="s">
        <v>4255</v>
      </c>
      <c r="H1571" s="5"/>
      <c r="I1571" s="5" t="s">
        <v>3448</v>
      </c>
      <c r="J1571" s="5" t="s">
        <v>3783</v>
      </c>
      <c r="K1571" s="5" t="s">
        <v>4363</v>
      </c>
      <c r="L1571" s="5">
        <v>28</v>
      </c>
      <c r="M1571" s="5">
        <v>3</v>
      </c>
      <c r="N1571" s="5" t="s">
        <v>3585</v>
      </c>
      <c r="O1571" s="5" t="s">
        <v>4256</v>
      </c>
      <c r="P1571" s="5">
        <v>4</v>
      </c>
      <c r="Q1571" s="5">
        <v>1</v>
      </c>
      <c r="R1571" s="5"/>
      <c r="S1571" s="5">
        <v>95</v>
      </c>
      <c r="T1571" s="5">
        <v>95</v>
      </c>
      <c r="U1571" s="5">
        <v>95</v>
      </c>
    </row>
    <row r="1572" spans="1:21" x14ac:dyDescent="0.25">
      <c r="A1572" s="5" t="s">
        <v>4885</v>
      </c>
      <c r="B1572" s="5" t="s">
        <v>4886</v>
      </c>
      <c r="C1572" s="5" t="s">
        <v>3548</v>
      </c>
      <c r="D1572" s="5" t="s">
        <v>3782</v>
      </c>
      <c r="E1572" s="5" t="s">
        <v>4363</v>
      </c>
      <c r="F1572" s="5" t="s">
        <v>4004</v>
      </c>
      <c r="G1572" s="5" t="s">
        <v>4255</v>
      </c>
      <c r="H1572" s="5"/>
      <c r="I1572" s="5" t="s">
        <v>3448</v>
      </c>
      <c r="J1572" s="5" t="s">
        <v>3783</v>
      </c>
      <c r="K1572" s="5" t="s">
        <v>4363</v>
      </c>
      <c r="L1572" s="5">
        <v>28</v>
      </c>
      <c r="M1572" s="5">
        <v>3</v>
      </c>
      <c r="N1572" s="5" t="s">
        <v>4005</v>
      </c>
      <c r="O1572" s="5" t="s">
        <v>4256</v>
      </c>
      <c r="P1572" s="5">
        <v>4</v>
      </c>
      <c r="Q1572" s="5">
        <v>1</v>
      </c>
      <c r="R1572" s="5"/>
      <c r="S1572" s="5">
        <v>98</v>
      </c>
      <c r="T1572" s="5">
        <v>98</v>
      </c>
      <c r="U1572" s="5">
        <v>98</v>
      </c>
    </row>
    <row r="1573" spans="1:21" x14ac:dyDescent="0.25">
      <c r="A1573" s="5" t="s">
        <v>4891</v>
      </c>
      <c r="B1573" s="5" t="s">
        <v>4892</v>
      </c>
      <c r="C1573" s="5" t="s">
        <v>3548</v>
      </c>
      <c r="D1573" s="5" t="s">
        <v>3782</v>
      </c>
      <c r="E1573" s="5" t="s">
        <v>4363</v>
      </c>
      <c r="F1573" s="5" t="s">
        <v>4004</v>
      </c>
      <c r="G1573" s="5" t="s">
        <v>4255</v>
      </c>
      <c r="H1573" s="5"/>
      <c r="I1573" s="5" t="s">
        <v>3448</v>
      </c>
      <c r="J1573" s="5" t="s">
        <v>3783</v>
      </c>
      <c r="K1573" s="5" t="s">
        <v>4363</v>
      </c>
      <c r="L1573" s="5">
        <v>28</v>
      </c>
      <c r="M1573" s="5">
        <v>1</v>
      </c>
      <c r="N1573" s="5" t="s">
        <v>4005</v>
      </c>
      <c r="O1573" s="5" t="s">
        <v>4256</v>
      </c>
      <c r="P1573" s="5">
        <v>3</v>
      </c>
      <c r="Q1573" s="5">
        <v>1</v>
      </c>
      <c r="R1573" s="5"/>
      <c r="S1573" s="5">
        <v>30</v>
      </c>
      <c r="T1573" s="5">
        <v>30</v>
      </c>
      <c r="U1573" s="5">
        <v>30</v>
      </c>
    </row>
    <row r="1574" spans="1:21" x14ac:dyDescent="0.25">
      <c r="A1574" s="5" t="s">
        <v>4901</v>
      </c>
      <c r="B1574" s="5" t="s">
        <v>4902</v>
      </c>
      <c r="C1574" s="5" t="s">
        <v>3548</v>
      </c>
      <c r="D1574" s="5" t="s">
        <v>3782</v>
      </c>
      <c r="E1574" s="5" t="s">
        <v>4363</v>
      </c>
      <c r="F1574" s="5" t="s">
        <v>3584</v>
      </c>
      <c r="G1574" s="5" t="s">
        <v>4255</v>
      </c>
      <c r="H1574" s="5"/>
      <c r="I1574" s="5" t="s">
        <v>3448</v>
      </c>
      <c r="J1574" s="5" t="s">
        <v>3783</v>
      </c>
      <c r="K1574" s="5" t="s">
        <v>4363</v>
      </c>
      <c r="L1574" s="5">
        <v>28</v>
      </c>
      <c r="M1574" s="5">
        <v>1</v>
      </c>
      <c r="N1574" s="5" t="s">
        <v>3585</v>
      </c>
      <c r="O1574" s="5" t="s">
        <v>4256</v>
      </c>
      <c r="P1574" s="5">
        <v>4</v>
      </c>
      <c r="Q1574" s="5">
        <v>1</v>
      </c>
      <c r="R1574" s="5"/>
      <c r="S1574" s="5">
        <v>36</v>
      </c>
      <c r="T1574" s="5">
        <v>36</v>
      </c>
      <c r="U1574" s="5">
        <v>36</v>
      </c>
    </row>
    <row r="1575" spans="1:21" x14ac:dyDescent="0.25">
      <c r="A1575" s="5" t="s">
        <v>4927</v>
      </c>
      <c r="B1575" s="5" t="s">
        <v>4928</v>
      </c>
      <c r="C1575" s="5" t="s">
        <v>3548</v>
      </c>
      <c r="D1575" s="5" t="s">
        <v>3782</v>
      </c>
      <c r="E1575" s="5" t="s">
        <v>4363</v>
      </c>
      <c r="F1575" s="5" t="s">
        <v>3584</v>
      </c>
      <c r="G1575" s="5" t="s">
        <v>4255</v>
      </c>
      <c r="H1575" s="5"/>
      <c r="I1575" s="5" t="s">
        <v>3448</v>
      </c>
      <c r="J1575" s="5" t="s">
        <v>3783</v>
      </c>
      <c r="K1575" s="5" t="s">
        <v>4363</v>
      </c>
      <c r="L1575" s="5">
        <v>28</v>
      </c>
      <c r="M1575" s="5">
        <v>4</v>
      </c>
      <c r="N1575" s="5" t="s">
        <v>3585</v>
      </c>
      <c r="O1575" s="5" t="s">
        <v>4256</v>
      </c>
      <c r="P1575" s="5">
        <v>4</v>
      </c>
      <c r="Q1575" s="5">
        <v>1</v>
      </c>
      <c r="R1575" s="5"/>
      <c r="S1575" s="5">
        <v>123</v>
      </c>
      <c r="T1575" s="5">
        <v>123</v>
      </c>
      <c r="U1575" s="5">
        <v>123</v>
      </c>
    </row>
    <row r="1576" spans="1:21" x14ac:dyDescent="0.25">
      <c r="A1576" s="5" t="s">
        <v>4937</v>
      </c>
      <c r="B1576" s="5" t="s">
        <v>4938</v>
      </c>
      <c r="C1576" s="5" t="s">
        <v>3548</v>
      </c>
      <c r="D1576" s="5" t="s">
        <v>3782</v>
      </c>
      <c r="E1576" s="5" t="s">
        <v>4363</v>
      </c>
      <c r="F1576" s="5" t="s">
        <v>4004</v>
      </c>
      <c r="G1576" s="5" t="s">
        <v>4255</v>
      </c>
      <c r="H1576" s="5"/>
      <c r="I1576" s="5" t="s">
        <v>3448</v>
      </c>
      <c r="J1576" s="5" t="s">
        <v>3783</v>
      </c>
      <c r="K1576" s="5" t="s">
        <v>4363</v>
      </c>
      <c r="L1576" s="5">
        <v>28</v>
      </c>
      <c r="M1576" s="5">
        <v>4</v>
      </c>
      <c r="N1576" s="5" t="s">
        <v>4005</v>
      </c>
      <c r="O1576" s="5" t="s">
        <v>4256</v>
      </c>
      <c r="P1576" s="5">
        <v>4</v>
      </c>
      <c r="Q1576" s="5">
        <v>1</v>
      </c>
      <c r="R1576" s="5"/>
      <c r="S1576" s="5">
        <v>124</v>
      </c>
      <c r="T1576" s="5">
        <v>124</v>
      </c>
      <c r="U1576" s="5">
        <v>124</v>
      </c>
    </row>
    <row r="1577" spans="1:21" x14ac:dyDescent="0.25">
      <c r="A1577" s="5" t="s">
        <v>4949</v>
      </c>
      <c r="B1577" s="5" t="s">
        <v>4950</v>
      </c>
      <c r="C1577" s="5" t="s">
        <v>3548</v>
      </c>
      <c r="D1577" s="5" t="s">
        <v>3782</v>
      </c>
      <c r="E1577" s="5" t="s">
        <v>4363</v>
      </c>
      <c r="F1577" s="5" t="s">
        <v>4004</v>
      </c>
      <c r="G1577" s="5" t="s">
        <v>4255</v>
      </c>
      <c r="H1577" s="5"/>
      <c r="I1577" s="5" t="s">
        <v>3448</v>
      </c>
      <c r="J1577" s="5" t="s">
        <v>3783</v>
      </c>
      <c r="K1577" s="5" t="s">
        <v>4363</v>
      </c>
      <c r="L1577" s="5">
        <v>28</v>
      </c>
      <c r="M1577" s="5">
        <v>1</v>
      </c>
      <c r="N1577" s="5" t="s">
        <v>4005</v>
      </c>
      <c r="O1577" s="5" t="s">
        <v>4256</v>
      </c>
      <c r="P1577" s="5">
        <v>4</v>
      </c>
      <c r="Q1577" s="5">
        <v>1</v>
      </c>
      <c r="R1577" s="5"/>
      <c r="S1577" s="5">
        <v>33</v>
      </c>
      <c r="T1577" s="5">
        <v>33</v>
      </c>
      <c r="U1577" s="5">
        <v>33</v>
      </c>
    </row>
    <row r="1578" spans="1:21" x14ac:dyDescent="0.25">
      <c r="A1578" s="5" t="s">
        <v>4967</v>
      </c>
      <c r="B1578" s="5" t="s">
        <v>4968</v>
      </c>
      <c r="C1578" s="5" t="s">
        <v>3548</v>
      </c>
      <c r="D1578" s="5" t="s">
        <v>3782</v>
      </c>
      <c r="E1578" s="5" t="s">
        <v>4363</v>
      </c>
      <c r="F1578" s="5" t="s">
        <v>4004</v>
      </c>
      <c r="G1578" s="5" t="s">
        <v>4255</v>
      </c>
      <c r="H1578" s="5"/>
      <c r="I1578" s="5" t="s">
        <v>3448</v>
      </c>
      <c r="J1578" s="5" t="s">
        <v>3783</v>
      </c>
      <c r="K1578" s="5" t="s">
        <v>4363</v>
      </c>
      <c r="L1578" s="5">
        <v>28</v>
      </c>
      <c r="M1578" s="5">
        <v>6</v>
      </c>
      <c r="N1578" s="5" t="s">
        <v>4005</v>
      </c>
      <c r="O1578" s="5" t="s">
        <v>4256</v>
      </c>
      <c r="P1578" s="5">
        <v>4</v>
      </c>
      <c r="Q1578" s="5">
        <v>2</v>
      </c>
      <c r="R1578" s="5"/>
      <c r="S1578" s="5">
        <v>186</v>
      </c>
      <c r="T1578" s="5">
        <v>186</v>
      </c>
      <c r="U1578" s="5">
        <v>186</v>
      </c>
    </row>
    <row r="1579" spans="1:21" x14ac:dyDescent="0.25">
      <c r="A1579" s="5" t="s">
        <v>7672</v>
      </c>
      <c r="B1579" s="5" t="s">
        <v>7673</v>
      </c>
      <c r="C1579" s="5" t="s">
        <v>3548</v>
      </c>
      <c r="D1579" s="5" t="s">
        <v>3782</v>
      </c>
      <c r="E1579" s="5" t="s">
        <v>4363</v>
      </c>
      <c r="F1579" s="5" t="s">
        <v>3584</v>
      </c>
      <c r="G1579" s="5" t="s">
        <v>4255</v>
      </c>
      <c r="H1579" s="5"/>
      <c r="I1579" s="5" t="s">
        <v>3448</v>
      </c>
      <c r="J1579" s="5" t="s">
        <v>3783</v>
      </c>
      <c r="K1579" s="5" t="s">
        <v>4363</v>
      </c>
      <c r="L1579" s="5">
        <v>28</v>
      </c>
      <c r="M1579" s="5">
        <v>6</v>
      </c>
      <c r="N1579" s="5" t="s">
        <v>3585</v>
      </c>
      <c r="O1579" s="5" t="s">
        <v>4256</v>
      </c>
      <c r="P1579" s="5">
        <v>4</v>
      </c>
      <c r="Q1579" s="5">
        <v>2</v>
      </c>
      <c r="R1579" s="5"/>
      <c r="S1579" s="5">
        <v>190</v>
      </c>
      <c r="T1579" s="5">
        <v>190</v>
      </c>
      <c r="U1579" s="5">
        <v>190</v>
      </c>
    </row>
    <row r="1580" spans="1:21" x14ac:dyDescent="0.25">
      <c r="A1580" s="5" t="s">
        <v>4971</v>
      </c>
      <c r="B1580" s="5" t="s">
        <v>4972</v>
      </c>
      <c r="C1580" s="5" t="s">
        <v>3548</v>
      </c>
      <c r="D1580" s="5" t="s">
        <v>3782</v>
      </c>
      <c r="E1580" s="5" t="s">
        <v>4363</v>
      </c>
      <c r="F1580" s="5" t="s">
        <v>3584</v>
      </c>
      <c r="G1580" s="5" t="s">
        <v>4255</v>
      </c>
      <c r="H1580" s="5"/>
      <c r="I1580" s="5" t="s">
        <v>3448</v>
      </c>
      <c r="J1580" s="5" t="s">
        <v>3783</v>
      </c>
      <c r="K1580" s="5" t="s">
        <v>4363</v>
      </c>
      <c r="L1580" s="5">
        <v>28</v>
      </c>
      <c r="M1580" s="5">
        <v>6</v>
      </c>
      <c r="N1580" s="5" t="s">
        <v>3585</v>
      </c>
      <c r="O1580" s="5" t="s">
        <v>4256</v>
      </c>
      <c r="P1580" s="5">
        <v>4</v>
      </c>
      <c r="Q1580" s="5">
        <v>1</v>
      </c>
      <c r="R1580" s="5"/>
      <c r="S1580" s="5">
        <v>184</v>
      </c>
      <c r="T1580" s="5">
        <v>184</v>
      </c>
      <c r="U1580" s="5">
        <v>184</v>
      </c>
    </row>
    <row r="1581" spans="1:21" x14ac:dyDescent="0.25">
      <c r="A1581" s="5" t="s">
        <v>4975</v>
      </c>
      <c r="B1581" s="5" t="s">
        <v>4976</v>
      </c>
      <c r="C1581" s="5" t="s">
        <v>3548</v>
      </c>
      <c r="D1581" s="5" t="s">
        <v>3782</v>
      </c>
      <c r="E1581" s="5" t="s">
        <v>4363</v>
      </c>
      <c r="F1581" s="5" t="s">
        <v>4004</v>
      </c>
      <c r="G1581" s="5" t="s">
        <v>4255</v>
      </c>
      <c r="H1581" s="5"/>
      <c r="I1581" s="5" t="s">
        <v>3448</v>
      </c>
      <c r="J1581" s="5" t="s">
        <v>3783</v>
      </c>
      <c r="K1581" s="5" t="s">
        <v>4363</v>
      </c>
      <c r="L1581" s="5">
        <v>28</v>
      </c>
      <c r="M1581" s="5">
        <v>6</v>
      </c>
      <c r="N1581" s="5" t="s">
        <v>4005</v>
      </c>
      <c r="O1581" s="5" t="s">
        <v>4256</v>
      </c>
      <c r="P1581" s="5">
        <v>4</v>
      </c>
      <c r="Q1581" s="5">
        <v>1</v>
      </c>
      <c r="R1581" s="5"/>
      <c r="S1581" s="5">
        <v>186</v>
      </c>
      <c r="T1581" s="5">
        <v>186</v>
      </c>
      <c r="U1581" s="5">
        <v>186</v>
      </c>
    </row>
    <row r="1582" spans="1:21" x14ac:dyDescent="0.25">
      <c r="A1582" s="5" t="s">
        <v>4981</v>
      </c>
      <c r="B1582" s="5" t="s">
        <v>4982</v>
      </c>
      <c r="C1582" s="5" t="s">
        <v>3548</v>
      </c>
      <c r="D1582" s="5" t="s">
        <v>3782</v>
      </c>
      <c r="E1582" s="5" t="s">
        <v>4363</v>
      </c>
      <c r="F1582" s="5" t="s">
        <v>4004</v>
      </c>
      <c r="G1582" s="5" t="s">
        <v>4255</v>
      </c>
      <c r="H1582" s="5"/>
      <c r="I1582" s="5" t="s">
        <v>3448</v>
      </c>
      <c r="J1582" s="5" t="s">
        <v>3783</v>
      </c>
      <c r="K1582" s="5" t="s">
        <v>4363</v>
      </c>
      <c r="L1582" s="5">
        <v>28</v>
      </c>
      <c r="M1582" s="5">
        <v>8</v>
      </c>
      <c r="N1582" s="5" t="s">
        <v>4005</v>
      </c>
      <c r="O1582" s="5" t="s">
        <v>4256</v>
      </c>
      <c r="P1582" s="5">
        <v>4</v>
      </c>
      <c r="Q1582" s="5">
        <v>2</v>
      </c>
      <c r="R1582" s="5"/>
      <c r="S1582" s="5">
        <v>248</v>
      </c>
      <c r="T1582" s="5">
        <v>248</v>
      </c>
      <c r="U1582" s="5">
        <v>248</v>
      </c>
    </row>
    <row r="1583" spans="1:21" x14ac:dyDescent="0.25">
      <c r="A1583" s="5" t="s">
        <v>4987</v>
      </c>
      <c r="B1583" s="5" t="s">
        <v>4988</v>
      </c>
      <c r="C1583" s="5" t="s">
        <v>3548</v>
      </c>
      <c r="D1583" s="5" t="s">
        <v>3782</v>
      </c>
      <c r="E1583" s="5" t="s">
        <v>4363</v>
      </c>
      <c r="F1583" s="5" t="s">
        <v>4004</v>
      </c>
      <c r="G1583" s="5" t="s">
        <v>4255</v>
      </c>
      <c r="H1583" s="5"/>
      <c r="I1583" s="5" t="s">
        <v>3448</v>
      </c>
      <c r="J1583" s="5" t="s">
        <v>3783</v>
      </c>
      <c r="K1583" s="5" t="s">
        <v>4363</v>
      </c>
      <c r="L1583" s="5">
        <v>30</v>
      </c>
      <c r="M1583" s="5">
        <v>10</v>
      </c>
      <c r="N1583" s="5" t="s">
        <v>4005</v>
      </c>
      <c r="O1583" s="5" t="s">
        <v>4256</v>
      </c>
      <c r="P1583" s="5">
        <v>4</v>
      </c>
      <c r="Q1583" s="5">
        <v>3</v>
      </c>
      <c r="R1583" s="5"/>
      <c r="S1583" s="5">
        <v>337</v>
      </c>
      <c r="T1583" s="5">
        <v>337</v>
      </c>
      <c r="U1583" s="5">
        <v>337</v>
      </c>
    </row>
    <row r="1584" spans="1:21" x14ac:dyDescent="0.25">
      <c r="A1584" s="5" t="s">
        <v>4993</v>
      </c>
      <c r="B1584" s="5" t="s">
        <v>4994</v>
      </c>
      <c r="C1584" s="5" t="s">
        <v>3548</v>
      </c>
      <c r="D1584" s="5" t="s">
        <v>3782</v>
      </c>
      <c r="E1584" s="5" t="s">
        <v>4363</v>
      </c>
      <c r="F1584" s="5" t="s">
        <v>4004</v>
      </c>
      <c r="G1584" s="5" t="s">
        <v>4255</v>
      </c>
      <c r="H1584" s="5"/>
      <c r="I1584" s="5" t="s">
        <v>3448</v>
      </c>
      <c r="J1584" s="5" t="s">
        <v>3783</v>
      </c>
      <c r="K1584" s="5" t="s">
        <v>4363</v>
      </c>
      <c r="L1584" s="5">
        <v>30</v>
      </c>
      <c r="M1584" s="5">
        <v>12</v>
      </c>
      <c r="N1584" s="5" t="s">
        <v>4005</v>
      </c>
      <c r="O1584" s="5" t="s">
        <v>4256</v>
      </c>
      <c r="P1584" s="5">
        <v>4</v>
      </c>
      <c r="Q1584" s="5">
        <v>3</v>
      </c>
      <c r="R1584" s="5"/>
      <c r="S1584" s="5">
        <v>403</v>
      </c>
      <c r="T1584" s="5">
        <v>403</v>
      </c>
      <c r="U1584" s="5">
        <v>403</v>
      </c>
    </row>
    <row r="1585" spans="1:21" x14ac:dyDescent="0.25">
      <c r="A1585" s="5" t="s">
        <v>5049</v>
      </c>
      <c r="B1585" s="5" t="s">
        <v>5050</v>
      </c>
      <c r="C1585" s="5" t="s">
        <v>3548</v>
      </c>
      <c r="D1585" s="5" t="s">
        <v>3782</v>
      </c>
      <c r="E1585" s="5" t="s">
        <v>4363</v>
      </c>
      <c r="F1585" s="5" t="s">
        <v>4004</v>
      </c>
      <c r="G1585" s="5" t="s">
        <v>4255</v>
      </c>
      <c r="H1585" s="5"/>
      <c r="I1585" s="5" t="s">
        <v>3448</v>
      </c>
      <c r="J1585" s="5" t="s">
        <v>3783</v>
      </c>
      <c r="K1585" s="5" t="s">
        <v>4363</v>
      </c>
      <c r="L1585" s="5">
        <v>30</v>
      </c>
      <c r="M1585" s="5">
        <v>3</v>
      </c>
      <c r="N1585" s="5" t="s">
        <v>4005</v>
      </c>
      <c r="O1585" s="5" t="s">
        <v>4256</v>
      </c>
      <c r="P1585" s="5">
        <v>4</v>
      </c>
      <c r="Q1585" s="5">
        <v>1</v>
      </c>
      <c r="R1585" s="5"/>
      <c r="S1585" s="5">
        <v>102</v>
      </c>
      <c r="T1585" s="5">
        <v>102</v>
      </c>
      <c r="U1585" s="5">
        <v>102</v>
      </c>
    </row>
    <row r="1586" spans="1:21" x14ac:dyDescent="0.25">
      <c r="A1586" s="5" t="s">
        <v>5099</v>
      </c>
      <c r="B1586" s="5" t="s">
        <v>5100</v>
      </c>
      <c r="C1586" s="5" t="s">
        <v>3548</v>
      </c>
      <c r="D1586" s="5" t="s">
        <v>3782</v>
      </c>
      <c r="E1586" s="5" t="s">
        <v>4363</v>
      </c>
      <c r="F1586" s="5" t="s">
        <v>4004</v>
      </c>
      <c r="G1586" s="5" t="s">
        <v>4255</v>
      </c>
      <c r="H1586" s="5"/>
      <c r="I1586" s="5" t="s">
        <v>3448</v>
      </c>
      <c r="J1586" s="5" t="s">
        <v>3783</v>
      </c>
      <c r="K1586" s="5" t="s">
        <v>4363</v>
      </c>
      <c r="L1586" s="5">
        <v>30</v>
      </c>
      <c r="M1586" s="5">
        <v>4</v>
      </c>
      <c r="N1586" s="5" t="s">
        <v>4005</v>
      </c>
      <c r="O1586" s="5" t="s">
        <v>4256</v>
      </c>
      <c r="P1586" s="5">
        <v>4</v>
      </c>
      <c r="Q1586" s="5">
        <v>1</v>
      </c>
      <c r="R1586" s="5"/>
      <c r="S1586" s="5">
        <v>134</v>
      </c>
      <c r="T1586" s="5">
        <v>134</v>
      </c>
      <c r="U1586" s="5">
        <v>134</v>
      </c>
    </row>
    <row r="1587" spans="1:21" x14ac:dyDescent="0.25">
      <c r="A1587" s="5" t="s">
        <v>5185</v>
      </c>
      <c r="B1587" s="5" t="s">
        <v>5186</v>
      </c>
      <c r="C1587" s="5" t="s">
        <v>3548</v>
      </c>
      <c r="D1587" s="5" t="s">
        <v>3782</v>
      </c>
      <c r="E1587" s="5" t="s">
        <v>4363</v>
      </c>
      <c r="F1587" s="5" t="s">
        <v>3584</v>
      </c>
      <c r="G1587" s="5" t="s">
        <v>3493</v>
      </c>
      <c r="H1587" s="5" t="s">
        <v>3838</v>
      </c>
      <c r="I1587" s="5" t="s">
        <v>3448</v>
      </c>
      <c r="J1587" s="5" t="s">
        <v>3783</v>
      </c>
      <c r="K1587" s="5" t="s">
        <v>4363</v>
      </c>
      <c r="L1587" s="5">
        <v>32</v>
      </c>
      <c r="M1587" s="5">
        <v>2</v>
      </c>
      <c r="N1587" s="5" t="s">
        <v>3585</v>
      </c>
      <c r="O1587" s="5" t="s">
        <v>3494</v>
      </c>
      <c r="P1587" s="5">
        <v>4</v>
      </c>
      <c r="Q1587" s="5">
        <v>1</v>
      </c>
      <c r="R1587" s="5" t="s">
        <v>3839</v>
      </c>
      <c r="S1587" s="5">
        <v>54</v>
      </c>
      <c r="T1587" s="5">
        <v>54</v>
      </c>
      <c r="U1587" s="5">
        <v>54</v>
      </c>
    </row>
    <row r="1588" spans="1:21" x14ac:dyDescent="0.25">
      <c r="A1588" s="5" t="s">
        <v>5187</v>
      </c>
      <c r="B1588" s="5" t="s">
        <v>5188</v>
      </c>
      <c r="C1588" s="5" t="s">
        <v>3548</v>
      </c>
      <c r="D1588" s="5" t="s">
        <v>3782</v>
      </c>
      <c r="E1588" s="5" t="s">
        <v>4363</v>
      </c>
      <c r="F1588" s="5" t="s">
        <v>3584</v>
      </c>
      <c r="G1588" s="5" t="s">
        <v>3493</v>
      </c>
      <c r="H1588" s="5" t="s">
        <v>3816</v>
      </c>
      <c r="I1588" s="5" t="s">
        <v>3448</v>
      </c>
      <c r="J1588" s="5" t="s">
        <v>3783</v>
      </c>
      <c r="K1588" s="5" t="s">
        <v>4363</v>
      </c>
      <c r="L1588" s="5">
        <v>32</v>
      </c>
      <c r="M1588" s="5">
        <v>2</v>
      </c>
      <c r="N1588" s="5" t="s">
        <v>3585</v>
      </c>
      <c r="O1588" s="5" t="s">
        <v>3494</v>
      </c>
      <c r="P1588" s="5">
        <v>4</v>
      </c>
      <c r="Q1588" s="5">
        <v>1</v>
      </c>
      <c r="R1588" s="5" t="s">
        <v>3817</v>
      </c>
      <c r="S1588" s="5">
        <v>56</v>
      </c>
      <c r="T1588" s="5">
        <v>56</v>
      </c>
      <c r="U1588" s="5">
        <v>56</v>
      </c>
    </row>
    <row r="1589" spans="1:21" x14ac:dyDescent="0.25">
      <c r="A1589" s="5" t="s">
        <v>5111</v>
      </c>
      <c r="B1589" s="5" t="s">
        <v>5112</v>
      </c>
      <c r="C1589" s="5" t="s">
        <v>3548</v>
      </c>
      <c r="D1589" s="5" t="s">
        <v>3782</v>
      </c>
      <c r="E1589" s="5" t="s">
        <v>4363</v>
      </c>
      <c r="F1589" s="5" t="s">
        <v>4004</v>
      </c>
      <c r="G1589" s="5" t="s">
        <v>4255</v>
      </c>
      <c r="H1589" s="5"/>
      <c r="I1589" s="5" t="s">
        <v>3448</v>
      </c>
      <c r="J1589" s="5" t="s">
        <v>3783</v>
      </c>
      <c r="K1589" s="5" t="s">
        <v>4363</v>
      </c>
      <c r="L1589" s="5">
        <v>30</v>
      </c>
      <c r="M1589" s="5">
        <v>1</v>
      </c>
      <c r="N1589" s="5" t="s">
        <v>4005</v>
      </c>
      <c r="O1589" s="5" t="s">
        <v>4256</v>
      </c>
      <c r="P1589" s="5">
        <v>4</v>
      </c>
      <c r="Q1589" s="5">
        <v>1</v>
      </c>
      <c r="R1589" s="5"/>
      <c r="S1589" s="5">
        <v>36</v>
      </c>
      <c r="T1589" s="5">
        <v>36</v>
      </c>
      <c r="U1589" s="5">
        <v>36</v>
      </c>
    </row>
    <row r="1590" spans="1:21" x14ac:dyDescent="0.25">
      <c r="A1590" s="5" t="s">
        <v>5191</v>
      </c>
      <c r="B1590" s="5" t="s">
        <v>5192</v>
      </c>
      <c r="C1590" s="5" t="s">
        <v>3548</v>
      </c>
      <c r="D1590" s="5" t="s">
        <v>3782</v>
      </c>
      <c r="E1590" s="5" t="s">
        <v>4363</v>
      </c>
      <c r="F1590" s="5" t="s">
        <v>3584</v>
      </c>
      <c r="G1590" s="5" t="s">
        <v>3826</v>
      </c>
      <c r="H1590" s="5" t="s">
        <v>3816</v>
      </c>
      <c r="I1590" s="5" t="s">
        <v>3448</v>
      </c>
      <c r="J1590" s="5" t="s">
        <v>3783</v>
      </c>
      <c r="K1590" s="5" t="s">
        <v>4363</v>
      </c>
      <c r="L1590" s="5">
        <v>32</v>
      </c>
      <c r="M1590" s="5">
        <v>2</v>
      </c>
      <c r="N1590" s="5" t="s">
        <v>3585</v>
      </c>
      <c r="O1590" s="5" t="s">
        <v>3827</v>
      </c>
      <c r="P1590" s="5">
        <v>4</v>
      </c>
      <c r="Q1590" s="5">
        <v>1</v>
      </c>
      <c r="R1590" s="5" t="s">
        <v>3817</v>
      </c>
      <c r="S1590" s="5">
        <v>51</v>
      </c>
      <c r="T1590" s="5">
        <v>51</v>
      </c>
      <c r="U1590" s="5">
        <v>51</v>
      </c>
    </row>
    <row r="1591" spans="1:21" x14ac:dyDescent="0.25">
      <c r="A1591" s="5" t="s">
        <v>5133</v>
      </c>
      <c r="B1591" s="5" t="s">
        <v>5134</v>
      </c>
      <c r="C1591" s="5" t="s">
        <v>3548</v>
      </c>
      <c r="D1591" s="5" t="s">
        <v>3782</v>
      </c>
      <c r="E1591" s="5" t="s">
        <v>4363</v>
      </c>
      <c r="F1591" s="5" t="s">
        <v>4004</v>
      </c>
      <c r="G1591" s="5" t="s">
        <v>4255</v>
      </c>
      <c r="H1591" s="5"/>
      <c r="I1591" s="5" t="s">
        <v>3448</v>
      </c>
      <c r="J1591" s="5" t="s">
        <v>3783</v>
      </c>
      <c r="K1591" s="5" t="s">
        <v>4363</v>
      </c>
      <c r="L1591" s="5">
        <v>30</v>
      </c>
      <c r="M1591" s="5">
        <v>6</v>
      </c>
      <c r="N1591" s="5" t="s">
        <v>4005</v>
      </c>
      <c r="O1591" s="5" t="s">
        <v>4256</v>
      </c>
      <c r="P1591" s="5">
        <v>4</v>
      </c>
      <c r="Q1591" s="5">
        <v>2</v>
      </c>
      <c r="R1591" s="5"/>
      <c r="S1591" s="5">
        <v>204</v>
      </c>
      <c r="T1591" s="5">
        <v>204</v>
      </c>
      <c r="U1591" s="5">
        <v>204</v>
      </c>
    </row>
    <row r="1592" spans="1:21" x14ac:dyDescent="0.25">
      <c r="A1592" s="5" t="s">
        <v>5195</v>
      </c>
      <c r="B1592" s="5" t="s">
        <v>5196</v>
      </c>
      <c r="C1592" s="5" t="s">
        <v>3548</v>
      </c>
      <c r="D1592" s="5" t="s">
        <v>3782</v>
      </c>
      <c r="E1592" s="5" t="s">
        <v>4363</v>
      </c>
      <c r="F1592" s="5" t="s">
        <v>3584</v>
      </c>
      <c r="G1592" s="5" t="s">
        <v>4255</v>
      </c>
      <c r="H1592" s="5" t="s">
        <v>3838</v>
      </c>
      <c r="I1592" s="5" t="s">
        <v>3448</v>
      </c>
      <c r="J1592" s="5" t="s">
        <v>3783</v>
      </c>
      <c r="K1592" s="5" t="s">
        <v>4363</v>
      </c>
      <c r="L1592" s="5">
        <v>32</v>
      </c>
      <c r="M1592" s="5">
        <v>2</v>
      </c>
      <c r="N1592" s="5" t="s">
        <v>3585</v>
      </c>
      <c r="O1592" s="5" t="s">
        <v>4256</v>
      </c>
      <c r="P1592" s="5">
        <v>4</v>
      </c>
      <c r="Q1592" s="5">
        <v>1</v>
      </c>
      <c r="R1592" s="5" t="s">
        <v>3839</v>
      </c>
      <c r="S1592" s="5">
        <v>71</v>
      </c>
      <c r="T1592" s="5">
        <v>71</v>
      </c>
      <c r="U1592" s="5">
        <v>71</v>
      </c>
    </row>
    <row r="1593" spans="1:21" x14ac:dyDescent="0.25">
      <c r="A1593" s="5" t="s">
        <v>5197</v>
      </c>
      <c r="B1593" s="5" t="s">
        <v>5198</v>
      </c>
      <c r="C1593" s="5" t="s">
        <v>3548</v>
      </c>
      <c r="D1593" s="5" t="s">
        <v>3782</v>
      </c>
      <c r="E1593" s="5" t="s">
        <v>4363</v>
      </c>
      <c r="F1593" s="5" t="s">
        <v>3584</v>
      </c>
      <c r="G1593" s="5" t="s">
        <v>4255</v>
      </c>
      <c r="H1593" s="5" t="s">
        <v>3848</v>
      </c>
      <c r="I1593" s="5" t="s">
        <v>3448</v>
      </c>
      <c r="J1593" s="5" t="s">
        <v>3783</v>
      </c>
      <c r="K1593" s="5" t="s">
        <v>4363</v>
      </c>
      <c r="L1593" s="5">
        <v>32</v>
      </c>
      <c r="M1593" s="5">
        <v>2</v>
      </c>
      <c r="N1593" s="5" t="s">
        <v>3585</v>
      </c>
      <c r="O1593" s="5" t="s">
        <v>4256</v>
      </c>
      <c r="P1593" s="5">
        <v>4</v>
      </c>
      <c r="Q1593" s="5">
        <v>1</v>
      </c>
      <c r="R1593" s="5" t="s">
        <v>3849</v>
      </c>
      <c r="S1593" s="5">
        <v>72</v>
      </c>
      <c r="T1593" s="5">
        <v>72</v>
      </c>
      <c r="U1593" s="5">
        <v>72</v>
      </c>
    </row>
    <row r="1594" spans="1:21" x14ac:dyDescent="0.25">
      <c r="A1594" s="5" t="s">
        <v>5137</v>
      </c>
      <c r="B1594" s="5" t="s">
        <v>5138</v>
      </c>
      <c r="C1594" s="5" t="s">
        <v>3548</v>
      </c>
      <c r="D1594" s="5" t="s">
        <v>3782</v>
      </c>
      <c r="E1594" s="5" t="s">
        <v>4363</v>
      </c>
      <c r="F1594" s="5" t="s">
        <v>3584</v>
      </c>
      <c r="G1594" s="5" t="s">
        <v>4255</v>
      </c>
      <c r="H1594" s="5"/>
      <c r="I1594" s="5" t="s">
        <v>3448</v>
      </c>
      <c r="J1594" s="5" t="s">
        <v>3783</v>
      </c>
      <c r="K1594" s="5" t="s">
        <v>4363</v>
      </c>
      <c r="L1594" s="5">
        <v>30</v>
      </c>
      <c r="M1594" s="5">
        <v>6</v>
      </c>
      <c r="N1594" s="5" t="s">
        <v>3585</v>
      </c>
      <c r="O1594" s="5" t="s">
        <v>4256</v>
      </c>
      <c r="P1594" s="5">
        <v>4</v>
      </c>
      <c r="Q1594" s="5">
        <v>1</v>
      </c>
      <c r="R1594" s="5"/>
      <c r="S1594" s="5">
        <v>200</v>
      </c>
      <c r="T1594" s="5">
        <v>200</v>
      </c>
      <c r="U1594" s="5">
        <v>200</v>
      </c>
    </row>
    <row r="1595" spans="1:21" x14ac:dyDescent="0.25">
      <c r="A1595" s="5" t="s">
        <v>5201</v>
      </c>
      <c r="B1595" s="5" t="s">
        <v>5202</v>
      </c>
      <c r="C1595" s="5" t="s">
        <v>3548</v>
      </c>
      <c r="D1595" s="5" t="s">
        <v>3782</v>
      </c>
      <c r="E1595" s="5" t="s">
        <v>4363</v>
      </c>
      <c r="F1595" s="5" t="s">
        <v>3584</v>
      </c>
      <c r="G1595" s="5" t="s">
        <v>4417</v>
      </c>
      <c r="H1595" s="5" t="s">
        <v>3838</v>
      </c>
      <c r="I1595" s="5" t="s">
        <v>3448</v>
      </c>
      <c r="J1595" s="5" t="s">
        <v>3783</v>
      </c>
      <c r="K1595" s="5" t="s">
        <v>4363</v>
      </c>
      <c r="L1595" s="5">
        <v>32</v>
      </c>
      <c r="M1595" s="5">
        <v>2</v>
      </c>
      <c r="N1595" s="5" t="s">
        <v>3585</v>
      </c>
      <c r="O1595" s="5" t="s">
        <v>4418</v>
      </c>
      <c r="P1595" s="5">
        <v>4</v>
      </c>
      <c r="Q1595" s="5">
        <v>1</v>
      </c>
      <c r="R1595" s="5" t="s">
        <v>3839</v>
      </c>
      <c r="S1595" s="5">
        <v>45</v>
      </c>
      <c r="T1595" s="5">
        <v>45</v>
      </c>
      <c r="U1595" s="5">
        <v>45</v>
      </c>
    </row>
    <row r="1596" spans="1:21" x14ac:dyDescent="0.25">
      <c r="A1596" s="5" t="s">
        <v>5207</v>
      </c>
      <c r="B1596" s="5" t="s">
        <v>5208</v>
      </c>
      <c r="C1596" s="5" t="s">
        <v>3548</v>
      </c>
      <c r="D1596" s="5" t="s">
        <v>3782</v>
      </c>
      <c r="E1596" s="5" t="s">
        <v>4363</v>
      </c>
      <c r="F1596" s="5" t="s">
        <v>4390</v>
      </c>
      <c r="G1596" s="5" t="s">
        <v>3493</v>
      </c>
      <c r="H1596" s="5" t="s">
        <v>3816</v>
      </c>
      <c r="I1596" s="5" t="s">
        <v>3448</v>
      </c>
      <c r="J1596" s="5" t="s">
        <v>3783</v>
      </c>
      <c r="K1596" s="5" t="s">
        <v>4363</v>
      </c>
      <c r="L1596" s="5">
        <v>32</v>
      </c>
      <c r="M1596" s="5">
        <v>2</v>
      </c>
      <c r="N1596" s="5" t="s">
        <v>4391</v>
      </c>
      <c r="O1596" s="5" t="s">
        <v>3494</v>
      </c>
      <c r="P1596" s="5">
        <v>4</v>
      </c>
      <c r="Q1596" s="5">
        <v>1</v>
      </c>
      <c r="R1596" s="5" t="s">
        <v>3817</v>
      </c>
      <c r="S1596" s="5">
        <v>54</v>
      </c>
      <c r="T1596" s="5">
        <v>54</v>
      </c>
      <c r="U1596" s="5">
        <v>54</v>
      </c>
    </row>
    <row r="1597" spans="1:21" x14ac:dyDescent="0.25">
      <c r="A1597" s="5" t="s">
        <v>5141</v>
      </c>
      <c r="B1597" s="5" t="s">
        <v>5142</v>
      </c>
      <c r="C1597" s="5" t="s">
        <v>3548</v>
      </c>
      <c r="D1597" s="5" t="s">
        <v>3782</v>
      </c>
      <c r="E1597" s="5" t="s">
        <v>4363</v>
      </c>
      <c r="F1597" s="5" t="s">
        <v>4004</v>
      </c>
      <c r="G1597" s="5" t="s">
        <v>4255</v>
      </c>
      <c r="H1597" s="5"/>
      <c r="I1597" s="5" t="s">
        <v>3448</v>
      </c>
      <c r="J1597" s="5" t="s">
        <v>3783</v>
      </c>
      <c r="K1597" s="5" t="s">
        <v>4363</v>
      </c>
      <c r="L1597" s="5">
        <v>30</v>
      </c>
      <c r="M1597" s="5">
        <v>6</v>
      </c>
      <c r="N1597" s="5" t="s">
        <v>4005</v>
      </c>
      <c r="O1597" s="5" t="s">
        <v>4256</v>
      </c>
      <c r="P1597" s="5">
        <v>4</v>
      </c>
      <c r="Q1597" s="5">
        <v>1</v>
      </c>
      <c r="R1597" s="5"/>
      <c r="S1597" s="5">
        <v>204</v>
      </c>
      <c r="T1597" s="5">
        <v>204</v>
      </c>
      <c r="U1597" s="5">
        <v>204</v>
      </c>
    </row>
    <row r="1598" spans="1:21" x14ac:dyDescent="0.25">
      <c r="A1598" s="5" t="s">
        <v>5211</v>
      </c>
      <c r="B1598" s="5" t="s">
        <v>5212</v>
      </c>
      <c r="C1598" s="5" t="s">
        <v>3548</v>
      </c>
      <c r="D1598" s="5" t="s">
        <v>3782</v>
      </c>
      <c r="E1598" s="5" t="s">
        <v>4363</v>
      </c>
      <c r="F1598" s="5" t="s">
        <v>4390</v>
      </c>
      <c r="G1598" s="5" t="s">
        <v>3826</v>
      </c>
      <c r="H1598" s="5" t="s">
        <v>3816</v>
      </c>
      <c r="I1598" s="5" t="s">
        <v>3448</v>
      </c>
      <c r="J1598" s="5" t="s">
        <v>3783</v>
      </c>
      <c r="K1598" s="5" t="s">
        <v>4363</v>
      </c>
      <c r="L1598" s="5">
        <v>32</v>
      </c>
      <c r="M1598" s="5">
        <v>2</v>
      </c>
      <c r="N1598" s="5" t="s">
        <v>4391</v>
      </c>
      <c r="O1598" s="5" t="s">
        <v>3827</v>
      </c>
      <c r="P1598" s="5">
        <v>4</v>
      </c>
      <c r="Q1598" s="5">
        <v>1</v>
      </c>
      <c r="R1598" s="5" t="s">
        <v>3817</v>
      </c>
      <c r="S1598" s="5">
        <v>48</v>
      </c>
      <c r="T1598" s="5">
        <v>48</v>
      </c>
      <c r="U1598" s="5">
        <v>48</v>
      </c>
    </row>
    <row r="1599" spans="1:21" x14ac:dyDescent="0.25">
      <c r="A1599" s="5" t="s">
        <v>5147</v>
      </c>
      <c r="B1599" s="5" t="s">
        <v>5148</v>
      </c>
      <c r="C1599" s="5" t="s">
        <v>3548</v>
      </c>
      <c r="D1599" s="5" t="s">
        <v>3782</v>
      </c>
      <c r="E1599" s="5" t="s">
        <v>4363</v>
      </c>
      <c r="F1599" s="5" t="s">
        <v>4004</v>
      </c>
      <c r="G1599" s="5" t="s">
        <v>4255</v>
      </c>
      <c r="H1599" s="5"/>
      <c r="I1599" s="5" t="s">
        <v>3448</v>
      </c>
      <c r="J1599" s="5" t="s">
        <v>3783</v>
      </c>
      <c r="K1599" s="5" t="s">
        <v>4363</v>
      </c>
      <c r="L1599" s="5">
        <v>30</v>
      </c>
      <c r="M1599" s="5">
        <v>8</v>
      </c>
      <c r="N1599" s="5" t="s">
        <v>4005</v>
      </c>
      <c r="O1599" s="5" t="s">
        <v>4256</v>
      </c>
      <c r="P1599" s="5">
        <v>4</v>
      </c>
      <c r="Q1599" s="5">
        <v>2</v>
      </c>
      <c r="R1599" s="5"/>
      <c r="S1599" s="5">
        <v>269</v>
      </c>
      <c r="T1599" s="5">
        <v>269</v>
      </c>
      <c r="U1599" s="5">
        <v>269</v>
      </c>
    </row>
    <row r="1600" spans="1:21" x14ac:dyDescent="0.25">
      <c r="A1600" s="5" t="s">
        <v>5221</v>
      </c>
      <c r="B1600" s="5" t="s">
        <v>5222</v>
      </c>
      <c r="C1600" s="5" t="s">
        <v>3548</v>
      </c>
      <c r="D1600" s="5" t="s">
        <v>3782</v>
      </c>
      <c r="E1600" s="5" t="s">
        <v>4363</v>
      </c>
      <c r="F1600" s="5" t="s">
        <v>4004</v>
      </c>
      <c r="G1600" s="5" t="s">
        <v>3493</v>
      </c>
      <c r="H1600" s="5" t="s">
        <v>3838</v>
      </c>
      <c r="I1600" s="5" t="s">
        <v>3448</v>
      </c>
      <c r="J1600" s="5" t="s">
        <v>3783</v>
      </c>
      <c r="K1600" s="5" t="s">
        <v>4363</v>
      </c>
      <c r="L1600" s="5">
        <v>32</v>
      </c>
      <c r="M1600" s="5">
        <v>2</v>
      </c>
      <c r="N1600" s="5" t="s">
        <v>4005</v>
      </c>
      <c r="O1600" s="5" t="s">
        <v>3494</v>
      </c>
      <c r="P1600" s="5">
        <v>4</v>
      </c>
      <c r="Q1600" s="5">
        <v>1</v>
      </c>
      <c r="R1600" s="5" t="s">
        <v>3839</v>
      </c>
      <c r="S1600" s="5">
        <v>56</v>
      </c>
      <c r="T1600" s="5">
        <v>56</v>
      </c>
      <c r="U1600" s="5">
        <v>56</v>
      </c>
    </row>
    <row r="1601" spans="1:21" x14ac:dyDescent="0.25">
      <c r="A1601" s="5" t="s">
        <v>5223</v>
      </c>
      <c r="B1601" s="5" t="s">
        <v>5224</v>
      </c>
      <c r="C1601" s="5" t="s">
        <v>3548</v>
      </c>
      <c r="D1601" s="5" t="s">
        <v>3782</v>
      </c>
      <c r="E1601" s="5" t="s">
        <v>4363</v>
      </c>
      <c r="F1601" s="5" t="s">
        <v>4004</v>
      </c>
      <c r="G1601" s="5" t="s">
        <v>3493</v>
      </c>
      <c r="H1601" s="5" t="s">
        <v>3816</v>
      </c>
      <c r="I1601" s="5" t="s">
        <v>3448</v>
      </c>
      <c r="J1601" s="5" t="s">
        <v>3783</v>
      </c>
      <c r="K1601" s="5" t="s">
        <v>4363</v>
      </c>
      <c r="L1601" s="5">
        <v>32</v>
      </c>
      <c r="M1601" s="5">
        <v>2</v>
      </c>
      <c r="N1601" s="5" t="s">
        <v>4005</v>
      </c>
      <c r="O1601" s="5" t="s">
        <v>3494</v>
      </c>
      <c r="P1601" s="5">
        <v>4</v>
      </c>
      <c r="Q1601" s="5">
        <v>1</v>
      </c>
      <c r="R1601" s="5" t="s">
        <v>3817</v>
      </c>
      <c r="S1601" s="5">
        <v>59</v>
      </c>
      <c r="T1601" s="5">
        <v>59</v>
      </c>
      <c r="U1601" s="5">
        <v>59</v>
      </c>
    </row>
    <row r="1602" spans="1:21" x14ac:dyDescent="0.25">
      <c r="A1602" s="5" t="s">
        <v>5153</v>
      </c>
      <c r="B1602" s="5" t="s">
        <v>5154</v>
      </c>
      <c r="C1602" s="5" t="s">
        <v>3548</v>
      </c>
      <c r="D1602" s="5" t="s">
        <v>3782</v>
      </c>
      <c r="E1602" s="5" t="s">
        <v>4363</v>
      </c>
      <c r="F1602" s="5" t="s">
        <v>4004</v>
      </c>
      <c r="G1602" s="5" t="s">
        <v>4255</v>
      </c>
      <c r="H1602" s="5"/>
      <c r="I1602" s="5" t="s">
        <v>3448</v>
      </c>
      <c r="J1602" s="5" t="s">
        <v>3783</v>
      </c>
      <c r="K1602" s="5" t="s">
        <v>4363</v>
      </c>
      <c r="L1602" s="5">
        <v>32</v>
      </c>
      <c r="M1602" s="5">
        <v>10</v>
      </c>
      <c r="N1602" s="5" t="s">
        <v>4005</v>
      </c>
      <c r="O1602" s="5" t="s">
        <v>4256</v>
      </c>
      <c r="P1602" s="5">
        <v>4</v>
      </c>
      <c r="Q1602" s="5">
        <v>3</v>
      </c>
      <c r="R1602" s="5"/>
      <c r="S1602" s="5">
        <v>361</v>
      </c>
      <c r="T1602" s="5">
        <v>361</v>
      </c>
      <c r="U1602" s="5">
        <v>361</v>
      </c>
    </row>
    <row r="1603" spans="1:21" x14ac:dyDescent="0.25">
      <c r="A1603" s="5" t="s">
        <v>5227</v>
      </c>
      <c r="B1603" s="5" t="s">
        <v>5228</v>
      </c>
      <c r="C1603" s="5" t="s">
        <v>3548</v>
      </c>
      <c r="D1603" s="5" t="s">
        <v>3782</v>
      </c>
      <c r="E1603" s="5" t="s">
        <v>4363</v>
      </c>
      <c r="F1603" s="5" t="s">
        <v>4004</v>
      </c>
      <c r="G1603" s="5" t="s">
        <v>3826</v>
      </c>
      <c r="H1603" s="5" t="s">
        <v>3816</v>
      </c>
      <c r="I1603" s="5" t="s">
        <v>3448</v>
      </c>
      <c r="J1603" s="5" t="s">
        <v>3783</v>
      </c>
      <c r="K1603" s="5" t="s">
        <v>4363</v>
      </c>
      <c r="L1603" s="5">
        <v>32</v>
      </c>
      <c r="M1603" s="5">
        <v>2</v>
      </c>
      <c r="N1603" s="5" t="s">
        <v>4005</v>
      </c>
      <c r="O1603" s="5" t="s">
        <v>3827</v>
      </c>
      <c r="P1603" s="5">
        <v>4</v>
      </c>
      <c r="Q1603" s="5">
        <v>1</v>
      </c>
      <c r="R1603" s="5" t="s">
        <v>3817</v>
      </c>
      <c r="S1603" s="5">
        <v>53</v>
      </c>
      <c r="T1603" s="5">
        <v>53</v>
      </c>
      <c r="U1603" s="5">
        <v>53</v>
      </c>
    </row>
    <row r="1604" spans="1:21" x14ac:dyDescent="0.25">
      <c r="A1604" s="5" t="s">
        <v>5159</v>
      </c>
      <c r="B1604" s="5" t="s">
        <v>5160</v>
      </c>
      <c r="C1604" s="5" t="s">
        <v>3548</v>
      </c>
      <c r="D1604" s="5" t="s">
        <v>3782</v>
      </c>
      <c r="E1604" s="5" t="s">
        <v>4363</v>
      </c>
      <c r="F1604" s="5" t="s">
        <v>4004</v>
      </c>
      <c r="G1604" s="5" t="s">
        <v>4255</v>
      </c>
      <c r="H1604" s="5"/>
      <c r="I1604" s="5" t="s">
        <v>3448</v>
      </c>
      <c r="J1604" s="5" t="s">
        <v>3783</v>
      </c>
      <c r="K1604" s="5" t="s">
        <v>4363</v>
      </c>
      <c r="L1604" s="5">
        <v>32</v>
      </c>
      <c r="M1604" s="5">
        <v>12</v>
      </c>
      <c r="N1604" s="5" t="s">
        <v>4005</v>
      </c>
      <c r="O1604" s="5" t="s">
        <v>4256</v>
      </c>
      <c r="P1604" s="5">
        <v>4</v>
      </c>
      <c r="Q1604" s="5">
        <v>3</v>
      </c>
      <c r="R1604" s="5"/>
      <c r="S1604" s="5">
        <v>431</v>
      </c>
      <c r="T1604" s="5">
        <v>431</v>
      </c>
      <c r="U1604" s="5">
        <v>431</v>
      </c>
    </row>
    <row r="1605" spans="1:21" x14ac:dyDescent="0.25">
      <c r="A1605" s="5" t="s">
        <v>5231</v>
      </c>
      <c r="B1605" s="5" t="s">
        <v>5232</v>
      </c>
      <c r="C1605" s="5" t="s">
        <v>3548</v>
      </c>
      <c r="D1605" s="5" t="s">
        <v>3782</v>
      </c>
      <c r="E1605" s="5" t="s">
        <v>4363</v>
      </c>
      <c r="F1605" s="5" t="s">
        <v>4004</v>
      </c>
      <c r="G1605" s="5" t="s">
        <v>4255</v>
      </c>
      <c r="H1605" s="5" t="s">
        <v>3838</v>
      </c>
      <c r="I1605" s="5" t="s">
        <v>3448</v>
      </c>
      <c r="J1605" s="5" t="s">
        <v>3783</v>
      </c>
      <c r="K1605" s="5" t="s">
        <v>4363</v>
      </c>
      <c r="L1605" s="5">
        <v>32</v>
      </c>
      <c r="M1605" s="5">
        <v>2</v>
      </c>
      <c r="N1605" s="5" t="s">
        <v>4005</v>
      </c>
      <c r="O1605" s="5" t="s">
        <v>4256</v>
      </c>
      <c r="P1605" s="5">
        <v>4</v>
      </c>
      <c r="Q1605" s="5">
        <v>1</v>
      </c>
      <c r="R1605" s="5" t="s">
        <v>3839</v>
      </c>
      <c r="S1605" s="5">
        <v>72</v>
      </c>
      <c r="T1605" s="5">
        <v>72</v>
      </c>
      <c r="U1605" s="5">
        <v>72</v>
      </c>
    </row>
    <row r="1606" spans="1:21" x14ac:dyDescent="0.25">
      <c r="A1606" s="5" t="s">
        <v>5179</v>
      </c>
      <c r="B1606" s="5" t="s">
        <v>5180</v>
      </c>
      <c r="C1606" s="5" t="s">
        <v>3548</v>
      </c>
      <c r="D1606" s="5" t="s">
        <v>3782</v>
      </c>
      <c r="E1606" s="5" t="s">
        <v>4363</v>
      </c>
      <c r="F1606" s="5" t="s">
        <v>5173</v>
      </c>
      <c r="G1606" s="5" t="s">
        <v>4255</v>
      </c>
      <c r="H1606" s="5"/>
      <c r="I1606" s="5" t="s">
        <v>3448</v>
      </c>
      <c r="J1606" s="5" t="s">
        <v>3783</v>
      </c>
      <c r="K1606" s="5" t="s">
        <v>4363</v>
      </c>
      <c r="L1606" s="5">
        <v>32</v>
      </c>
      <c r="M1606" s="5">
        <v>2</v>
      </c>
      <c r="N1606" s="5" t="s">
        <v>5174</v>
      </c>
      <c r="O1606" s="5" t="s">
        <v>4256</v>
      </c>
      <c r="P1606" s="5">
        <v>4</v>
      </c>
      <c r="Q1606" s="5">
        <v>1</v>
      </c>
      <c r="R1606" s="5"/>
      <c r="S1606" s="5">
        <v>75</v>
      </c>
      <c r="T1606" s="5">
        <v>75</v>
      </c>
      <c r="U1606" s="5">
        <v>75</v>
      </c>
    </row>
    <row r="1607" spans="1:21" x14ac:dyDescent="0.25">
      <c r="A1607" s="5" t="s">
        <v>5235</v>
      </c>
      <c r="B1607" s="5" t="s">
        <v>5236</v>
      </c>
      <c r="C1607" s="5" t="s">
        <v>3548</v>
      </c>
      <c r="D1607" s="5" t="s">
        <v>3782</v>
      </c>
      <c r="E1607" s="5" t="s">
        <v>4363</v>
      </c>
      <c r="F1607" s="5" t="s">
        <v>4004</v>
      </c>
      <c r="G1607" s="5" t="s">
        <v>4417</v>
      </c>
      <c r="H1607" s="5" t="s">
        <v>3838</v>
      </c>
      <c r="I1607" s="5" t="s">
        <v>3448</v>
      </c>
      <c r="J1607" s="5" t="s">
        <v>3783</v>
      </c>
      <c r="K1607" s="5" t="s">
        <v>4363</v>
      </c>
      <c r="L1607" s="5">
        <v>32</v>
      </c>
      <c r="M1607" s="5">
        <v>2</v>
      </c>
      <c r="N1607" s="5" t="s">
        <v>4005</v>
      </c>
      <c r="O1607" s="5" t="s">
        <v>4418</v>
      </c>
      <c r="P1607" s="5">
        <v>4</v>
      </c>
      <c r="Q1607" s="5">
        <v>1</v>
      </c>
      <c r="R1607" s="5" t="s">
        <v>3839</v>
      </c>
      <c r="S1607" s="5">
        <v>45</v>
      </c>
      <c r="T1607" s="5">
        <v>45</v>
      </c>
      <c r="U1607" s="5">
        <v>45</v>
      </c>
    </row>
    <row r="1608" spans="1:21" x14ac:dyDescent="0.25">
      <c r="A1608" s="5" t="s">
        <v>5193</v>
      </c>
      <c r="B1608" s="5" t="s">
        <v>5194</v>
      </c>
      <c r="C1608" s="5" t="s">
        <v>3548</v>
      </c>
      <c r="D1608" s="5" t="s">
        <v>3782</v>
      </c>
      <c r="E1608" s="5" t="s">
        <v>4363</v>
      </c>
      <c r="F1608" s="5" t="s">
        <v>3584</v>
      </c>
      <c r="G1608" s="5" t="s">
        <v>4255</v>
      </c>
      <c r="H1608" s="5"/>
      <c r="I1608" s="5" t="s">
        <v>3448</v>
      </c>
      <c r="J1608" s="5" t="s">
        <v>3783</v>
      </c>
      <c r="K1608" s="5" t="s">
        <v>4363</v>
      </c>
      <c r="L1608" s="5">
        <v>32</v>
      </c>
      <c r="M1608" s="5">
        <v>2</v>
      </c>
      <c r="N1608" s="5" t="s">
        <v>3585</v>
      </c>
      <c r="O1608" s="5" t="s">
        <v>4256</v>
      </c>
      <c r="P1608" s="5">
        <v>4</v>
      </c>
      <c r="Q1608" s="5">
        <v>1</v>
      </c>
      <c r="R1608" s="5"/>
      <c r="S1608" s="5">
        <v>79</v>
      </c>
      <c r="T1608" s="5">
        <v>79</v>
      </c>
      <c r="U1608" s="5">
        <v>79</v>
      </c>
    </row>
    <row r="1609" spans="1:21" x14ac:dyDescent="0.25">
      <c r="A1609" s="5" t="s">
        <v>5213</v>
      </c>
      <c r="B1609" s="5" t="s">
        <v>5214</v>
      </c>
      <c r="C1609" s="5" t="s">
        <v>3548</v>
      </c>
      <c r="D1609" s="5" t="s">
        <v>3782</v>
      </c>
      <c r="E1609" s="5" t="s">
        <v>4363</v>
      </c>
      <c r="F1609" s="5" t="s">
        <v>4390</v>
      </c>
      <c r="G1609" s="5" t="s">
        <v>4255</v>
      </c>
      <c r="H1609" s="5"/>
      <c r="I1609" s="5" t="s">
        <v>3448</v>
      </c>
      <c r="J1609" s="5" t="s">
        <v>3783</v>
      </c>
      <c r="K1609" s="5" t="s">
        <v>4363</v>
      </c>
      <c r="L1609" s="5">
        <v>32</v>
      </c>
      <c r="M1609" s="5">
        <v>2</v>
      </c>
      <c r="N1609" s="5" t="s">
        <v>4391</v>
      </c>
      <c r="O1609" s="5" t="s">
        <v>4256</v>
      </c>
      <c r="P1609" s="5">
        <v>4</v>
      </c>
      <c r="Q1609" s="5">
        <v>1</v>
      </c>
      <c r="R1609" s="5"/>
      <c r="S1609" s="5">
        <v>75</v>
      </c>
      <c r="T1609" s="5">
        <v>75</v>
      </c>
      <c r="U1609" s="5">
        <v>75</v>
      </c>
    </row>
    <row r="1610" spans="1:21" x14ac:dyDescent="0.25">
      <c r="A1610" s="5" t="s">
        <v>5229</v>
      </c>
      <c r="B1610" s="5" t="s">
        <v>5230</v>
      </c>
      <c r="C1610" s="5" t="s">
        <v>3548</v>
      </c>
      <c r="D1610" s="5" t="s">
        <v>3782</v>
      </c>
      <c r="E1610" s="5" t="s">
        <v>4363</v>
      </c>
      <c r="F1610" s="5" t="s">
        <v>4004</v>
      </c>
      <c r="G1610" s="5" t="s">
        <v>4255</v>
      </c>
      <c r="H1610" s="5"/>
      <c r="I1610" s="5" t="s">
        <v>3448</v>
      </c>
      <c r="J1610" s="5" t="s">
        <v>3783</v>
      </c>
      <c r="K1610" s="5" t="s">
        <v>4363</v>
      </c>
      <c r="L1610" s="5">
        <v>32</v>
      </c>
      <c r="M1610" s="5">
        <v>2</v>
      </c>
      <c r="N1610" s="5" t="s">
        <v>4005</v>
      </c>
      <c r="O1610" s="5" t="s">
        <v>4256</v>
      </c>
      <c r="P1610" s="5">
        <v>4</v>
      </c>
      <c r="Q1610" s="5">
        <v>1</v>
      </c>
      <c r="R1610" s="5"/>
      <c r="S1610" s="5">
        <v>85</v>
      </c>
      <c r="T1610" s="5">
        <v>85</v>
      </c>
      <c r="U1610" s="5">
        <v>85</v>
      </c>
    </row>
    <row r="1611" spans="1:21" x14ac:dyDescent="0.25">
      <c r="A1611" s="5" t="s">
        <v>5243</v>
      </c>
      <c r="B1611" s="5" t="s">
        <v>5244</v>
      </c>
      <c r="C1611" s="5" t="s">
        <v>3548</v>
      </c>
      <c r="D1611" s="5" t="s">
        <v>3782</v>
      </c>
      <c r="E1611" s="5" t="s">
        <v>4363</v>
      </c>
      <c r="F1611" s="5" t="s">
        <v>4421</v>
      </c>
      <c r="G1611" s="5" t="s">
        <v>4255</v>
      </c>
      <c r="H1611" s="5"/>
      <c r="I1611" s="5" t="s">
        <v>3448</v>
      </c>
      <c r="J1611" s="5" t="s">
        <v>3783</v>
      </c>
      <c r="K1611" s="5" t="s">
        <v>4363</v>
      </c>
      <c r="L1611" s="5">
        <v>32</v>
      </c>
      <c r="M1611" s="5">
        <v>2</v>
      </c>
      <c r="N1611" s="5" t="s">
        <v>4422</v>
      </c>
      <c r="O1611" s="5" t="s">
        <v>4256</v>
      </c>
      <c r="P1611" s="5">
        <v>4</v>
      </c>
      <c r="Q1611" s="5">
        <v>1</v>
      </c>
      <c r="R1611" s="5"/>
      <c r="S1611" s="5">
        <v>73</v>
      </c>
      <c r="T1611" s="5">
        <v>73</v>
      </c>
      <c r="U1611" s="5">
        <v>73</v>
      </c>
    </row>
    <row r="1612" spans="1:21" x14ac:dyDescent="0.25">
      <c r="A1612" s="5" t="s">
        <v>5263</v>
      </c>
      <c r="B1612" s="5" t="s">
        <v>5264</v>
      </c>
      <c r="C1612" s="5" t="s">
        <v>3548</v>
      </c>
      <c r="D1612" s="5" t="s">
        <v>3782</v>
      </c>
      <c r="E1612" s="5" t="s">
        <v>4363</v>
      </c>
      <c r="F1612" s="5" t="s">
        <v>5173</v>
      </c>
      <c r="G1612" s="5" t="s">
        <v>4255</v>
      </c>
      <c r="H1612" s="5"/>
      <c r="I1612" s="5" t="s">
        <v>3448</v>
      </c>
      <c r="J1612" s="5" t="s">
        <v>3783</v>
      </c>
      <c r="K1612" s="5" t="s">
        <v>4363</v>
      </c>
      <c r="L1612" s="5">
        <v>32</v>
      </c>
      <c r="M1612" s="5">
        <v>3</v>
      </c>
      <c r="N1612" s="5" t="s">
        <v>5174</v>
      </c>
      <c r="O1612" s="5" t="s">
        <v>4256</v>
      </c>
      <c r="P1612" s="5">
        <v>4</v>
      </c>
      <c r="Q1612" s="5">
        <v>1</v>
      </c>
      <c r="R1612" s="5"/>
      <c r="S1612" s="5">
        <v>110</v>
      </c>
      <c r="T1612" s="5">
        <v>110</v>
      </c>
      <c r="U1612" s="5">
        <v>110</v>
      </c>
    </row>
    <row r="1613" spans="1:21" x14ac:dyDescent="0.25">
      <c r="A1613" s="5" t="s">
        <v>5275</v>
      </c>
      <c r="B1613" s="5" t="s">
        <v>5276</v>
      </c>
      <c r="C1613" s="5" t="s">
        <v>3548</v>
      </c>
      <c r="D1613" s="5" t="s">
        <v>3782</v>
      </c>
      <c r="E1613" s="5" t="s">
        <v>4363</v>
      </c>
      <c r="F1613" s="5" t="s">
        <v>3584</v>
      </c>
      <c r="G1613" s="5" t="s">
        <v>4255</v>
      </c>
      <c r="H1613" s="5"/>
      <c r="I1613" s="5" t="s">
        <v>3448</v>
      </c>
      <c r="J1613" s="5" t="s">
        <v>3783</v>
      </c>
      <c r="K1613" s="5" t="s">
        <v>4363</v>
      </c>
      <c r="L1613" s="5">
        <v>32</v>
      </c>
      <c r="M1613" s="5">
        <v>3</v>
      </c>
      <c r="N1613" s="5" t="s">
        <v>3585</v>
      </c>
      <c r="O1613" s="5" t="s">
        <v>4256</v>
      </c>
      <c r="P1613" s="5">
        <v>4</v>
      </c>
      <c r="Q1613" s="5">
        <v>1</v>
      </c>
      <c r="R1613" s="5"/>
      <c r="S1613" s="5">
        <v>113</v>
      </c>
      <c r="T1613" s="5">
        <v>113</v>
      </c>
      <c r="U1613" s="5">
        <v>113</v>
      </c>
    </row>
    <row r="1614" spans="1:21" x14ac:dyDescent="0.25">
      <c r="A1614" s="5" t="s">
        <v>5285</v>
      </c>
      <c r="B1614" s="5" t="s">
        <v>5286</v>
      </c>
      <c r="C1614" s="5" t="s">
        <v>3548</v>
      </c>
      <c r="D1614" s="5" t="s">
        <v>3782</v>
      </c>
      <c r="E1614" s="5" t="s">
        <v>4363</v>
      </c>
      <c r="F1614" s="5" t="s">
        <v>4390</v>
      </c>
      <c r="G1614" s="5" t="s">
        <v>4255</v>
      </c>
      <c r="H1614" s="5"/>
      <c r="I1614" s="5" t="s">
        <v>3448</v>
      </c>
      <c r="J1614" s="5" t="s">
        <v>3783</v>
      </c>
      <c r="K1614" s="5" t="s">
        <v>4363</v>
      </c>
      <c r="L1614" s="5">
        <v>32</v>
      </c>
      <c r="M1614" s="5">
        <v>3</v>
      </c>
      <c r="N1614" s="5" t="s">
        <v>4391</v>
      </c>
      <c r="O1614" s="5" t="s">
        <v>4256</v>
      </c>
      <c r="P1614" s="5">
        <v>4</v>
      </c>
      <c r="Q1614" s="5">
        <v>1</v>
      </c>
      <c r="R1614" s="5"/>
      <c r="S1614" s="5">
        <v>109</v>
      </c>
      <c r="T1614" s="5">
        <v>109</v>
      </c>
      <c r="U1614" s="5">
        <v>109</v>
      </c>
    </row>
    <row r="1615" spans="1:21" x14ac:dyDescent="0.25">
      <c r="A1615" s="5" t="s">
        <v>5295</v>
      </c>
      <c r="B1615" s="5" t="s">
        <v>5296</v>
      </c>
      <c r="C1615" s="5" t="s">
        <v>3548</v>
      </c>
      <c r="D1615" s="5" t="s">
        <v>3782</v>
      </c>
      <c r="E1615" s="5" t="s">
        <v>4363</v>
      </c>
      <c r="F1615" s="5" t="s">
        <v>4004</v>
      </c>
      <c r="G1615" s="5" t="s">
        <v>4255</v>
      </c>
      <c r="H1615" s="5"/>
      <c r="I1615" s="5" t="s">
        <v>3448</v>
      </c>
      <c r="J1615" s="5" t="s">
        <v>3783</v>
      </c>
      <c r="K1615" s="5" t="s">
        <v>4363</v>
      </c>
      <c r="L1615" s="5">
        <v>32</v>
      </c>
      <c r="M1615" s="5">
        <v>3</v>
      </c>
      <c r="N1615" s="5" t="s">
        <v>4005</v>
      </c>
      <c r="O1615" s="5" t="s">
        <v>4256</v>
      </c>
      <c r="P1615" s="5">
        <v>4</v>
      </c>
      <c r="Q1615" s="5">
        <v>1</v>
      </c>
      <c r="R1615" s="5"/>
      <c r="S1615" s="5">
        <v>110</v>
      </c>
      <c r="T1615" s="5">
        <v>110</v>
      </c>
      <c r="U1615" s="5">
        <v>110</v>
      </c>
    </row>
    <row r="1616" spans="1:21" x14ac:dyDescent="0.25">
      <c r="A1616" s="5" t="s">
        <v>5273</v>
      </c>
      <c r="B1616" s="5" t="s">
        <v>5274</v>
      </c>
      <c r="C1616" s="5" t="s">
        <v>3548</v>
      </c>
      <c r="D1616" s="5" t="s">
        <v>3782</v>
      </c>
      <c r="E1616" s="5" t="s">
        <v>4363</v>
      </c>
      <c r="F1616" s="5" t="s">
        <v>3584</v>
      </c>
      <c r="G1616" s="5" t="s">
        <v>3826</v>
      </c>
      <c r="H1616" s="5" t="s">
        <v>3838</v>
      </c>
      <c r="I1616" s="5" t="s">
        <v>3448</v>
      </c>
      <c r="J1616" s="5" t="s">
        <v>3783</v>
      </c>
      <c r="K1616" s="5" t="s">
        <v>4363</v>
      </c>
      <c r="L1616" s="5">
        <v>32</v>
      </c>
      <c r="M1616" s="5">
        <v>3</v>
      </c>
      <c r="N1616" s="5" t="s">
        <v>3585</v>
      </c>
      <c r="O1616" s="5" t="s">
        <v>3827</v>
      </c>
      <c r="P1616" s="5">
        <v>4</v>
      </c>
      <c r="Q1616" s="5">
        <v>1</v>
      </c>
      <c r="R1616" s="5" t="s">
        <v>3839</v>
      </c>
      <c r="S1616" s="5">
        <v>83</v>
      </c>
      <c r="T1616" s="5">
        <v>83</v>
      </c>
      <c r="U1616" s="5">
        <v>83</v>
      </c>
    </row>
    <row r="1617" spans="1:21" x14ac:dyDescent="0.25">
      <c r="A1617" s="5" t="s">
        <v>5311</v>
      </c>
      <c r="B1617" s="5" t="s">
        <v>5312</v>
      </c>
      <c r="C1617" s="5" t="s">
        <v>3548</v>
      </c>
      <c r="D1617" s="5" t="s">
        <v>3782</v>
      </c>
      <c r="E1617" s="5" t="s">
        <v>4363</v>
      </c>
      <c r="F1617" s="5" t="s">
        <v>5173</v>
      </c>
      <c r="G1617" s="5" t="s">
        <v>4255</v>
      </c>
      <c r="H1617" s="5"/>
      <c r="I1617" s="5" t="s">
        <v>3448</v>
      </c>
      <c r="J1617" s="5" t="s">
        <v>3783</v>
      </c>
      <c r="K1617" s="5" t="s">
        <v>4363</v>
      </c>
      <c r="L1617" s="5">
        <v>32</v>
      </c>
      <c r="M1617" s="5">
        <v>1</v>
      </c>
      <c r="N1617" s="5" t="s">
        <v>5174</v>
      </c>
      <c r="O1617" s="5" t="s">
        <v>4256</v>
      </c>
      <c r="P1617" s="5">
        <v>4</v>
      </c>
      <c r="Q1617" s="5">
        <v>1</v>
      </c>
      <c r="R1617" s="5"/>
      <c r="S1617" s="5">
        <v>39</v>
      </c>
      <c r="T1617" s="5">
        <v>39</v>
      </c>
      <c r="U1617" s="5">
        <v>39</v>
      </c>
    </row>
    <row r="1618" spans="1:21" x14ac:dyDescent="0.25">
      <c r="A1618" s="5" t="s">
        <v>5277</v>
      </c>
      <c r="B1618" s="5" t="s">
        <v>5278</v>
      </c>
      <c r="C1618" s="5" t="s">
        <v>3548</v>
      </c>
      <c r="D1618" s="5" t="s">
        <v>3782</v>
      </c>
      <c r="E1618" s="5" t="s">
        <v>4363</v>
      </c>
      <c r="F1618" s="5" t="s">
        <v>3584</v>
      </c>
      <c r="G1618" s="5" t="s">
        <v>4255</v>
      </c>
      <c r="H1618" s="5" t="s">
        <v>3838</v>
      </c>
      <c r="I1618" s="5" t="s">
        <v>3448</v>
      </c>
      <c r="J1618" s="5" t="s">
        <v>3783</v>
      </c>
      <c r="K1618" s="5" t="s">
        <v>4363</v>
      </c>
      <c r="L1618" s="5">
        <v>32</v>
      </c>
      <c r="M1618" s="5">
        <v>3</v>
      </c>
      <c r="N1618" s="5" t="s">
        <v>3585</v>
      </c>
      <c r="O1618" s="5" t="s">
        <v>4256</v>
      </c>
      <c r="P1618" s="5">
        <v>4</v>
      </c>
      <c r="Q1618" s="5">
        <v>1</v>
      </c>
      <c r="R1618" s="5" t="s">
        <v>3839</v>
      </c>
      <c r="S1618" s="5">
        <v>108</v>
      </c>
      <c r="T1618" s="5">
        <v>108</v>
      </c>
      <c r="U1618" s="5">
        <v>108</v>
      </c>
    </row>
    <row r="1619" spans="1:21" x14ac:dyDescent="0.25">
      <c r="A1619" s="5" t="s">
        <v>5337</v>
      </c>
      <c r="B1619" s="5" t="s">
        <v>5338</v>
      </c>
      <c r="C1619" s="5" t="s">
        <v>3548</v>
      </c>
      <c r="D1619" s="5" t="s">
        <v>3782</v>
      </c>
      <c r="E1619" s="5" t="s">
        <v>4363</v>
      </c>
      <c r="F1619" s="5" t="s">
        <v>3584</v>
      </c>
      <c r="G1619" s="5" t="s">
        <v>4255</v>
      </c>
      <c r="H1619" s="5"/>
      <c r="I1619" s="5" t="s">
        <v>3448</v>
      </c>
      <c r="J1619" s="5" t="s">
        <v>3783</v>
      </c>
      <c r="K1619" s="5" t="s">
        <v>4363</v>
      </c>
      <c r="L1619" s="5">
        <v>32</v>
      </c>
      <c r="M1619" s="5">
        <v>1</v>
      </c>
      <c r="N1619" s="5" t="s">
        <v>3585</v>
      </c>
      <c r="O1619" s="5" t="s">
        <v>4256</v>
      </c>
      <c r="P1619" s="5">
        <v>4</v>
      </c>
      <c r="Q1619" s="5">
        <v>1</v>
      </c>
      <c r="R1619" s="5"/>
      <c r="S1619" s="5">
        <v>41</v>
      </c>
      <c r="T1619" s="5">
        <v>41</v>
      </c>
      <c r="U1619" s="5">
        <v>41</v>
      </c>
    </row>
    <row r="1620" spans="1:21" x14ac:dyDescent="0.25">
      <c r="A1620" s="5" t="s">
        <v>5367</v>
      </c>
      <c r="B1620" s="5" t="s">
        <v>5368</v>
      </c>
      <c r="C1620" s="5" t="s">
        <v>3548</v>
      </c>
      <c r="D1620" s="5" t="s">
        <v>3782</v>
      </c>
      <c r="E1620" s="5" t="s">
        <v>4363</v>
      </c>
      <c r="F1620" s="5" t="s">
        <v>4390</v>
      </c>
      <c r="G1620" s="5" t="s">
        <v>4255</v>
      </c>
      <c r="H1620" s="5"/>
      <c r="I1620" s="5" t="s">
        <v>3448</v>
      </c>
      <c r="J1620" s="5" t="s">
        <v>3783</v>
      </c>
      <c r="K1620" s="5" t="s">
        <v>4363</v>
      </c>
      <c r="L1620" s="5">
        <v>32</v>
      </c>
      <c r="M1620" s="5">
        <v>1</v>
      </c>
      <c r="N1620" s="5" t="s">
        <v>4391</v>
      </c>
      <c r="O1620" s="5" t="s">
        <v>4256</v>
      </c>
      <c r="P1620" s="5">
        <v>4</v>
      </c>
      <c r="Q1620" s="5">
        <v>1</v>
      </c>
      <c r="R1620" s="5"/>
      <c r="S1620" s="5">
        <v>36</v>
      </c>
      <c r="T1620" s="5">
        <v>36</v>
      </c>
      <c r="U1620" s="5">
        <v>36</v>
      </c>
    </row>
    <row r="1621" spans="1:21" x14ac:dyDescent="0.25">
      <c r="A1621" s="5" t="s">
        <v>5375</v>
      </c>
      <c r="B1621" s="5" t="s">
        <v>5376</v>
      </c>
      <c r="C1621" s="5" t="s">
        <v>3548</v>
      </c>
      <c r="D1621" s="5" t="s">
        <v>3782</v>
      </c>
      <c r="E1621" s="5" t="s">
        <v>4363</v>
      </c>
      <c r="F1621" s="5" t="s">
        <v>3584</v>
      </c>
      <c r="G1621" s="5" t="s">
        <v>4255</v>
      </c>
      <c r="H1621" s="5"/>
      <c r="I1621" s="5" t="s">
        <v>3448</v>
      </c>
      <c r="J1621" s="5" t="s">
        <v>3783</v>
      </c>
      <c r="K1621" s="5" t="s">
        <v>4363</v>
      </c>
      <c r="L1621" s="5">
        <v>32</v>
      </c>
      <c r="M1621" s="5">
        <v>4</v>
      </c>
      <c r="N1621" s="5" t="s">
        <v>3585</v>
      </c>
      <c r="O1621" s="5" t="s">
        <v>4256</v>
      </c>
      <c r="P1621" s="5">
        <v>4</v>
      </c>
      <c r="Q1621" s="5">
        <v>2</v>
      </c>
      <c r="R1621" s="5"/>
      <c r="S1621" s="5">
        <v>158</v>
      </c>
      <c r="T1621" s="5">
        <v>158</v>
      </c>
      <c r="U1621" s="5">
        <v>158</v>
      </c>
    </row>
    <row r="1622" spans="1:21" x14ac:dyDescent="0.25">
      <c r="A1622" s="5" t="s">
        <v>5379</v>
      </c>
      <c r="B1622" s="5" t="s">
        <v>5380</v>
      </c>
      <c r="C1622" s="5" t="s">
        <v>3548</v>
      </c>
      <c r="D1622" s="5" t="s">
        <v>3782</v>
      </c>
      <c r="E1622" s="5" t="s">
        <v>4363</v>
      </c>
      <c r="F1622" s="5" t="s">
        <v>4835</v>
      </c>
      <c r="G1622" s="5" t="s">
        <v>4255</v>
      </c>
      <c r="H1622" s="5"/>
      <c r="I1622" s="5" t="s">
        <v>3448</v>
      </c>
      <c r="J1622" s="5" t="s">
        <v>3783</v>
      </c>
      <c r="K1622" s="5" t="s">
        <v>4363</v>
      </c>
      <c r="L1622" s="5">
        <v>32</v>
      </c>
      <c r="M1622" s="5">
        <v>4</v>
      </c>
      <c r="N1622" s="5" t="s">
        <v>4836</v>
      </c>
      <c r="O1622" s="5" t="s">
        <v>4256</v>
      </c>
      <c r="P1622" s="5">
        <v>4</v>
      </c>
      <c r="Q1622" s="5">
        <v>1</v>
      </c>
      <c r="R1622" s="5"/>
      <c r="S1622" s="5">
        <v>215</v>
      </c>
      <c r="T1622" s="5">
        <v>215</v>
      </c>
      <c r="U1622" s="5">
        <v>215</v>
      </c>
    </row>
    <row r="1623" spans="1:21" x14ac:dyDescent="0.25">
      <c r="A1623" s="5" t="s">
        <v>5383</v>
      </c>
      <c r="B1623" s="5" t="s">
        <v>5384</v>
      </c>
      <c r="C1623" s="5" t="s">
        <v>3548</v>
      </c>
      <c r="D1623" s="5" t="s">
        <v>3782</v>
      </c>
      <c r="E1623" s="5" t="s">
        <v>4363</v>
      </c>
      <c r="F1623" s="5" t="s">
        <v>5173</v>
      </c>
      <c r="G1623" s="5" t="s">
        <v>4255</v>
      </c>
      <c r="H1623" s="5"/>
      <c r="I1623" s="5" t="s">
        <v>3448</v>
      </c>
      <c r="J1623" s="5" t="s">
        <v>3783</v>
      </c>
      <c r="K1623" s="5" t="s">
        <v>4363</v>
      </c>
      <c r="L1623" s="5">
        <v>32</v>
      </c>
      <c r="M1623" s="5">
        <v>4</v>
      </c>
      <c r="N1623" s="5" t="s">
        <v>5174</v>
      </c>
      <c r="O1623" s="5" t="s">
        <v>4256</v>
      </c>
      <c r="P1623" s="5">
        <v>4</v>
      </c>
      <c r="Q1623" s="5">
        <v>1</v>
      </c>
      <c r="R1623" s="5"/>
      <c r="S1623" s="5">
        <v>148</v>
      </c>
      <c r="T1623" s="5">
        <v>148</v>
      </c>
      <c r="U1623" s="5">
        <v>148</v>
      </c>
    </row>
    <row r="1624" spans="1:21" x14ac:dyDescent="0.25">
      <c r="A1624" s="5" t="s">
        <v>5393</v>
      </c>
      <c r="B1624" s="5" t="s">
        <v>5394</v>
      </c>
      <c r="C1624" s="5" t="s">
        <v>3548</v>
      </c>
      <c r="D1624" s="5" t="s">
        <v>3782</v>
      </c>
      <c r="E1624" s="5" t="s">
        <v>4363</v>
      </c>
      <c r="F1624" s="5" t="s">
        <v>3584</v>
      </c>
      <c r="G1624" s="5" t="s">
        <v>4255</v>
      </c>
      <c r="H1624" s="5"/>
      <c r="I1624" s="5" t="s">
        <v>3448</v>
      </c>
      <c r="J1624" s="5" t="s">
        <v>3783</v>
      </c>
      <c r="K1624" s="5" t="s">
        <v>4363</v>
      </c>
      <c r="L1624" s="5">
        <v>32</v>
      </c>
      <c r="M1624" s="5">
        <v>4</v>
      </c>
      <c r="N1624" s="5" t="s">
        <v>3585</v>
      </c>
      <c r="O1624" s="5" t="s">
        <v>4256</v>
      </c>
      <c r="P1624" s="5">
        <v>4</v>
      </c>
      <c r="Q1624" s="5">
        <v>1</v>
      </c>
      <c r="R1624" s="5"/>
      <c r="S1624" s="5">
        <v>151</v>
      </c>
      <c r="T1624" s="5">
        <v>151</v>
      </c>
      <c r="U1624" s="5">
        <v>151</v>
      </c>
    </row>
    <row r="1625" spans="1:21" x14ac:dyDescent="0.25">
      <c r="A1625" s="5" t="s">
        <v>5401</v>
      </c>
      <c r="B1625" s="5" t="s">
        <v>5402</v>
      </c>
      <c r="C1625" s="5" t="s">
        <v>3548</v>
      </c>
      <c r="D1625" s="5" t="s">
        <v>3782</v>
      </c>
      <c r="E1625" s="5" t="s">
        <v>4363</v>
      </c>
      <c r="F1625" s="5" t="s">
        <v>4390</v>
      </c>
      <c r="G1625" s="5" t="s">
        <v>4255</v>
      </c>
      <c r="H1625" s="5"/>
      <c r="I1625" s="5" t="s">
        <v>3448</v>
      </c>
      <c r="J1625" s="5" t="s">
        <v>3783</v>
      </c>
      <c r="K1625" s="5" t="s">
        <v>4363</v>
      </c>
      <c r="L1625" s="5">
        <v>32</v>
      </c>
      <c r="M1625" s="5">
        <v>4</v>
      </c>
      <c r="N1625" s="5" t="s">
        <v>4391</v>
      </c>
      <c r="O1625" s="5" t="s">
        <v>4256</v>
      </c>
      <c r="P1625" s="5">
        <v>4</v>
      </c>
      <c r="Q1625" s="5">
        <v>1</v>
      </c>
      <c r="R1625" s="5"/>
      <c r="S1625" s="5">
        <v>142</v>
      </c>
      <c r="T1625" s="5">
        <v>142</v>
      </c>
      <c r="U1625" s="5">
        <v>142</v>
      </c>
    </row>
    <row r="1626" spans="1:21" x14ac:dyDescent="0.25">
      <c r="A1626" s="5" t="s">
        <v>5409</v>
      </c>
      <c r="B1626" s="5" t="s">
        <v>5410</v>
      </c>
      <c r="C1626" s="5" t="s">
        <v>3548</v>
      </c>
      <c r="D1626" s="5" t="s">
        <v>3782</v>
      </c>
      <c r="E1626" s="5" t="s">
        <v>4363</v>
      </c>
      <c r="F1626" s="5" t="s">
        <v>4004</v>
      </c>
      <c r="G1626" s="5" t="s">
        <v>4255</v>
      </c>
      <c r="H1626" s="5"/>
      <c r="I1626" s="5" t="s">
        <v>3448</v>
      </c>
      <c r="J1626" s="5" t="s">
        <v>3783</v>
      </c>
      <c r="K1626" s="5" t="s">
        <v>4363</v>
      </c>
      <c r="L1626" s="5">
        <v>32</v>
      </c>
      <c r="M1626" s="5">
        <v>4</v>
      </c>
      <c r="N1626" s="5" t="s">
        <v>4005</v>
      </c>
      <c r="O1626" s="5" t="s">
        <v>4256</v>
      </c>
      <c r="P1626" s="5">
        <v>4</v>
      </c>
      <c r="Q1626" s="5">
        <v>1</v>
      </c>
      <c r="R1626" s="5"/>
      <c r="S1626" s="5">
        <v>143</v>
      </c>
      <c r="T1626" s="5">
        <v>143</v>
      </c>
      <c r="U1626" s="5">
        <v>143</v>
      </c>
    </row>
    <row r="1627" spans="1:21" x14ac:dyDescent="0.25">
      <c r="A1627" s="5" t="s">
        <v>5441</v>
      </c>
      <c r="B1627" s="5" t="s">
        <v>5442</v>
      </c>
      <c r="C1627" s="5" t="s">
        <v>3548</v>
      </c>
      <c r="D1627" s="5" t="s">
        <v>3782</v>
      </c>
      <c r="E1627" s="5" t="s">
        <v>4363</v>
      </c>
      <c r="F1627" s="5" t="s">
        <v>4004</v>
      </c>
      <c r="G1627" s="5" t="s">
        <v>4255</v>
      </c>
      <c r="H1627" s="5"/>
      <c r="I1627" s="5" t="s">
        <v>3448</v>
      </c>
      <c r="J1627" s="5" t="s">
        <v>3783</v>
      </c>
      <c r="K1627" s="5" t="s">
        <v>4363</v>
      </c>
      <c r="L1627" s="5">
        <v>32</v>
      </c>
      <c r="M1627" s="5">
        <v>1</v>
      </c>
      <c r="N1627" s="5" t="s">
        <v>4005</v>
      </c>
      <c r="O1627" s="5" t="s">
        <v>4256</v>
      </c>
      <c r="P1627" s="5">
        <v>4</v>
      </c>
      <c r="Q1627" s="5">
        <v>1</v>
      </c>
      <c r="R1627" s="5"/>
      <c r="S1627" s="5">
        <v>39</v>
      </c>
      <c r="T1627" s="5">
        <v>39</v>
      </c>
      <c r="U1627" s="5">
        <v>39</v>
      </c>
    </row>
    <row r="1628" spans="1:21" x14ac:dyDescent="0.25">
      <c r="A1628" s="5" t="s">
        <v>5317</v>
      </c>
      <c r="B1628" s="5" t="s">
        <v>5318</v>
      </c>
      <c r="C1628" s="5" t="s">
        <v>3548</v>
      </c>
      <c r="D1628" s="5" t="s">
        <v>3782</v>
      </c>
      <c r="E1628" s="5" t="s">
        <v>4363</v>
      </c>
      <c r="F1628" s="5" t="s">
        <v>3584</v>
      </c>
      <c r="G1628" s="5" t="s">
        <v>3501</v>
      </c>
      <c r="H1628" s="5" t="s">
        <v>3838</v>
      </c>
      <c r="I1628" s="5" t="s">
        <v>3448</v>
      </c>
      <c r="J1628" s="5" t="s">
        <v>3783</v>
      </c>
      <c r="K1628" s="5" t="s">
        <v>4363</v>
      </c>
      <c r="L1628" s="5">
        <v>32</v>
      </c>
      <c r="M1628" s="5">
        <v>1</v>
      </c>
      <c r="N1628" s="5" t="s">
        <v>3585</v>
      </c>
      <c r="O1628" s="5" t="s">
        <v>3502</v>
      </c>
      <c r="P1628" s="5">
        <v>4</v>
      </c>
      <c r="Q1628" s="5">
        <v>1</v>
      </c>
      <c r="R1628" s="5" t="s">
        <v>3839</v>
      </c>
      <c r="S1628" s="5">
        <v>33</v>
      </c>
      <c r="T1628" s="5">
        <v>33</v>
      </c>
      <c r="U1628" s="5">
        <v>33</v>
      </c>
    </row>
    <row r="1629" spans="1:21" x14ac:dyDescent="0.25">
      <c r="A1629" s="5" t="s">
        <v>5319</v>
      </c>
      <c r="B1629" s="5" t="s">
        <v>5320</v>
      </c>
      <c r="C1629" s="5" t="s">
        <v>3548</v>
      </c>
      <c r="D1629" s="5" t="s">
        <v>3782</v>
      </c>
      <c r="E1629" s="5" t="s">
        <v>4363</v>
      </c>
      <c r="F1629" s="5" t="s">
        <v>3584</v>
      </c>
      <c r="G1629" s="5" t="s">
        <v>3501</v>
      </c>
      <c r="H1629" s="5" t="s">
        <v>3848</v>
      </c>
      <c r="I1629" s="5" t="s">
        <v>3448</v>
      </c>
      <c r="J1629" s="5" t="s">
        <v>3783</v>
      </c>
      <c r="K1629" s="5" t="s">
        <v>4363</v>
      </c>
      <c r="L1629" s="5">
        <v>32</v>
      </c>
      <c r="M1629" s="5">
        <v>1</v>
      </c>
      <c r="N1629" s="5" t="s">
        <v>3585</v>
      </c>
      <c r="O1629" s="5" t="s">
        <v>3502</v>
      </c>
      <c r="P1629" s="5">
        <v>4</v>
      </c>
      <c r="Q1629" s="5">
        <v>1</v>
      </c>
      <c r="R1629" s="5" t="s">
        <v>3849</v>
      </c>
      <c r="S1629" s="5">
        <v>31</v>
      </c>
      <c r="T1629" s="5">
        <v>31</v>
      </c>
      <c r="U1629" s="5">
        <v>31</v>
      </c>
    </row>
    <row r="1630" spans="1:21" x14ac:dyDescent="0.25">
      <c r="A1630" s="5" t="s">
        <v>5323</v>
      </c>
      <c r="B1630" s="5" t="s">
        <v>5324</v>
      </c>
      <c r="C1630" s="5" t="s">
        <v>3548</v>
      </c>
      <c r="D1630" s="5" t="s">
        <v>3782</v>
      </c>
      <c r="E1630" s="5" t="s">
        <v>4363</v>
      </c>
      <c r="F1630" s="5" t="s">
        <v>3584</v>
      </c>
      <c r="G1630" s="5" t="s">
        <v>3493</v>
      </c>
      <c r="H1630" s="5" t="s">
        <v>3838</v>
      </c>
      <c r="I1630" s="5" t="s">
        <v>3448</v>
      </c>
      <c r="J1630" s="5" t="s">
        <v>3783</v>
      </c>
      <c r="K1630" s="5" t="s">
        <v>4363</v>
      </c>
      <c r="L1630" s="5">
        <v>32</v>
      </c>
      <c r="M1630" s="5">
        <v>1</v>
      </c>
      <c r="N1630" s="5" t="s">
        <v>3585</v>
      </c>
      <c r="O1630" s="5" t="s">
        <v>3494</v>
      </c>
      <c r="P1630" s="5">
        <v>4</v>
      </c>
      <c r="Q1630" s="5">
        <v>1</v>
      </c>
      <c r="R1630" s="5" t="s">
        <v>3839</v>
      </c>
      <c r="S1630" s="5">
        <v>30</v>
      </c>
      <c r="T1630" s="5">
        <v>30</v>
      </c>
      <c r="U1630" s="5">
        <v>30</v>
      </c>
    </row>
    <row r="1631" spans="1:21" x14ac:dyDescent="0.25">
      <c r="A1631" s="5" t="s">
        <v>5325</v>
      </c>
      <c r="B1631" s="5" t="s">
        <v>5326</v>
      </c>
      <c r="C1631" s="5" t="s">
        <v>3548</v>
      </c>
      <c r="D1631" s="5" t="s">
        <v>3782</v>
      </c>
      <c r="E1631" s="5" t="s">
        <v>4363</v>
      </c>
      <c r="F1631" s="5" t="s">
        <v>3584</v>
      </c>
      <c r="G1631" s="5" t="s">
        <v>3493</v>
      </c>
      <c r="H1631" s="5" t="s">
        <v>3848</v>
      </c>
      <c r="I1631" s="5" t="s">
        <v>3448</v>
      </c>
      <c r="J1631" s="5" t="s">
        <v>3783</v>
      </c>
      <c r="K1631" s="5" t="s">
        <v>4363</v>
      </c>
      <c r="L1631" s="5">
        <v>32</v>
      </c>
      <c r="M1631" s="5">
        <v>1</v>
      </c>
      <c r="N1631" s="5" t="s">
        <v>3585</v>
      </c>
      <c r="O1631" s="5" t="s">
        <v>3494</v>
      </c>
      <c r="P1631" s="5">
        <v>4</v>
      </c>
      <c r="Q1631" s="5">
        <v>1</v>
      </c>
      <c r="R1631" s="5" t="s">
        <v>3849</v>
      </c>
      <c r="S1631" s="5">
        <v>30</v>
      </c>
      <c r="T1631" s="5">
        <v>30</v>
      </c>
      <c r="U1631" s="5">
        <v>30</v>
      </c>
    </row>
    <row r="1632" spans="1:21" x14ac:dyDescent="0.25">
      <c r="A1632" s="5" t="s">
        <v>5327</v>
      </c>
      <c r="B1632" s="5" t="s">
        <v>5328</v>
      </c>
      <c r="C1632" s="5" t="s">
        <v>3548</v>
      </c>
      <c r="D1632" s="5" t="s">
        <v>3782</v>
      </c>
      <c r="E1632" s="5" t="s">
        <v>4363</v>
      </c>
      <c r="F1632" s="5" t="s">
        <v>3584</v>
      </c>
      <c r="G1632" s="5" t="s">
        <v>3493</v>
      </c>
      <c r="H1632" s="5" t="s">
        <v>3816</v>
      </c>
      <c r="I1632" s="5" t="s">
        <v>3448</v>
      </c>
      <c r="J1632" s="5" t="s">
        <v>3783</v>
      </c>
      <c r="K1632" s="5" t="s">
        <v>4363</v>
      </c>
      <c r="L1632" s="5">
        <v>32</v>
      </c>
      <c r="M1632" s="5">
        <v>1</v>
      </c>
      <c r="N1632" s="5" t="s">
        <v>3585</v>
      </c>
      <c r="O1632" s="5" t="s">
        <v>3494</v>
      </c>
      <c r="P1632" s="5">
        <v>4</v>
      </c>
      <c r="Q1632" s="5">
        <v>1</v>
      </c>
      <c r="R1632" s="5" t="s">
        <v>3817</v>
      </c>
      <c r="S1632" s="5">
        <v>28</v>
      </c>
      <c r="T1632" s="5">
        <v>28</v>
      </c>
      <c r="U1632" s="5">
        <v>28</v>
      </c>
    </row>
    <row r="1633" spans="1:21" x14ac:dyDescent="0.25">
      <c r="A1633" s="5" t="s">
        <v>5481</v>
      </c>
      <c r="B1633" s="5" t="s">
        <v>5482</v>
      </c>
      <c r="C1633" s="5" t="s">
        <v>3548</v>
      </c>
      <c r="D1633" s="5" t="s">
        <v>3782</v>
      </c>
      <c r="E1633" s="5" t="s">
        <v>4363</v>
      </c>
      <c r="F1633" s="5" t="s">
        <v>3584</v>
      </c>
      <c r="G1633" s="5" t="s">
        <v>4255</v>
      </c>
      <c r="H1633" s="5"/>
      <c r="I1633" s="5" t="s">
        <v>3448</v>
      </c>
      <c r="J1633" s="5" t="s">
        <v>3783</v>
      </c>
      <c r="K1633" s="5" t="s">
        <v>4363</v>
      </c>
      <c r="L1633" s="5">
        <v>32</v>
      </c>
      <c r="M1633" s="5">
        <v>6</v>
      </c>
      <c r="N1633" s="5" t="s">
        <v>3585</v>
      </c>
      <c r="O1633" s="5" t="s">
        <v>4256</v>
      </c>
      <c r="P1633" s="5">
        <v>4</v>
      </c>
      <c r="Q1633" s="5">
        <v>2</v>
      </c>
      <c r="R1633" s="5"/>
      <c r="S1633" s="5">
        <v>226</v>
      </c>
      <c r="T1633" s="5">
        <v>226</v>
      </c>
      <c r="U1633" s="5">
        <v>226</v>
      </c>
    </row>
    <row r="1634" spans="1:21" x14ac:dyDescent="0.25">
      <c r="A1634" s="5" t="s">
        <v>5331</v>
      </c>
      <c r="B1634" s="5" t="s">
        <v>5332</v>
      </c>
      <c r="C1634" s="5" t="s">
        <v>3548</v>
      </c>
      <c r="D1634" s="5" t="s">
        <v>3782</v>
      </c>
      <c r="E1634" s="5" t="s">
        <v>4363</v>
      </c>
      <c r="F1634" s="5" t="s">
        <v>3584</v>
      </c>
      <c r="G1634" s="5" t="s">
        <v>3826</v>
      </c>
      <c r="H1634" s="5" t="s">
        <v>3838</v>
      </c>
      <c r="I1634" s="5" t="s">
        <v>3448</v>
      </c>
      <c r="J1634" s="5" t="s">
        <v>3783</v>
      </c>
      <c r="K1634" s="5" t="s">
        <v>4363</v>
      </c>
      <c r="L1634" s="5">
        <v>32</v>
      </c>
      <c r="M1634" s="5">
        <v>1</v>
      </c>
      <c r="N1634" s="5" t="s">
        <v>3585</v>
      </c>
      <c r="O1634" s="5" t="s">
        <v>3827</v>
      </c>
      <c r="P1634" s="5">
        <v>4</v>
      </c>
      <c r="Q1634" s="5">
        <v>1</v>
      </c>
      <c r="R1634" s="5" t="s">
        <v>3839</v>
      </c>
      <c r="S1634" s="5">
        <v>26</v>
      </c>
      <c r="T1634" s="5">
        <v>26</v>
      </c>
      <c r="U1634" s="5">
        <v>26</v>
      </c>
    </row>
    <row r="1635" spans="1:21" x14ac:dyDescent="0.25">
      <c r="A1635" s="5" t="s">
        <v>5333</v>
      </c>
      <c r="B1635" s="5" t="s">
        <v>5334</v>
      </c>
      <c r="C1635" s="5" t="s">
        <v>3548</v>
      </c>
      <c r="D1635" s="5" t="s">
        <v>3782</v>
      </c>
      <c r="E1635" s="5" t="s">
        <v>4363</v>
      </c>
      <c r="F1635" s="5" t="s">
        <v>3584</v>
      </c>
      <c r="G1635" s="5" t="s">
        <v>3826</v>
      </c>
      <c r="H1635" s="5" t="s">
        <v>3848</v>
      </c>
      <c r="I1635" s="5" t="s">
        <v>3448</v>
      </c>
      <c r="J1635" s="5" t="s">
        <v>3783</v>
      </c>
      <c r="K1635" s="5" t="s">
        <v>4363</v>
      </c>
      <c r="L1635" s="5">
        <v>32</v>
      </c>
      <c r="M1635" s="5">
        <v>1</v>
      </c>
      <c r="N1635" s="5" t="s">
        <v>3585</v>
      </c>
      <c r="O1635" s="5" t="s">
        <v>3827</v>
      </c>
      <c r="P1635" s="5">
        <v>4</v>
      </c>
      <c r="Q1635" s="5">
        <v>1</v>
      </c>
      <c r="R1635" s="5" t="s">
        <v>3849</v>
      </c>
      <c r="S1635" s="5">
        <v>26</v>
      </c>
      <c r="T1635" s="5">
        <v>26</v>
      </c>
      <c r="U1635" s="5">
        <v>26</v>
      </c>
    </row>
    <row r="1636" spans="1:21" x14ac:dyDescent="0.25">
      <c r="A1636" s="5" t="s">
        <v>5335</v>
      </c>
      <c r="B1636" s="5" t="s">
        <v>5336</v>
      </c>
      <c r="C1636" s="5" t="s">
        <v>3548</v>
      </c>
      <c r="D1636" s="5" t="s">
        <v>3782</v>
      </c>
      <c r="E1636" s="5" t="s">
        <v>4363</v>
      </c>
      <c r="F1636" s="5" t="s">
        <v>3584</v>
      </c>
      <c r="G1636" s="5" t="s">
        <v>3826</v>
      </c>
      <c r="H1636" s="5" t="s">
        <v>3816</v>
      </c>
      <c r="I1636" s="5" t="s">
        <v>3448</v>
      </c>
      <c r="J1636" s="5" t="s">
        <v>3783</v>
      </c>
      <c r="K1636" s="5" t="s">
        <v>4363</v>
      </c>
      <c r="L1636" s="5">
        <v>32</v>
      </c>
      <c r="M1636" s="5">
        <v>1</v>
      </c>
      <c r="N1636" s="5" t="s">
        <v>3585</v>
      </c>
      <c r="O1636" s="5" t="s">
        <v>3827</v>
      </c>
      <c r="P1636" s="5">
        <v>4</v>
      </c>
      <c r="Q1636" s="5">
        <v>1</v>
      </c>
      <c r="R1636" s="5" t="s">
        <v>3817</v>
      </c>
      <c r="S1636" s="5">
        <v>26</v>
      </c>
      <c r="T1636" s="5">
        <v>26</v>
      </c>
      <c r="U1636" s="5">
        <v>26</v>
      </c>
    </row>
    <row r="1637" spans="1:21" x14ac:dyDescent="0.25">
      <c r="A1637" s="5" t="s">
        <v>5491</v>
      </c>
      <c r="B1637" s="5" t="s">
        <v>5492</v>
      </c>
      <c r="C1637" s="5" t="s">
        <v>3548</v>
      </c>
      <c r="D1637" s="5" t="s">
        <v>3782</v>
      </c>
      <c r="E1637" s="5" t="s">
        <v>4363</v>
      </c>
      <c r="F1637" s="5" t="s">
        <v>4004</v>
      </c>
      <c r="G1637" s="5" t="s">
        <v>4255</v>
      </c>
      <c r="H1637" s="5"/>
      <c r="I1637" s="5" t="s">
        <v>3448</v>
      </c>
      <c r="J1637" s="5" t="s">
        <v>3783</v>
      </c>
      <c r="K1637" s="5" t="s">
        <v>4363</v>
      </c>
      <c r="L1637" s="5">
        <v>32</v>
      </c>
      <c r="M1637" s="5">
        <v>6</v>
      </c>
      <c r="N1637" s="5" t="s">
        <v>4005</v>
      </c>
      <c r="O1637" s="5" t="s">
        <v>4256</v>
      </c>
      <c r="P1637" s="5">
        <v>4</v>
      </c>
      <c r="Q1637" s="5">
        <v>2</v>
      </c>
      <c r="R1637" s="5"/>
      <c r="S1637" s="5">
        <v>218</v>
      </c>
      <c r="T1637" s="5">
        <v>218</v>
      </c>
      <c r="U1637" s="5">
        <v>218</v>
      </c>
    </row>
    <row r="1638" spans="1:21" x14ac:dyDescent="0.25">
      <c r="A1638" s="5" t="s">
        <v>5339</v>
      </c>
      <c r="B1638" s="5" t="s">
        <v>5340</v>
      </c>
      <c r="C1638" s="5" t="s">
        <v>3548</v>
      </c>
      <c r="D1638" s="5" t="s">
        <v>3782</v>
      </c>
      <c r="E1638" s="5" t="s">
        <v>4363</v>
      </c>
      <c r="F1638" s="5" t="s">
        <v>3584</v>
      </c>
      <c r="G1638" s="5" t="s">
        <v>4255</v>
      </c>
      <c r="H1638" s="5" t="s">
        <v>3838</v>
      </c>
      <c r="I1638" s="5" t="s">
        <v>3448</v>
      </c>
      <c r="J1638" s="5" t="s">
        <v>3783</v>
      </c>
      <c r="K1638" s="5" t="s">
        <v>4363</v>
      </c>
      <c r="L1638" s="5">
        <v>32</v>
      </c>
      <c r="M1638" s="5">
        <v>1</v>
      </c>
      <c r="N1638" s="5" t="s">
        <v>3585</v>
      </c>
      <c r="O1638" s="5" t="s">
        <v>4256</v>
      </c>
      <c r="P1638" s="5">
        <v>4</v>
      </c>
      <c r="Q1638" s="5">
        <v>1</v>
      </c>
      <c r="R1638" s="5" t="s">
        <v>3839</v>
      </c>
      <c r="S1638" s="5">
        <v>37</v>
      </c>
      <c r="T1638" s="5">
        <v>37</v>
      </c>
      <c r="U1638" s="5">
        <v>37</v>
      </c>
    </row>
    <row r="1639" spans="1:21" x14ac:dyDescent="0.25">
      <c r="A1639" s="5" t="s">
        <v>5341</v>
      </c>
      <c r="B1639" s="5" t="s">
        <v>5342</v>
      </c>
      <c r="C1639" s="5" t="s">
        <v>3548</v>
      </c>
      <c r="D1639" s="5" t="s">
        <v>3782</v>
      </c>
      <c r="E1639" s="5" t="s">
        <v>4363</v>
      </c>
      <c r="F1639" s="5" t="s">
        <v>3584</v>
      </c>
      <c r="G1639" s="5" t="s">
        <v>4255</v>
      </c>
      <c r="H1639" s="5" t="s">
        <v>3816</v>
      </c>
      <c r="I1639" s="5" t="s">
        <v>3448</v>
      </c>
      <c r="J1639" s="5" t="s">
        <v>3783</v>
      </c>
      <c r="K1639" s="5" t="s">
        <v>4363</v>
      </c>
      <c r="L1639" s="5">
        <v>32</v>
      </c>
      <c r="M1639" s="5">
        <v>1</v>
      </c>
      <c r="N1639" s="5" t="s">
        <v>3585</v>
      </c>
      <c r="O1639" s="5" t="s">
        <v>4256</v>
      </c>
      <c r="P1639" s="5">
        <v>4</v>
      </c>
      <c r="Q1639" s="5">
        <v>1</v>
      </c>
      <c r="R1639" s="5" t="s">
        <v>3817</v>
      </c>
      <c r="S1639" s="5">
        <v>36</v>
      </c>
      <c r="T1639" s="5">
        <v>36</v>
      </c>
      <c r="U1639" s="5">
        <v>36</v>
      </c>
    </row>
    <row r="1640" spans="1:21" x14ac:dyDescent="0.25">
      <c r="A1640" s="5" t="s">
        <v>5497</v>
      </c>
      <c r="B1640" s="5" t="s">
        <v>5498</v>
      </c>
      <c r="C1640" s="5" t="s">
        <v>3548</v>
      </c>
      <c r="D1640" s="5" t="s">
        <v>3782</v>
      </c>
      <c r="E1640" s="5" t="s">
        <v>4363</v>
      </c>
      <c r="F1640" s="5" t="s">
        <v>3584</v>
      </c>
      <c r="G1640" s="5" t="s">
        <v>4255</v>
      </c>
      <c r="H1640" s="5"/>
      <c r="I1640" s="5" t="s">
        <v>3448</v>
      </c>
      <c r="J1640" s="5" t="s">
        <v>3783</v>
      </c>
      <c r="K1640" s="5" t="s">
        <v>4363</v>
      </c>
      <c r="L1640" s="5">
        <v>32</v>
      </c>
      <c r="M1640" s="5">
        <v>6</v>
      </c>
      <c r="N1640" s="5" t="s">
        <v>3585</v>
      </c>
      <c r="O1640" s="5" t="s">
        <v>4256</v>
      </c>
      <c r="P1640" s="5">
        <v>4</v>
      </c>
      <c r="Q1640" s="5">
        <v>1</v>
      </c>
      <c r="R1640" s="5"/>
      <c r="S1640" s="5">
        <v>215</v>
      </c>
      <c r="T1640" s="5">
        <v>215</v>
      </c>
      <c r="U1640" s="5">
        <v>215</v>
      </c>
    </row>
    <row r="1641" spans="1:21" x14ac:dyDescent="0.25">
      <c r="A1641" s="5" t="s">
        <v>5345</v>
      </c>
      <c r="B1641" s="5" t="s">
        <v>5346</v>
      </c>
      <c r="C1641" s="5" t="s">
        <v>3548</v>
      </c>
      <c r="D1641" s="5" t="s">
        <v>3782</v>
      </c>
      <c r="E1641" s="5" t="s">
        <v>4363</v>
      </c>
      <c r="F1641" s="5" t="s">
        <v>3584</v>
      </c>
      <c r="G1641" s="5" t="s">
        <v>4417</v>
      </c>
      <c r="H1641" s="5" t="s">
        <v>3838</v>
      </c>
      <c r="I1641" s="5" t="s">
        <v>3448</v>
      </c>
      <c r="J1641" s="5" t="s">
        <v>3783</v>
      </c>
      <c r="K1641" s="5" t="s">
        <v>4363</v>
      </c>
      <c r="L1641" s="5">
        <v>32</v>
      </c>
      <c r="M1641" s="5">
        <v>1</v>
      </c>
      <c r="N1641" s="5" t="s">
        <v>3585</v>
      </c>
      <c r="O1641" s="5" t="s">
        <v>4418</v>
      </c>
      <c r="P1641" s="5">
        <v>4</v>
      </c>
      <c r="Q1641" s="5">
        <v>1</v>
      </c>
      <c r="R1641" s="5" t="s">
        <v>3839</v>
      </c>
      <c r="S1641" s="5">
        <v>22</v>
      </c>
      <c r="T1641" s="5">
        <v>22</v>
      </c>
      <c r="U1641" s="5">
        <v>22</v>
      </c>
    </row>
    <row r="1642" spans="1:21" x14ac:dyDescent="0.25">
      <c r="A1642" s="5" t="s">
        <v>5347</v>
      </c>
      <c r="B1642" s="5" t="s">
        <v>5348</v>
      </c>
      <c r="C1642" s="5" t="s">
        <v>3548</v>
      </c>
      <c r="D1642" s="5" t="s">
        <v>3782</v>
      </c>
      <c r="E1642" s="5" t="s">
        <v>4363</v>
      </c>
      <c r="F1642" s="5" t="s">
        <v>3584</v>
      </c>
      <c r="G1642" s="5" t="s">
        <v>4417</v>
      </c>
      <c r="H1642" s="5" t="s">
        <v>3816</v>
      </c>
      <c r="I1642" s="5" t="s">
        <v>3448</v>
      </c>
      <c r="J1642" s="5" t="s">
        <v>3783</v>
      </c>
      <c r="K1642" s="5" t="s">
        <v>4363</v>
      </c>
      <c r="L1642" s="5">
        <v>32</v>
      </c>
      <c r="M1642" s="5">
        <v>1</v>
      </c>
      <c r="N1642" s="5" t="s">
        <v>3585</v>
      </c>
      <c r="O1642" s="5" t="s">
        <v>4418</v>
      </c>
      <c r="P1642" s="5">
        <v>4</v>
      </c>
      <c r="Q1642" s="5">
        <v>1</v>
      </c>
      <c r="R1642" s="5" t="s">
        <v>3817</v>
      </c>
      <c r="S1642" s="5">
        <v>23</v>
      </c>
      <c r="T1642" s="5">
        <v>23</v>
      </c>
      <c r="U1642" s="5">
        <v>23</v>
      </c>
    </row>
    <row r="1643" spans="1:21" x14ac:dyDescent="0.25">
      <c r="A1643" s="5" t="s">
        <v>5353</v>
      </c>
      <c r="B1643" s="5" t="s">
        <v>5354</v>
      </c>
      <c r="C1643" s="5" t="s">
        <v>3548</v>
      </c>
      <c r="D1643" s="5" t="s">
        <v>3782</v>
      </c>
      <c r="E1643" s="5" t="s">
        <v>4363</v>
      </c>
      <c r="F1643" s="5" t="s">
        <v>4390</v>
      </c>
      <c r="G1643" s="5" t="s">
        <v>3493</v>
      </c>
      <c r="H1643" s="5" t="s">
        <v>3838</v>
      </c>
      <c r="I1643" s="5" t="s">
        <v>3448</v>
      </c>
      <c r="J1643" s="5" t="s">
        <v>3783</v>
      </c>
      <c r="K1643" s="5" t="s">
        <v>4363</v>
      </c>
      <c r="L1643" s="5">
        <v>32</v>
      </c>
      <c r="M1643" s="5">
        <v>1</v>
      </c>
      <c r="N1643" s="5" t="s">
        <v>4391</v>
      </c>
      <c r="O1643" s="5" t="s">
        <v>3494</v>
      </c>
      <c r="P1643" s="5">
        <v>4</v>
      </c>
      <c r="Q1643" s="5">
        <v>1</v>
      </c>
      <c r="R1643" s="5" t="s">
        <v>3839</v>
      </c>
      <c r="S1643" s="5">
        <v>28</v>
      </c>
      <c r="T1643" s="5">
        <v>28</v>
      </c>
      <c r="U1643" s="5">
        <v>28</v>
      </c>
    </row>
    <row r="1644" spans="1:21" x14ac:dyDescent="0.25">
      <c r="A1644" s="5" t="s">
        <v>5355</v>
      </c>
      <c r="B1644" s="5" t="s">
        <v>5356</v>
      </c>
      <c r="C1644" s="5" t="s">
        <v>3548</v>
      </c>
      <c r="D1644" s="5" t="s">
        <v>3782</v>
      </c>
      <c r="E1644" s="5" t="s">
        <v>4363</v>
      </c>
      <c r="F1644" s="5" t="s">
        <v>4390</v>
      </c>
      <c r="G1644" s="5" t="s">
        <v>3493</v>
      </c>
      <c r="H1644" s="5" t="s">
        <v>3848</v>
      </c>
      <c r="I1644" s="5" t="s">
        <v>3448</v>
      </c>
      <c r="J1644" s="5" t="s">
        <v>3783</v>
      </c>
      <c r="K1644" s="5" t="s">
        <v>4363</v>
      </c>
      <c r="L1644" s="5">
        <v>32</v>
      </c>
      <c r="M1644" s="5">
        <v>1</v>
      </c>
      <c r="N1644" s="5" t="s">
        <v>4391</v>
      </c>
      <c r="O1644" s="5" t="s">
        <v>3494</v>
      </c>
      <c r="P1644" s="5">
        <v>4</v>
      </c>
      <c r="Q1644" s="5">
        <v>1</v>
      </c>
      <c r="R1644" s="5" t="s">
        <v>3849</v>
      </c>
      <c r="S1644" s="5">
        <v>27</v>
      </c>
      <c r="T1644" s="5">
        <v>27</v>
      </c>
      <c r="U1644" s="5">
        <v>27</v>
      </c>
    </row>
    <row r="1645" spans="1:21" x14ac:dyDescent="0.25">
      <c r="A1645" s="5" t="s">
        <v>5357</v>
      </c>
      <c r="B1645" s="5" t="s">
        <v>5358</v>
      </c>
      <c r="C1645" s="5" t="s">
        <v>3548</v>
      </c>
      <c r="D1645" s="5" t="s">
        <v>3782</v>
      </c>
      <c r="E1645" s="5" t="s">
        <v>4363</v>
      </c>
      <c r="F1645" s="5" t="s">
        <v>4390</v>
      </c>
      <c r="G1645" s="5" t="s">
        <v>3493</v>
      </c>
      <c r="H1645" s="5" t="s">
        <v>3816</v>
      </c>
      <c r="I1645" s="5" t="s">
        <v>3448</v>
      </c>
      <c r="J1645" s="5" t="s">
        <v>3783</v>
      </c>
      <c r="K1645" s="5" t="s">
        <v>4363</v>
      </c>
      <c r="L1645" s="5">
        <v>32</v>
      </c>
      <c r="M1645" s="5">
        <v>1</v>
      </c>
      <c r="N1645" s="5" t="s">
        <v>4406</v>
      </c>
      <c r="O1645" s="5" t="s">
        <v>3494</v>
      </c>
      <c r="P1645" s="5">
        <v>4</v>
      </c>
      <c r="Q1645" s="5">
        <v>1</v>
      </c>
      <c r="R1645" s="5" t="s">
        <v>3817</v>
      </c>
      <c r="S1645" s="5">
        <v>28</v>
      </c>
      <c r="T1645" s="5">
        <v>28</v>
      </c>
      <c r="U1645" s="5">
        <v>28</v>
      </c>
    </row>
    <row r="1646" spans="1:21" x14ac:dyDescent="0.25">
      <c r="A1646" s="5" t="s">
        <v>5501</v>
      </c>
      <c r="B1646" s="5" t="s">
        <v>5502</v>
      </c>
      <c r="C1646" s="5" t="s">
        <v>3548</v>
      </c>
      <c r="D1646" s="5" t="s">
        <v>3782</v>
      </c>
      <c r="E1646" s="5" t="s">
        <v>4363</v>
      </c>
      <c r="F1646" s="5" t="s">
        <v>4004</v>
      </c>
      <c r="G1646" s="5" t="s">
        <v>4255</v>
      </c>
      <c r="H1646" s="5"/>
      <c r="I1646" s="5" t="s">
        <v>3448</v>
      </c>
      <c r="J1646" s="5" t="s">
        <v>3783</v>
      </c>
      <c r="K1646" s="5" t="s">
        <v>4363</v>
      </c>
      <c r="L1646" s="5">
        <v>32</v>
      </c>
      <c r="M1646" s="5">
        <v>6</v>
      </c>
      <c r="N1646" s="5" t="s">
        <v>4005</v>
      </c>
      <c r="O1646" s="5" t="s">
        <v>4256</v>
      </c>
      <c r="P1646" s="5">
        <v>4</v>
      </c>
      <c r="Q1646" s="5">
        <v>1</v>
      </c>
      <c r="R1646" s="5"/>
      <c r="S1646" s="5">
        <v>218</v>
      </c>
      <c r="T1646" s="5">
        <v>218</v>
      </c>
      <c r="U1646" s="5">
        <v>218</v>
      </c>
    </row>
    <row r="1647" spans="1:21" x14ac:dyDescent="0.25">
      <c r="A1647" s="5" t="s">
        <v>5361</v>
      </c>
      <c r="B1647" s="5" t="s">
        <v>5362</v>
      </c>
      <c r="C1647" s="5" t="s">
        <v>3548</v>
      </c>
      <c r="D1647" s="5" t="s">
        <v>3782</v>
      </c>
      <c r="E1647" s="5" t="s">
        <v>4363</v>
      </c>
      <c r="F1647" s="5" t="s">
        <v>4390</v>
      </c>
      <c r="G1647" s="5" t="s">
        <v>3826</v>
      </c>
      <c r="H1647" s="5" t="s">
        <v>3838</v>
      </c>
      <c r="I1647" s="5" t="s">
        <v>3448</v>
      </c>
      <c r="J1647" s="5" t="s">
        <v>3783</v>
      </c>
      <c r="K1647" s="5" t="s">
        <v>4363</v>
      </c>
      <c r="L1647" s="5">
        <v>32</v>
      </c>
      <c r="M1647" s="5">
        <v>1</v>
      </c>
      <c r="N1647" s="5" t="s">
        <v>4391</v>
      </c>
      <c r="O1647" s="5" t="s">
        <v>3827</v>
      </c>
      <c r="P1647" s="5">
        <v>4</v>
      </c>
      <c r="Q1647" s="5">
        <v>1</v>
      </c>
      <c r="R1647" s="5" t="s">
        <v>3839</v>
      </c>
      <c r="S1647" s="5">
        <v>24</v>
      </c>
      <c r="T1647" s="5">
        <v>24</v>
      </c>
      <c r="U1647" s="5">
        <v>24</v>
      </c>
    </row>
    <row r="1648" spans="1:21" x14ac:dyDescent="0.25">
      <c r="A1648" s="5" t="s">
        <v>5363</v>
      </c>
      <c r="B1648" s="5" t="s">
        <v>5364</v>
      </c>
      <c r="C1648" s="5" t="s">
        <v>3548</v>
      </c>
      <c r="D1648" s="5" t="s">
        <v>3782</v>
      </c>
      <c r="E1648" s="5" t="s">
        <v>4363</v>
      </c>
      <c r="F1648" s="5" t="s">
        <v>4390</v>
      </c>
      <c r="G1648" s="5" t="s">
        <v>3826</v>
      </c>
      <c r="H1648" s="5" t="s">
        <v>3848</v>
      </c>
      <c r="I1648" s="5" t="s">
        <v>3448</v>
      </c>
      <c r="J1648" s="5" t="s">
        <v>3783</v>
      </c>
      <c r="K1648" s="5" t="s">
        <v>4363</v>
      </c>
      <c r="L1648" s="5">
        <v>32</v>
      </c>
      <c r="M1648" s="5">
        <v>1</v>
      </c>
      <c r="N1648" s="5" t="s">
        <v>4391</v>
      </c>
      <c r="O1648" s="5" t="s">
        <v>3827</v>
      </c>
      <c r="P1648" s="5">
        <v>4</v>
      </c>
      <c r="Q1648" s="5">
        <v>1</v>
      </c>
      <c r="R1648" s="5" t="s">
        <v>3849</v>
      </c>
      <c r="S1648" s="5">
        <v>24</v>
      </c>
      <c r="T1648" s="5">
        <v>24</v>
      </c>
      <c r="U1648" s="5">
        <v>24</v>
      </c>
    </row>
    <row r="1649" spans="1:21" x14ac:dyDescent="0.25">
      <c r="A1649" s="5" t="s">
        <v>5365</v>
      </c>
      <c r="B1649" s="5" t="s">
        <v>5366</v>
      </c>
      <c r="C1649" s="5" t="s">
        <v>3548</v>
      </c>
      <c r="D1649" s="5" t="s">
        <v>3782</v>
      </c>
      <c r="E1649" s="5" t="s">
        <v>4363</v>
      </c>
      <c r="F1649" s="5" t="s">
        <v>4390</v>
      </c>
      <c r="G1649" s="5" t="s">
        <v>3826</v>
      </c>
      <c r="H1649" s="5" t="s">
        <v>3816</v>
      </c>
      <c r="I1649" s="5" t="s">
        <v>3448</v>
      </c>
      <c r="J1649" s="5" t="s">
        <v>3783</v>
      </c>
      <c r="K1649" s="5" t="s">
        <v>4363</v>
      </c>
      <c r="L1649" s="5">
        <v>32</v>
      </c>
      <c r="M1649" s="5">
        <v>1</v>
      </c>
      <c r="N1649" s="5" t="s">
        <v>4391</v>
      </c>
      <c r="O1649" s="5" t="s">
        <v>3827</v>
      </c>
      <c r="P1649" s="5">
        <v>4</v>
      </c>
      <c r="Q1649" s="5">
        <v>1</v>
      </c>
      <c r="R1649" s="5" t="s">
        <v>3817</v>
      </c>
      <c r="S1649" s="5">
        <v>24</v>
      </c>
      <c r="T1649" s="5">
        <v>24</v>
      </c>
      <c r="U1649" s="5">
        <v>24</v>
      </c>
    </row>
    <row r="1650" spans="1:21" x14ac:dyDescent="0.25">
      <c r="A1650" s="5" t="s">
        <v>5511</v>
      </c>
      <c r="B1650" s="5" t="s">
        <v>5512</v>
      </c>
      <c r="C1650" s="5" t="s">
        <v>3548</v>
      </c>
      <c r="D1650" s="5" t="s">
        <v>3782</v>
      </c>
      <c r="E1650" s="5" t="s">
        <v>4363</v>
      </c>
      <c r="F1650" s="5" t="s">
        <v>3584</v>
      </c>
      <c r="G1650" s="5" t="s">
        <v>4255</v>
      </c>
      <c r="H1650" s="5"/>
      <c r="I1650" s="5" t="s">
        <v>3448</v>
      </c>
      <c r="J1650" s="5" t="s">
        <v>3783</v>
      </c>
      <c r="K1650" s="5" t="s">
        <v>4363</v>
      </c>
      <c r="L1650" s="5">
        <v>32</v>
      </c>
      <c r="M1650" s="5">
        <v>8</v>
      </c>
      <c r="N1650" s="5" t="s">
        <v>3585</v>
      </c>
      <c r="O1650" s="5" t="s">
        <v>4256</v>
      </c>
      <c r="P1650" s="5">
        <v>4</v>
      </c>
      <c r="Q1650" s="5">
        <v>2</v>
      </c>
      <c r="R1650" s="5"/>
      <c r="S1650" s="5">
        <v>292</v>
      </c>
      <c r="T1650" s="5">
        <v>292</v>
      </c>
      <c r="U1650" s="5">
        <v>292</v>
      </c>
    </row>
    <row r="1651" spans="1:21" x14ac:dyDescent="0.25">
      <c r="A1651" s="5" t="s">
        <v>5515</v>
      </c>
      <c r="B1651" s="5" t="s">
        <v>5516</v>
      </c>
      <c r="C1651" s="5" t="s">
        <v>3548</v>
      </c>
      <c r="D1651" s="5" t="s">
        <v>3782</v>
      </c>
      <c r="E1651" s="5" t="s">
        <v>4363</v>
      </c>
      <c r="F1651" s="5" t="s">
        <v>4004</v>
      </c>
      <c r="G1651" s="5" t="s">
        <v>4255</v>
      </c>
      <c r="H1651" s="5"/>
      <c r="I1651" s="5" t="s">
        <v>3448</v>
      </c>
      <c r="J1651" s="5" t="s">
        <v>3783</v>
      </c>
      <c r="K1651" s="5" t="s">
        <v>4363</v>
      </c>
      <c r="L1651" s="5">
        <v>32</v>
      </c>
      <c r="M1651" s="5">
        <v>8</v>
      </c>
      <c r="N1651" s="5" t="s">
        <v>4005</v>
      </c>
      <c r="O1651" s="5" t="s">
        <v>4256</v>
      </c>
      <c r="P1651" s="5">
        <v>4</v>
      </c>
      <c r="Q1651" s="5">
        <v>2</v>
      </c>
      <c r="R1651" s="5"/>
      <c r="S1651" s="5">
        <v>288</v>
      </c>
      <c r="T1651" s="5">
        <v>288</v>
      </c>
      <c r="U1651" s="5">
        <v>288</v>
      </c>
    </row>
    <row r="1652" spans="1:21" x14ac:dyDescent="0.25">
      <c r="A1652" s="5" t="s">
        <v>5527</v>
      </c>
      <c r="B1652" s="5" t="s">
        <v>5528</v>
      </c>
      <c r="C1652" s="5" t="s">
        <v>3548</v>
      </c>
      <c r="D1652" s="5" t="s">
        <v>3782</v>
      </c>
      <c r="E1652" s="5" t="s">
        <v>4363</v>
      </c>
      <c r="F1652" s="5" t="s">
        <v>3584</v>
      </c>
      <c r="G1652" s="5" t="s">
        <v>4255</v>
      </c>
      <c r="H1652" s="5"/>
      <c r="I1652" s="5" t="s">
        <v>3448</v>
      </c>
      <c r="J1652" s="5" t="s">
        <v>3783</v>
      </c>
      <c r="K1652" s="5" t="s">
        <v>4363</v>
      </c>
      <c r="L1652" s="5">
        <v>40</v>
      </c>
      <c r="M1652" s="5">
        <v>2</v>
      </c>
      <c r="N1652" s="5" t="s">
        <v>3585</v>
      </c>
      <c r="O1652" s="5" t="s">
        <v>4256</v>
      </c>
      <c r="P1652" s="5">
        <v>5</v>
      </c>
      <c r="Q1652" s="5">
        <v>1</v>
      </c>
      <c r="R1652" s="5"/>
      <c r="S1652" s="5">
        <v>100</v>
      </c>
      <c r="T1652" s="5">
        <v>100</v>
      </c>
      <c r="U1652" s="5">
        <v>100</v>
      </c>
    </row>
    <row r="1653" spans="1:21" x14ac:dyDescent="0.25">
      <c r="A1653" s="5" t="s">
        <v>5539</v>
      </c>
      <c r="B1653" s="5" t="s">
        <v>5540</v>
      </c>
      <c r="C1653" s="5" t="s">
        <v>3548</v>
      </c>
      <c r="D1653" s="5" t="s">
        <v>3782</v>
      </c>
      <c r="E1653" s="5" t="s">
        <v>4363</v>
      </c>
      <c r="F1653" s="5" t="s">
        <v>3584</v>
      </c>
      <c r="G1653" s="5" t="s">
        <v>4255</v>
      </c>
      <c r="H1653" s="5"/>
      <c r="I1653" s="5" t="s">
        <v>3448</v>
      </c>
      <c r="J1653" s="5" t="s">
        <v>3783</v>
      </c>
      <c r="K1653" s="5" t="s">
        <v>4363</v>
      </c>
      <c r="L1653" s="5">
        <v>40</v>
      </c>
      <c r="M1653" s="5">
        <v>3</v>
      </c>
      <c r="N1653" s="5" t="s">
        <v>3585</v>
      </c>
      <c r="O1653" s="5" t="s">
        <v>4256</v>
      </c>
      <c r="P1653" s="5">
        <v>5</v>
      </c>
      <c r="Q1653" s="5">
        <v>1</v>
      </c>
      <c r="R1653" s="5"/>
      <c r="S1653" s="5">
        <v>142</v>
      </c>
      <c r="T1653" s="5">
        <v>142</v>
      </c>
      <c r="U1653" s="5">
        <v>142</v>
      </c>
    </row>
    <row r="1654" spans="1:21" x14ac:dyDescent="0.25">
      <c r="A1654" s="5" t="s">
        <v>5559</v>
      </c>
      <c r="B1654" s="5" t="s">
        <v>5560</v>
      </c>
      <c r="C1654" s="5" t="s">
        <v>3548</v>
      </c>
      <c r="D1654" s="5" t="s">
        <v>3782</v>
      </c>
      <c r="E1654" s="5" t="s">
        <v>4363</v>
      </c>
      <c r="F1654" s="5" t="s">
        <v>3584</v>
      </c>
      <c r="G1654" s="5" t="s">
        <v>4255</v>
      </c>
      <c r="H1654" s="5"/>
      <c r="I1654" s="5" t="s">
        <v>3448</v>
      </c>
      <c r="J1654" s="5" t="s">
        <v>3783</v>
      </c>
      <c r="K1654" s="5" t="s">
        <v>4363</v>
      </c>
      <c r="L1654" s="5">
        <v>40</v>
      </c>
      <c r="M1654" s="5">
        <v>1</v>
      </c>
      <c r="N1654" s="5" t="s">
        <v>3585</v>
      </c>
      <c r="O1654" s="5" t="s">
        <v>4256</v>
      </c>
      <c r="P1654" s="5">
        <v>5</v>
      </c>
      <c r="Q1654" s="5">
        <v>1</v>
      </c>
      <c r="R1654" s="5"/>
      <c r="S1654" s="5">
        <v>57</v>
      </c>
      <c r="T1654" s="5">
        <v>57</v>
      </c>
      <c r="U1654" s="5">
        <v>57</v>
      </c>
    </row>
    <row r="1655" spans="1:21" x14ac:dyDescent="0.25">
      <c r="A1655" s="5" t="s">
        <v>5573</v>
      </c>
      <c r="B1655" s="5" t="s">
        <v>5574</v>
      </c>
      <c r="C1655" s="5" t="s">
        <v>3548</v>
      </c>
      <c r="D1655" s="5" t="s">
        <v>3782</v>
      </c>
      <c r="E1655" s="5" t="s">
        <v>4363</v>
      </c>
      <c r="F1655" s="5" t="s">
        <v>3584</v>
      </c>
      <c r="G1655" s="5" t="s">
        <v>4255</v>
      </c>
      <c r="H1655" s="5"/>
      <c r="I1655" s="5" t="s">
        <v>3448</v>
      </c>
      <c r="J1655" s="5" t="s">
        <v>3783</v>
      </c>
      <c r="K1655" s="5" t="s">
        <v>4363</v>
      </c>
      <c r="L1655" s="5">
        <v>59</v>
      </c>
      <c r="M1655" s="5">
        <v>2</v>
      </c>
      <c r="N1655" s="5" t="s">
        <v>3585</v>
      </c>
      <c r="O1655" s="5" t="s">
        <v>4256</v>
      </c>
      <c r="P1655" s="5">
        <v>8</v>
      </c>
      <c r="Q1655" s="5">
        <v>1</v>
      </c>
      <c r="R1655" s="5"/>
      <c r="S1655" s="5">
        <v>149</v>
      </c>
      <c r="T1655" s="5">
        <v>149</v>
      </c>
      <c r="U1655" s="5">
        <v>149</v>
      </c>
    </row>
    <row r="1656" spans="1:21" x14ac:dyDescent="0.25">
      <c r="A1656" s="5" t="s">
        <v>5579</v>
      </c>
      <c r="B1656" s="5" t="s">
        <v>5580</v>
      </c>
      <c r="C1656" s="5" t="s">
        <v>3548</v>
      </c>
      <c r="D1656" s="5" t="s">
        <v>3782</v>
      </c>
      <c r="E1656" s="5" t="s">
        <v>4363</v>
      </c>
      <c r="F1656" s="5" t="s">
        <v>3584</v>
      </c>
      <c r="G1656" s="5" t="s">
        <v>4255</v>
      </c>
      <c r="H1656" s="5"/>
      <c r="I1656" s="5" t="s">
        <v>3448</v>
      </c>
      <c r="J1656" s="5" t="s">
        <v>3783</v>
      </c>
      <c r="K1656" s="5" t="s">
        <v>4363</v>
      </c>
      <c r="L1656" s="5">
        <v>59</v>
      </c>
      <c r="M1656" s="5">
        <v>3</v>
      </c>
      <c r="N1656" s="5" t="s">
        <v>3585</v>
      </c>
      <c r="O1656" s="5" t="s">
        <v>4256</v>
      </c>
      <c r="P1656" s="5">
        <v>8</v>
      </c>
      <c r="Q1656" s="5">
        <v>2</v>
      </c>
      <c r="R1656" s="5"/>
      <c r="S1656" s="5">
        <v>216</v>
      </c>
      <c r="T1656" s="5">
        <v>216</v>
      </c>
      <c r="U1656" s="5">
        <v>216</v>
      </c>
    </row>
    <row r="1657" spans="1:21" x14ac:dyDescent="0.25">
      <c r="A1657" s="5" t="s">
        <v>5585</v>
      </c>
      <c r="B1657" s="5" t="s">
        <v>5586</v>
      </c>
      <c r="C1657" s="5" t="s">
        <v>3548</v>
      </c>
      <c r="D1657" s="5" t="s">
        <v>3782</v>
      </c>
      <c r="E1657" s="5" t="s">
        <v>4363</v>
      </c>
      <c r="F1657" s="5" t="s">
        <v>3584</v>
      </c>
      <c r="G1657" s="5" t="s">
        <v>4255</v>
      </c>
      <c r="H1657" s="5"/>
      <c r="I1657" s="5" t="s">
        <v>3448</v>
      </c>
      <c r="J1657" s="5" t="s">
        <v>3783</v>
      </c>
      <c r="K1657" s="5" t="s">
        <v>4363</v>
      </c>
      <c r="L1657" s="5">
        <v>59</v>
      </c>
      <c r="M1657" s="5">
        <v>4</v>
      </c>
      <c r="N1657" s="5" t="s">
        <v>3585</v>
      </c>
      <c r="O1657" s="5" t="s">
        <v>4256</v>
      </c>
      <c r="P1657" s="5">
        <v>8</v>
      </c>
      <c r="Q1657" s="5">
        <v>2</v>
      </c>
      <c r="R1657" s="5"/>
      <c r="S1657" s="5">
        <v>298</v>
      </c>
      <c r="T1657" s="5">
        <v>298</v>
      </c>
      <c r="U1657" s="5">
        <v>298</v>
      </c>
    </row>
    <row r="1658" spans="1:21" x14ac:dyDescent="0.25">
      <c r="A1658" s="5" t="s">
        <v>5587</v>
      </c>
      <c r="B1658" s="5" t="s">
        <v>5588</v>
      </c>
      <c r="C1658" s="5" t="s">
        <v>3548</v>
      </c>
      <c r="D1658" s="5" t="s">
        <v>3782</v>
      </c>
      <c r="E1658" s="5" t="s">
        <v>4363</v>
      </c>
      <c r="F1658" s="5" t="s">
        <v>4390</v>
      </c>
      <c r="G1658" s="5" t="s">
        <v>4255</v>
      </c>
      <c r="H1658" s="5"/>
      <c r="I1658" s="5" t="s">
        <v>3448</v>
      </c>
      <c r="J1658" s="5" t="s">
        <v>3783</v>
      </c>
      <c r="K1658" s="5" t="s">
        <v>4363</v>
      </c>
      <c r="L1658" s="5">
        <v>59</v>
      </c>
      <c r="M1658" s="5">
        <v>4</v>
      </c>
      <c r="N1658" s="5" t="s">
        <v>4391</v>
      </c>
      <c r="O1658" s="5" t="s">
        <v>4256</v>
      </c>
      <c r="P1658" s="5">
        <v>8</v>
      </c>
      <c r="Q1658" s="5">
        <v>2</v>
      </c>
      <c r="R1658" s="5"/>
      <c r="S1658" s="5">
        <v>288</v>
      </c>
      <c r="T1658" s="5">
        <v>288</v>
      </c>
      <c r="U1658" s="5">
        <v>288</v>
      </c>
    </row>
    <row r="1659" spans="1:21" x14ac:dyDescent="0.25">
      <c r="A1659" s="5" t="s">
        <v>5603</v>
      </c>
      <c r="B1659" s="5" t="s">
        <v>5604</v>
      </c>
      <c r="C1659" s="5" t="s">
        <v>3548</v>
      </c>
      <c r="D1659" s="5" t="s">
        <v>3782</v>
      </c>
      <c r="E1659" s="5" t="s">
        <v>4363</v>
      </c>
      <c r="F1659" s="5" t="s">
        <v>3584</v>
      </c>
      <c r="G1659" s="5" t="s">
        <v>4255</v>
      </c>
      <c r="H1659" s="5"/>
      <c r="I1659" s="5" t="s">
        <v>3448</v>
      </c>
      <c r="J1659" s="5" t="s">
        <v>3783</v>
      </c>
      <c r="K1659" s="5" t="s">
        <v>4363</v>
      </c>
      <c r="L1659" s="5">
        <v>59</v>
      </c>
      <c r="M1659" s="5">
        <v>1</v>
      </c>
      <c r="N1659" s="5" t="s">
        <v>3585</v>
      </c>
      <c r="O1659" s="5" t="s">
        <v>4256</v>
      </c>
      <c r="P1659" s="5">
        <v>8</v>
      </c>
      <c r="Q1659" s="5">
        <v>1</v>
      </c>
      <c r="R1659" s="5"/>
      <c r="S1659" s="5">
        <v>71</v>
      </c>
      <c r="T1659" s="5">
        <v>71</v>
      </c>
      <c r="U1659" s="5">
        <v>71</v>
      </c>
    </row>
    <row r="1660" spans="1:21" x14ac:dyDescent="0.25">
      <c r="A1660" s="5" t="s">
        <v>5851</v>
      </c>
      <c r="B1660" s="5" t="s">
        <v>5852</v>
      </c>
      <c r="C1660" s="5" t="s">
        <v>3548</v>
      </c>
      <c r="D1660" s="5" t="s">
        <v>5817</v>
      </c>
      <c r="E1660" s="5" t="s">
        <v>4363</v>
      </c>
      <c r="F1660" s="5" t="s">
        <v>3584</v>
      </c>
      <c r="G1660" s="5" t="s">
        <v>4255</v>
      </c>
      <c r="H1660" s="5"/>
      <c r="I1660" s="5" t="s">
        <v>3448</v>
      </c>
      <c r="J1660" s="5" t="s">
        <v>5818</v>
      </c>
      <c r="K1660" s="5" t="s">
        <v>4363</v>
      </c>
      <c r="L1660" s="5">
        <v>17</v>
      </c>
      <c r="M1660" s="5">
        <v>1</v>
      </c>
      <c r="N1660" s="5" t="s">
        <v>3585</v>
      </c>
      <c r="O1660" s="5" t="s">
        <v>4256</v>
      </c>
      <c r="P1660" s="5">
        <v>1</v>
      </c>
      <c r="Q1660" s="5">
        <v>1</v>
      </c>
      <c r="R1660" s="5"/>
      <c r="S1660" s="5">
        <v>29</v>
      </c>
      <c r="T1660" s="5">
        <v>29</v>
      </c>
      <c r="U1660" s="5">
        <v>29</v>
      </c>
    </row>
    <row r="1661" spans="1:21" x14ac:dyDescent="0.25">
      <c r="A1661" s="5" t="s">
        <v>5859</v>
      </c>
      <c r="B1661" s="5" t="s">
        <v>5860</v>
      </c>
      <c r="C1661" s="5" t="s">
        <v>3548</v>
      </c>
      <c r="D1661" s="5" t="s">
        <v>5817</v>
      </c>
      <c r="E1661" s="5" t="s">
        <v>4363</v>
      </c>
      <c r="F1661" s="5" t="s">
        <v>4004</v>
      </c>
      <c r="G1661" s="5" t="s">
        <v>4255</v>
      </c>
      <c r="H1661" s="5"/>
      <c r="I1661" s="5" t="s">
        <v>3448</v>
      </c>
      <c r="J1661" s="5" t="s">
        <v>5818</v>
      </c>
      <c r="K1661" s="5" t="s">
        <v>4363</v>
      </c>
      <c r="L1661" s="5">
        <v>17</v>
      </c>
      <c r="M1661" s="5">
        <v>1</v>
      </c>
      <c r="N1661" s="5" t="s">
        <v>4005</v>
      </c>
      <c r="O1661" s="5" t="s">
        <v>4256</v>
      </c>
      <c r="P1661" s="5">
        <v>1</v>
      </c>
      <c r="Q1661" s="5">
        <v>1</v>
      </c>
      <c r="R1661" s="5"/>
      <c r="S1661" s="5">
        <v>22</v>
      </c>
      <c r="T1661" s="5">
        <v>22</v>
      </c>
      <c r="U1661" s="5">
        <v>22</v>
      </c>
    </row>
    <row r="1662" spans="1:21" x14ac:dyDescent="0.25">
      <c r="A1662" s="5" t="s">
        <v>5869</v>
      </c>
      <c r="B1662" s="5" t="s">
        <v>5870</v>
      </c>
      <c r="C1662" s="5" t="s">
        <v>3548</v>
      </c>
      <c r="D1662" s="5" t="s">
        <v>5817</v>
      </c>
      <c r="E1662" s="5" t="s">
        <v>4363</v>
      </c>
      <c r="F1662" s="5" t="s">
        <v>3584</v>
      </c>
      <c r="G1662" s="5" t="s">
        <v>4255</v>
      </c>
      <c r="H1662" s="5"/>
      <c r="I1662" s="5" t="s">
        <v>3448</v>
      </c>
      <c r="J1662" s="5" t="s">
        <v>5818</v>
      </c>
      <c r="K1662" s="5" t="s">
        <v>4363</v>
      </c>
      <c r="L1662" s="5">
        <v>17</v>
      </c>
      <c r="M1662" s="5">
        <v>2</v>
      </c>
      <c r="N1662" s="5" t="s">
        <v>3585</v>
      </c>
      <c r="O1662" s="5" t="s">
        <v>4256</v>
      </c>
      <c r="P1662" s="5">
        <v>1</v>
      </c>
      <c r="Q1662" s="5">
        <v>1</v>
      </c>
      <c r="R1662" s="5"/>
      <c r="S1662" s="5">
        <v>41</v>
      </c>
      <c r="T1662" s="5">
        <v>41</v>
      </c>
      <c r="U1662" s="5">
        <v>41</v>
      </c>
    </row>
    <row r="1663" spans="1:21" x14ac:dyDescent="0.25">
      <c r="A1663" s="5" t="s">
        <v>5875</v>
      </c>
      <c r="B1663" s="5" t="s">
        <v>5876</v>
      </c>
      <c r="C1663" s="5" t="s">
        <v>3548</v>
      </c>
      <c r="D1663" s="5" t="s">
        <v>5817</v>
      </c>
      <c r="E1663" s="5" t="s">
        <v>4363</v>
      </c>
      <c r="F1663" s="5" t="s">
        <v>4390</v>
      </c>
      <c r="G1663" s="5" t="s">
        <v>4255</v>
      </c>
      <c r="H1663" s="5"/>
      <c r="I1663" s="5" t="s">
        <v>3448</v>
      </c>
      <c r="J1663" s="5" t="s">
        <v>5818</v>
      </c>
      <c r="K1663" s="5" t="s">
        <v>4363</v>
      </c>
      <c r="L1663" s="5">
        <v>17</v>
      </c>
      <c r="M1663" s="5">
        <v>2</v>
      </c>
      <c r="N1663" s="5" t="s">
        <v>4391</v>
      </c>
      <c r="O1663" s="5" t="s">
        <v>4256</v>
      </c>
      <c r="P1663" s="5">
        <v>1</v>
      </c>
      <c r="Q1663" s="5">
        <v>1</v>
      </c>
      <c r="R1663" s="5"/>
      <c r="S1663" s="5">
        <v>40</v>
      </c>
      <c r="T1663" s="5">
        <v>40</v>
      </c>
      <c r="U1663" s="5">
        <v>40</v>
      </c>
    </row>
    <row r="1664" spans="1:21" x14ac:dyDescent="0.25">
      <c r="A1664" s="5" t="s">
        <v>5883</v>
      </c>
      <c r="B1664" s="5" t="s">
        <v>5884</v>
      </c>
      <c r="C1664" s="5" t="s">
        <v>3548</v>
      </c>
      <c r="D1664" s="5" t="s">
        <v>5817</v>
      </c>
      <c r="E1664" s="5" t="s">
        <v>4363</v>
      </c>
      <c r="F1664" s="5" t="s">
        <v>3584</v>
      </c>
      <c r="G1664" s="5" t="s">
        <v>4255</v>
      </c>
      <c r="H1664" s="5"/>
      <c r="I1664" s="5" t="s">
        <v>3448</v>
      </c>
      <c r="J1664" s="5" t="s">
        <v>5818</v>
      </c>
      <c r="K1664" s="5" t="s">
        <v>4363</v>
      </c>
      <c r="L1664" s="5">
        <v>17</v>
      </c>
      <c r="M1664" s="5">
        <v>3</v>
      </c>
      <c r="N1664" s="5" t="s">
        <v>3585</v>
      </c>
      <c r="O1664" s="5" t="s">
        <v>4256</v>
      </c>
      <c r="P1664" s="5">
        <v>1</v>
      </c>
      <c r="Q1664" s="5">
        <v>1</v>
      </c>
      <c r="R1664" s="5"/>
      <c r="S1664" s="5">
        <v>60</v>
      </c>
      <c r="T1664" s="5">
        <v>60</v>
      </c>
      <c r="U1664" s="5">
        <v>60</v>
      </c>
    </row>
    <row r="1665" spans="1:21" x14ac:dyDescent="0.25">
      <c r="A1665" s="5" t="s">
        <v>5421</v>
      </c>
      <c r="B1665" s="5" t="s">
        <v>5422</v>
      </c>
      <c r="C1665" s="5" t="s">
        <v>3548</v>
      </c>
      <c r="D1665" s="5" t="s">
        <v>3782</v>
      </c>
      <c r="E1665" s="5" t="s">
        <v>4363</v>
      </c>
      <c r="F1665" s="5" t="s">
        <v>4004</v>
      </c>
      <c r="G1665" s="5" t="s">
        <v>3501</v>
      </c>
      <c r="H1665" s="5" t="s">
        <v>3838</v>
      </c>
      <c r="I1665" s="5" t="s">
        <v>3448</v>
      </c>
      <c r="J1665" s="5" t="s">
        <v>3783</v>
      </c>
      <c r="K1665" s="5" t="s">
        <v>4363</v>
      </c>
      <c r="L1665" s="5">
        <v>32</v>
      </c>
      <c r="M1665" s="5">
        <v>1</v>
      </c>
      <c r="N1665" s="5" t="s">
        <v>4005</v>
      </c>
      <c r="O1665" s="5" t="s">
        <v>3502</v>
      </c>
      <c r="P1665" s="5">
        <v>4</v>
      </c>
      <c r="Q1665" s="5">
        <v>1</v>
      </c>
      <c r="R1665" s="5" t="s">
        <v>3839</v>
      </c>
      <c r="S1665" s="5">
        <v>35</v>
      </c>
      <c r="T1665" s="5">
        <v>35</v>
      </c>
      <c r="U1665" s="5">
        <v>35</v>
      </c>
    </row>
    <row r="1666" spans="1:21" x14ac:dyDescent="0.25">
      <c r="A1666" s="5" t="s">
        <v>5423</v>
      </c>
      <c r="B1666" s="5" t="s">
        <v>5424</v>
      </c>
      <c r="C1666" s="5" t="s">
        <v>3548</v>
      </c>
      <c r="D1666" s="5" t="s">
        <v>3782</v>
      </c>
      <c r="E1666" s="5" t="s">
        <v>4363</v>
      </c>
      <c r="F1666" s="5" t="s">
        <v>4004</v>
      </c>
      <c r="G1666" s="5" t="s">
        <v>3501</v>
      </c>
      <c r="H1666" s="5" t="s">
        <v>3848</v>
      </c>
      <c r="I1666" s="5" t="s">
        <v>3448</v>
      </c>
      <c r="J1666" s="5" t="s">
        <v>3783</v>
      </c>
      <c r="K1666" s="5" t="s">
        <v>4363</v>
      </c>
      <c r="L1666" s="5">
        <v>32</v>
      </c>
      <c r="M1666" s="5">
        <v>1</v>
      </c>
      <c r="N1666" s="5" t="s">
        <v>4005</v>
      </c>
      <c r="O1666" s="5" t="s">
        <v>3502</v>
      </c>
      <c r="P1666" s="5">
        <v>4</v>
      </c>
      <c r="Q1666" s="5">
        <v>1</v>
      </c>
      <c r="R1666" s="5" t="s">
        <v>3849</v>
      </c>
      <c r="S1666" s="5">
        <v>33</v>
      </c>
      <c r="T1666" s="5">
        <v>33</v>
      </c>
      <c r="U1666" s="5">
        <v>33</v>
      </c>
    </row>
    <row r="1667" spans="1:21" x14ac:dyDescent="0.25">
      <c r="A1667" s="5" t="s">
        <v>5427</v>
      </c>
      <c r="B1667" s="5" t="s">
        <v>5428</v>
      </c>
      <c r="C1667" s="5" t="s">
        <v>3548</v>
      </c>
      <c r="D1667" s="5" t="s">
        <v>3782</v>
      </c>
      <c r="E1667" s="5" t="s">
        <v>4363</v>
      </c>
      <c r="F1667" s="5" t="s">
        <v>4004</v>
      </c>
      <c r="G1667" s="5" t="s">
        <v>3493</v>
      </c>
      <c r="H1667" s="5" t="s">
        <v>3838</v>
      </c>
      <c r="I1667" s="5" t="s">
        <v>3448</v>
      </c>
      <c r="J1667" s="5" t="s">
        <v>3783</v>
      </c>
      <c r="K1667" s="5" t="s">
        <v>4363</v>
      </c>
      <c r="L1667" s="5">
        <v>32</v>
      </c>
      <c r="M1667" s="5">
        <v>1</v>
      </c>
      <c r="N1667" s="5" t="s">
        <v>4005</v>
      </c>
      <c r="O1667" s="5" t="s">
        <v>3494</v>
      </c>
      <c r="P1667" s="5">
        <v>4</v>
      </c>
      <c r="Q1667" s="5">
        <v>1</v>
      </c>
      <c r="R1667" s="5" t="s">
        <v>3839</v>
      </c>
      <c r="S1667" s="5">
        <v>30</v>
      </c>
      <c r="T1667" s="5">
        <v>30</v>
      </c>
      <c r="U1667" s="5">
        <v>30</v>
      </c>
    </row>
    <row r="1668" spans="1:21" x14ac:dyDescent="0.25">
      <c r="A1668" s="5" t="s">
        <v>5429</v>
      </c>
      <c r="B1668" s="5" t="s">
        <v>5430</v>
      </c>
      <c r="C1668" s="5" t="s">
        <v>3548</v>
      </c>
      <c r="D1668" s="5" t="s">
        <v>3782</v>
      </c>
      <c r="E1668" s="5" t="s">
        <v>4363</v>
      </c>
      <c r="F1668" s="5" t="s">
        <v>4004</v>
      </c>
      <c r="G1668" s="5" t="s">
        <v>3493</v>
      </c>
      <c r="H1668" s="5" t="s">
        <v>3848</v>
      </c>
      <c r="I1668" s="5" t="s">
        <v>3448</v>
      </c>
      <c r="J1668" s="5" t="s">
        <v>3783</v>
      </c>
      <c r="K1668" s="5" t="s">
        <v>4363</v>
      </c>
      <c r="L1668" s="5">
        <v>32</v>
      </c>
      <c r="M1668" s="5">
        <v>1</v>
      </c>
      <c r="N1668" s="5" t="s">
        <v>4005</v>
      </c>
      <c r="O1668" s="5" t="s">
        <v>3494</v>
      </c>
      <c r="P1668" s="5">
        <v>4</v>
      </c>
      <c r="Q1668" s="5">
        <v>1</v>
      </c>
      <c r="R1668" s="5" t="s">
        <v>3849</v>
      </c>
      <c r="S1668" s="5">
        <v>31</v>
      </c>
      <c r="T1668" s="5">
        <v>31</v>
      </c>
      <c r="U1668" s="5">
        <v>31</v>
      </c>
    </row>
    <row r="1669" spans="1:21" x14ac:dyDescent="0.25">
      <c r="A1669" s="5" t="s">
        <v>5431</v>
      </c>
      <c r="B1669" s="5" t="s">
        <v>5432</v>
      </c>
      <c r="C1669" s="5" t="s">
        <v>3548</v>
      </c>
      <c r="D1669" s="5" t="s">
        <v>3782</v>
      </c>
      <c r="E1669" s="5" t="s">
        <v>4363</v>
      </c>
      <c r="F1669" s="5" t="s">
        <v>4004</v>
      </c>
      <c r="G1669" s="5" t="s">
        <v>3493</v>
      </c>
      <c r="H1669" s="5" t="s">
        <v>3816</v>
      </c>
      <c r="I1669" s="5" t="s">
        <v>3448</v>
      </c>
      <c r="J1669" s="5" t="s">
        <v>3783</v>
      </c>
      <c r="K1669" s="5" t="s">
        <v>4363</v>
      </c>
      <c r="L1669" s="5">
        <v>32</v>
      </c>
      <c r="M1669" s="5">
        <v>1</v>
      </c>
      <c r="N1669" s="5" t="s">
        <v>4005</v>
      </c>
      <c r="O1669" s="5" t="s">
        <v>3494</v>
      </c>
      <c r="P1669" s="5">
        <v>4</v>
      </c>
      <c r="Q1669" s="5">
        <v>1</v>
      </c>
      <c r="R1669" s="5" t="s">
        <v>3817</v>
      </c>
      <c r="S1669" s="5">
        <v>30</v>
      </c>
      <c r="T1669" s="5">
        <v>30</v>
      </c>
      <c r="U1669" s="5">
        <v>30</v>
      </c>
    </row>
    <row r="1670" spans="1:21" x14ac:dyDescent="0.25">
      <c r="A1670" s="5" t="s">
        <v>5887</v>
      </c>
      <c r="B1670" s="5" t="s">
        <v>5888</v>
      </c>
      <c r="C1670" s="5" t="s">
        <v>3548</v>
      </c>
      <c r="D1670" s="5" t="s">
        <v>5817</v>
      </c>
      <c r="E1670" s="5" t="s">
        <v>4363</v>
      </c>
      <c r="F1670" s="5" t="s">
        <v>4390</v>
      </c>
      <c r="G1670" s="5" t="s">
        <v>4255</v>
      </c>
      <c r="H1670" s="5"/>
      <c r="I1670" s="5" t="s">
        <v>3448</v>
      </c>
      <c r="J1670" s="5" t="s">
        <v>5818</v>
      </c>
      <c r="K1670" s="5" t="s">
        <v>4363</v>
      </c>
      <c r="L1670" s="5">
        <v>17</v>
      </c>
      <c r="M1670" s="5">
        <v>3</v>
      </c>
      <c r="N1670" s="5" t="s">
        <v>4391</v>
      </c>
      <c r="O1670" s="5" t="s">
        <v>4256</v>
      </c>
      <c r="P1670" s="5">
        <v>1</v>
      </c>
      <c r="Q1670" s="5">
        <v>1</v>
      </c>
      <c r="R1670" s="5"/>
      <c r="S1670" s="5">
        <v>58</v>
      </c>
      <c r="T1670" s="5">
        <v>58</v>
      </c>
      <c r="U1670" s="5">
        <v>58</v>
      </c>
    </row>
    <row r="1671" spans="1:21" x14ac:dyDescent="0.25">
      <c r="A1671" s="5" t="s">
        <v>5435</v>
      </c>
      <c r="B1671" s="5" t="s">
        <v>5436</v>
      </c>
      <c r="C1671" s="5" t="s">
        <v>3548</v>
      </c>
      <c r="D1671" s="5" t="s">
        <v>3782</v>
      </c>
      <c r="E1671" s="5" t="s">
        <v>4363</v>
      </c>
      <c r="F1671" s="5" t="s">
        <v>4004</v>
      </c>
      <c r="G1671" s="5" t="s">
        <v>3826</v>
      </c>
      <c r="H1671" s="5" t="s">
        <v>3838</v>
      </c>
      <c r="I1671" s="5" t="s">
        <v>3448</v>
      </c>
      <c r="J1671" s="5" t="s">
        <v>3783</v>
      </c>
      <c r="K1671" s="5" t="s">
        <v>4363</v>
      </c>
      <c r="L1671" s="5">
        <v>32</v>
      </c>
      <c r="M1671" s="5">
        <v>1</v>
      </c>
      <c r="N1671" s="5" t="s">
        <v>4005</v>
      </c>
      <c r="O1671" s="5" t="s">
        <v>3827</v>
      </c>
      <c r="P1671" s="5">
        <v>4</v>
      </c>
      <c r="Q1671" s="5">
        <v>1</v>
      </c>
      <c r="R1671" s="5" t="s">
        <v>3839</v>
      </c>
      <c r="S1671" s="5">
        <v>27</v>
      </c>
      <c r="T1671" s="5">
        <v>27</v>
      </c>
      <c r="U1671" s="5">
        <v>27</v>
      </c>
    </row>
    <row r="1672" spans="1:21" x14ac:dyDescent="0.25">
      <c r="A1672" s="5" t="s">
        <v>5437</v>
      </c>
      <c r="B1672" s="5" t="s">
        <v>5438</v>
      </c>
      <c r="C1672" s="5" t="s">
        <v>3548</v>
      </c>
      <c r="D1672" s="5" t="s">
        <v>3782</v>
      </c>
      <c r="E1672" s="5" t="s">
        <v>4363</v>
      </c>
      <c r="F1672" s="5" t="s">
        <v>4004</v>
      </c>
      <c r="G1672" s="5" t="s">
        <v>3826</v>
      </c>
      <c r="H1672" s="5" t="s">
        <v>3848</v>
      </c>
      <c r="I1672" s="5" t="s">
        <v>3448</v>
      </c>
      <c r="J1672" s="5" t="s">
        <v>3783</v>
      </c>
      <c r="K1672" s="5" t="s">
        <v>4363</v>
      </c>
      <c r="L1672" s="5">
        <v>32</v>
      </c>
      <c r="M1672" s="5">
        <v>1</v>
      </c>
      <c r="N1672" s="5" t="s">
        <v>4005</v>
      </c>
      <c r="O1672" s="5" t="s">
        <v>3827</v>
      </c>
      <c r="P1672" s="5">
        <v>4</v>
      </c>
      <c r="Q1672" s="5">
        <v>1</v>
      </c>
      <c r="R1672" s="5" t="s">
        <v>3849</v>
      </c>
      <c r="S1672" s="5">
        <v>26</v>
      </c>
      <c r="T1672" s="5">
        <v>26</v>
      </c>
      <c r="U1672" s="5">
        <v>26</v>
      </c>
    </row>
    <row r="1673" spans="1:21" x14ac:dyDescent="0.25">
      <c r="A1673" s="5" t="s">
        <v>5439</v>
      </c>
      <c r="B1673" s="5" t="s">
        <v>5440</v>
      </c>
      <c r="C1673" s="5" t="s">
        <v>3548</v>
      </c>
      <c r="D1673" s="5" t="s">
        <v>3782</v>
      </c>
      <c r="E1673" s="5" t="s">
        <v>4363</v>
      </c>
      <c r="F1673" s="5" t="s">
        <v>4004</v>
      </c>
      <c r="G1673" s="5" t="s">
        <v>3826</v>
      </c>
      <c r="H1673" s="5" t="s">
        <v>3816</v>
      </c>
      <c r="I1673" s="5" t="s">
        <v>3448</v>
      </c>
      <c r="J1673" s="5" t="s">
        <v>3783</v>
      </c>
      <c r="K1673" s="5" t="s">
        <v>4363</v>
      </c>
      <c r="L1673" s="5">
        <v>32</v>
      </c>
      <c r="M1673" s="5">
        <v>1</v>
      </c>
      <c r="N1673" s="5" t="s">
        <v>4005</v>
      </c>
      <c r="O1673" s="5" t="s">
        <v>3827</v>
      </c>
      <c r="P1673" s="5">
        <v>4</v>
      </c>
      <c r="Q1673" s="5">
        <v>1</v>
      </c>
      <c r="R1673" s="5" t="s">
        <v>3817</v>
      </c>
      <c r="S1673" s="5">
        <v>26</v>
      </c>
      <c r="T1673" s="5">
        <v>26</v>
      </c>
      <c r="U1673" s="5">
        <v>26</v>
      </c>
    </row>
    <row r="1674" spans="1:21" x14ac:dyDescent="0.25">
      <c r="A1674" s="5" t="s">
        <v>5897</v>
      </c>
      <c r="B1674" s="5" t="s">
        <v>5898</v>
      </c>
      <c r="C1674" s="5" t="s">
        <v>3548</v>
      </c>
      <c r="D1674" s="5" t="s">
        <v>5817</v>
      </c>
      <c r="E1674" s="5" t="s">
        <v>4363</v>
      </c>
      <c r="F1674" s="5" t="s">
        <v>3584</v>
      </c>
      <c r="G1674" s="5" t="s">
        <v>4255</v>
      </c>
      <c r="H1674" s="5"/>
      <c r="I1674" s="5" t="s">
        <v>3448</v>
      </c>
      <c r="J1674" s="5" t="s">
        <v>5818</v>
      </c>
      <c r="K1674" s="5" t="s">
        <v>4363</v>
      </c>
      <c r="L1674" s="5">
        <v>17</v>
      </c>
      <c r="M1674" s="5">
        <v>4</v>
      </c>
      <c r="N1674" s="5" t="s">
        <v>3585</v>
      </c>
      <c r="O1674" s="5" t="s">
        <v>4256</v>
      </c>
      <c r="P1674" s="5">
        <v>1</v>
      </c>
      <c r="Q1674" s="5">
        <v>1</v>
      </c>
      <c r="R1674" s="5"/>
      <c r="S1674" s="5">
        <v>78</v>
      </c>
      <c r="T1674" s="5">
        <v>78</v>
      </c>
      <c r="U1674" s="5">
        <v>78</v>
      </c>
    </row>
    <row r="1675" spans="1:21" x14ac:dyDescent="0.25">
      <c r="A1675" s="5" t="s">
        <v>5443</v>
      </c>
      <c r="B1675" s="5" t="s">
        <v>5444</v>
      </c>
      <c r="C1675" s="5" t="s">
        <v>3548</v>
      </c>
      <c r="D1675" s="5" t="s">
        <v>3782</v>
      </c>
      <c r="E1675" s="5" t="s">
        <v>4363</v>
      </c>
      <c r="F1675" s="5" t="s">
        <v>4004</v>
      </c>
      <c r="G1675" s="5" t="s">
        <v>4255</v>
      </c>
      <c r="H1675" s="5" t="s">
        <v>3838</v>
      </c>
      <c r="I1675" s="5" t="s">
        <v>3448</v>
      </c>
      <c r="J1675" s="5" t="s">
        <v>3783</v>
      </c>
      <c r="K1675" s="5" t="s">
        <v>4363</v>
      </c>
      <c r="L1675" s="5">
        <v>32</v>
      </c>
      <c r="M1675" s="5">
        <v>1</v>
      </c>
      <c r="N1675" s="5" t="s">
        <v>4005</v>
      </c>
      <c r="O1675" s="5" t="s">
        <v>4256</v>
      </c>
      <c r="P1675" s="5">
        <v>4</v>
      </c>
      <c r="Q1675" s="5">
        <v>1</v>
      </c>
      <c r="R1675" s="5" t="s">
        <v>3839</v>
      </c>
      <c r="S1675" s="5">
        <v>37</v>
      </c>
      <c r="T1675" s="5">
        <v>37</v>
      </c>
      <c r="U1675" s="5">
        <v>37</v>
      </c>
    </row>
    <row r="1676" spans="1:21" x14ac:dyDescent="0.25">
      <c r="A1676" s="5" t="s">
        <v>5445</v>
      </c>
      <c r="B1676" s="5" t="s">
        <v>5446</v>
      </c>
      <c r="C1676" s="5" t="s">
        <v>3548</v>
      </c>
      <c r="D1676" s="5" t="s">
        <v>3782</v>
      </c>
      <c r="E1676" s="5" t="s">
        <v>4363</v>
      </c>
      <c r="F1676" s="5" t="s">
        <v>4004</v>
      </c>
      <c r="G1676" s="5" t="s">
        <v>4255</v>
      </c>
      <c r="H1676" s="5" t="s">
        <v>3848</v>
      </c>
      <c r="I1676" s="5" t="s">
        <v>3448</v>
      </c>
      <c r="J1676" s="5" t="s">
        <v>3783</v>
      </c>
      <c r="K1676" s="5" t="s">
        <v>4363</v>
      </c>
      <c r="L1676" s="5">
        <v>32</v>
      </c>
      <c r="M1676" s="5">
        <v>1</v>
      </c>
      <c r="N1676" s="5" t="s">
        <v>4005</v>
      </c>
      <c r="O1676" s="5" t="s">
        <v>4256</v>
      </c>
      <c r="P1676" s="5">
        <v>4</v>
      </c>
      <c r="Q1676" s="5">
        <v>1</v>
      </c>
      <c r="R1676" s="5" t="s">
        <v>3849</v>
      </c>
      <c r="S1676" s="5">
        <v>36</v>
      </c>
      <c r="T1676" s="5">
        <v>36</v>
      </c>
      <c r="U1676" s="5">
        <v>36</v>
      </c>
    </row>
    <row r="1677" spans="1:21" x14ac:dyDescent="0.25">
      <c r="A1677" s="5" t="s">
        <v>5447</v>
      </c>
      <c r="B1677" s="5" t="s">
        <v>5448</v>
      </c>
      <c r="C1677" s="5" t="s">
        <v>3548</v>
      </c>
      <c r="D1677" s="5" t="s">
        <v>3782</v>
      </c>
      <c r="E1677" s="5" t="s">
        <v>4363</v>
      </c>
      <c r="F1677" s="5" t="s">
        <v>4004</v>
      </c>
      <c r="G1677" s="5" t="s">
        <v>4255</v>
      </c>
      <c r="H1677" s="5" t="s">
        <v>3816</v>
      </c>
      <c r="I1677" s="5" t="s">
        <v>3448</v>
      </c>
      <c r="J1677" s="5" t="s">
        <v>3783</v>
      </c>
      <c r="K1677" s="5" t="s">
        <v>4363</v>
      </c>
      <c r="L1677" s="5">
        <v>32</v>
      </c>
      <c r="M1677" s="5">
        <v>1</v>
      </c>
      <c r="N1677" s="5" t="s">
        <v>4005</v>
      </c>
      <c r="O1677" s="5" t="s">
        <v>4256</v>
      </c>
      <c r="P1677" s="5">
        <v>4</v>
      </c>
      <c r="Q1677" s="5">
        <v>1</v>
      </c>
      <c r="R1677" s="5" t="s">
        <v>3817</v>
      </c>
      <c r="S1677" s="5">
        <v>36</v>
      </c>
      <c r="T1677" s="5">
        <v>36</v>
      </c>
      <c r="U1677" s="5">
        <v>36</v>
      </c>
    </row>
    <row r="1678" spans="1:21" x14ac:dyDescent="0.25">
      <c r="A1678" s="5" t="s">
        <v>5903</v>
      </c>
      <c r="B1678" s="5" t="s">
        <v>5904</v>
      </c>
      <c r="C1678" s="5" t="s">
        <v>3548</v>
      </c>
      <c r="D1678" s="5" t="s">
        <v>5817</v>
      </c>
      <c r="E1678" s="5" t="s">
        <v>4363</v>
      </c>
      <c r="F1678" s="5" t="s">
        <v>4390</v>
      </c>
      <c r="G1678" s="5" t="s">
        <v>4255</v>
      </c>
      <c r="H1678" s="5"/>
      <c r="I1678" s="5" t="s">
        <v>3448</v>
      </c>
      <c r="J1678" s="5" t="s">
        <v>5818</v>
      </c>
      <c r="K1678" s="5" t="s">
        <v>4363</v>
      </c>
      <c r="L1678" s="5">
        <v>17</v>
      </c>
      <c r="M1678" s="5">
        <v>4</v>
      </c>
      <c r="N1678" s="5" t="s">
        <v>4391</v>
      </c>
      <c r="O1678" s="5" t="s">
        <v>4256</v>
      </c>
      <c r="P1678" s="5">
        <v>1</v>
      </c>
      <c r="Q1678" s="5">
        <v>1</v>
      </c>
      <c r="R1678" s="5"/>
      <c r="S1678" s="5">
        <v>77</v>
      </c>
      <c r="T1678" s="5">
        <v>77</v>
      </c>
      <c r="U1678" s="5">
        <v>77</v>
      </c>
    </row>
    <row r="1679" spans="1:21" x14ac:dyDescent="0.25">
      <c r="A1679" s="5" t="s">
        <v>5451</v>
      </c>
      <c r="B1679" s="5" t="s">
        <v>5452</v>
      </c>
      <c r="C1679" s="5" t="s">
        <v>3548</v>
      </c>
      <c r="D1679" s="5" t="s">
        <v>3782</v>
      </c>
      <c r="E1679" s="5" t="s">
        <v>4363</v>
      </c>
      <c r="F1679" s="5" t="s">
        <v>4004</v>
      </c>
      <c r="G1679" s="5" t="s">
        <v>4417</v>
      </c>
      <c r="H1679" s="5" t="s">
        <v>3838</v>
      </c>
      <c r="I1679" s="5" t="s">
        <v>3448</v>
      </c>
      <c r="J1679" s="5" t="s">
        <v>3783</v>
      </c>
      <c r="K1679" s="5" t="s">
        <v>4363</v>
      </c>
      <c r="L1679" s="5">
        <v>32</v>
      </c>
      <c r="M1679" s="5">
        <v>1</v>
      </c>
      <c r="N1679" s="5" t="s">
        <v>4005</v>
      </c>
      <c r="O1679" s="5" t="s">
        <v>4418</v>
      </c>
      <c r="P1679" s="5">
        <v>4</v>
      </c>
      <c r="Q1679" s="5">
        <v>1</v>
      </c>
      <c r="R1679" s="5" t="s">
        <v>3839</v>
      </c>
      <c r="S1679" s="5">
        <v>23</v>
      </c>
      <c r="T1679" s="5">
        <v>23</v>
      </c>
      <c r="U1679" s="5">
        <v>23</v>
      </c>
    </row>
    <row r="1680" spans="1:21" x14ac:dyDescent="0.25">
      <c r="A1680" s="5" t="s">
        <v>5453</v>
      </c>
      <c r="B1680" s="5" t="s">
        <v>5454</v>
      </c>
      <c r="C1680" s="5" t="s">
        <v>3548</v>
      </c>
      <c r="D1680" s="5" t="s">
        <v>3782</v>
      </c>
      <c r="E1680" s="5" t="s">
        <v>4363</v>
      </c>
      <c r="F1680" s="5" t="s">
        <v>4004</v>
      </c>
      <c r="G1680" s="5" t="s">
        <v>4417</v>
      </c>
      <c r="H1680" s="5" t="s">
        <v>3848</v>
      </c>
      <c r="I1680" s="5" t="s">
        <v>3448</v>
      </c>
      <c r="J1680" s="5" t="s">
        <v>3783</v>
      </c>
      <c r="K1680" s="5" t="s">
        <v>4363</v>
      </c>
      <c r="L1680" s="5">
        <v>32</v>
      </c>
      <c r="M1680" s="5">
        <v>1</v>
      </c>
      <c r="N1680" s="5" t="s">
        <v>4005</v>
      </c>
      <c r="O1680" s="5" t="s">
        <v>4418</v>
      </c>
      <c r="P1680" s="5">
        <v>4</v>
      </c>
      <c r="Q1680" s="5">
        <v>1</v>
      </c>
      <c r="R1680" s="5" t="s">
        <v>3849</v>
      </c>
      <c r="S1680" s="5">
        <v>23</v>
      </c>
      <c r="T1680" s="5">
        <v>23</v>
      </c>
      <c r="U1680" s="5">
        <v>23</v>
      </c>
    </row>
    <row r="1681" spans="1:21" x14ac:dyDescent="0.25">
      <c r="A1681" s="5" t="s">
        <v>5455</v>
      </c>
      <c r="B1681" s="5" t="s">
        <v>5456</v>
      </c>
      <c r="C1681" s="5" t="s">
        <v>3548</v>
      </c>
      <c r="D1681" s="5" t="s">
        <v>3782</v>
      </c>
      <c r="E1681" s="5" t="s">
        <v>4363</v>
      </c>
      <c r="F1681" s="5" t="s">
        <v>4004</v>
      </c>
      <c r="G1681" s="5" t="s">
        <v>4417</v>
      </c>
      <c r="H1681" s="5" t="s">
        <v>3816</v>
      </c>
      <c r="I1681" s="5" t="s">
        <v>3448</v>
      </c>
      <c r="J1681" s="5" t="s">
        <v>3783</v>
      </c>
      <c r="K1681" s="5" t="s">
        <v>4363</v>
      </c>
      <c r="L1681" s="5">
        <v>32</v>
      </c>
      <c r="M1681" s="5">
        <v>1</v>
      </c>
      <c r="N1681" s="5" t="s">
        <v>4005</v>
      </c>
      <c r="O1681" s="5" t="s">
        <v>4418</v>
      </c>
      <c r="P1681" s="5">
        <v>4</v>
      </c>
      <c r="Q1681" s="5">
        <v>1</v>
      </c>
      <c r="R1681" s="5" t="s">
        <v>3817</v>
      </c>
      <c r="S1681" s="5">
        <v>23</v>
      </c>
      <c r="T1681" s="5">
        <v>23</v>
      </c>
      <c r="U1681" s="5">
        <v>23</v>
      </c>
    </row>
    <row r="1682" spans="1:21" x14ac:dyDescent="0.25">
      <c r="A1682" s="5" t="s">
        <v>5461</v>
      </c>
      <c r="B1682" s="5" t="s">
        <v>5462</v>
      </c>
      <c r="C1682" s="5" t="s">
        <v>3548</v>
      </c>
      <c r="D1682" s="5" t="s">
        <v>3782</v>
      </c>
      <c r="E1682" s="5" t="s">
        <v>4363</v>
      </c>
      <c r="F1682" s="5" t="s">
        <v>4421</v>
      </c>
      <c r="G1682" s="5" t="s">
        <v>3493</v>
      </c>
      <c r="H1682" s="5" t="s">
        <v>3838</v>
      </c>
      <c r="I1682" s="5" t="s">
        <v>3448</v>
      </c>
      <c r="J1682" s="5" t="s">
        <v>3783</v>
      </c>
      <c r="K1682" s="5" t="s">
        <v>4363</v>
      </c>
      <c r="L1682" s="5">
        <v>32</v>
      </c>
      <c r="M1682" s="5">
        <v>1</v>
      </c>
      <c r="N1682" s="5" t="s">
        <v>4422</v>
      </c>
      <c r="O1682" s="5" t="s">
        <v>3494</v>
      </c>
      <c r="P1682" s="5">
        <v>4</v>
      </c>
      <c r="Q1682" s="5">
        <v>1</v>
      </c>
      <c r="R1682" s="5" t="s">
        <v>3839</v>
      </c>
      <c r="S1682" s="5">
        <v>28</v>
      </c>
      <c r="T1682" s="5">
        <v>28</v>
      </c>
      <c r="U1682" s="5">
        <v>28</v>
      </c>
    </row>
    <row r="1683" spans="1:21" x14ac:dyDescent="0.25">
      <c r="A1683" s="5" t="s">
        <v>5463</v>
      </c>
      <c r="B1683" s="5" t="s">
        <v>5464</v>
      </c>
      <c r="C1683" s="5" t="s">
        <v>3548</v>
      </c>
      <c r="D1683" s="5" t="s">
        <v>3782</v>
      </c>
      <c r="E1683" s="5" t="s">
        <v>4363</v>
      </c>
      <c r="F1683" s="5" t="s">
        <v>4421</v>
      </c>
      <c r="G1683" s="5" t="s">
        <v>3493</v>
      </c>
      <c r="H1683" s="5" t="s">
        <v>3848</v>
      </c>
      <c r="I1683" s="5" t="s">
        <v>3448</v>
      </c>
      <c r="J1683" s="5" t="s">
        <v>3783</v>
      </c>
      <c r="K1683" s="5" t="s">
        <v>4363</v>
      </c>
      <c r="L1683" s="5">
        <v>32</v>
      </c>
      <c r="M1683" s="5">
        <v>1</v>
      </c>
      <c r="N1683" s="5" t="s">
        <v>4422</v>
      </c>
      <c r="O1683" s="5" t="s">
        <v>3494</v>
      </c>
      <c r="P1683" s="5">
        <v>4</v>
      </c>
      <c r="Q1683" s="5">
        <v>1</v>
      </c>
      <c r="R1683" s="5" t="s">
        <v>3849</v>
      </c>
      <c r="S1683" s="5">
        <v>28</v>
      </c>
      <c r="T1683" s="5">
        <v>28</v>
      </c>
      <c r="U1683" s="5">
        <v>28</v>
      </c>
    </row>
    <row r="1684" spans="1:21" x14ac:dyDescent="0.25">
      <c r="A1684" s="5" t="s">
        <v>5465</v>
      </c>
      <c r="B1684" s="5" t="s">
        <v>5466</v>
      </c>
      <c r="C1684" s="5" t="s">
        <v>3548</v>
      </c>
      <c r="D1684" s="5" t="s">
        <v>3782</v>
      </c>
      <c r="E1684" s="5" t="s">
        <v>4363</v>
      </c>
      <c r="F1684" s="5" t="s">
        <v>4421</v>
      </c>
      <c r="G1684" s="5" t="s">
        <v>3493</v>
      </c>
      <c r="H1684" s="5" t="s">
        <v>3816</v>
      </c>
      <c r="I1684" s="5" t="s">
        <v>3448</v>
      </c>
      <c r="J1684" s="5" t="s">
        <v>3783</v>
      </c>
      <c r="K1684" s="5" t="s">
        <v>4363</v>
      </c>
      <c r="L1684" s="5">
        <v>32</v>
      </c>
      <c r="M1684" s="5">
        <v>1</v>
      </c>
      <c r="N1684" s="5" t="s">
        <v>4422</v>
      </c>
      <c r="O1684" s="5" t="s">
        <v>3494</v>
      </c>
      <c r="P1684" s="5">
        <v>4</v>
      </c>
      <c r="Q1684" s="5">
        <v>1</v>
      </c>
      <c r="R1684" s="5" t="s">
        <v>3817</v>
      </c>
      <c r="S1684" s="5">
        <v>28</v>
      </c>
      <c r="T1684" s="5">
        <v>28</v>
      </c>
      <c r="U1684" s="5">
        <v>28</v>
      </c>
    </row>
    <row r="1685" spans="1:21" x14ac:dyDescent="0.25">
      <c r="A1685" s="5" t="s">
        <v>5467</v>
      </c>
      <c r="B1685" s="5" t="s">
        <v>5468</v>
      </c>
      <c r="C1685" s="5" t="s">
        <v>3548</v>
      </c>
      <c r="D1685" s="5" t="s">
        <v>3782</v>
      </c>
      <c r="E1685" s="5" t="s">
        <v>4363</v>
      </c>
      <c r="F1685" s="5" t="s">
        <v>4421</v>
      </c>
      <c r="G1685" s="5" t="s">
        <v>3826</v>
      </c>
      <c r="H1685" s="5" t="s">
        <v>3838</v>
      </c>
      <c r="I1685" s="5" t="s">
        <v>3448</v>
      </c>
      <c r="J1685" s="5" t="s">
        <v>3783</v>
      </c>
      <c r="K1685" s="5" t="s">
        <v>4363</v>
      </c>
      <c r="L1685" s="5">
        <v>32</v>
      </c>
      <c r="M1685" s="5">
        <v>1</v>
      </c>
      <c r="N1685" s="5" t="s">
        <v>4422</v>
      </c>
      <c r="O1685" s="5" t="s">
        <v>3827</v>
      </c>
      <c r="P1685" s="5">
        <v>4</v>
      </c>
      <c r="Q1685" s="5">
        <v>1</v>
      </c>
      <c r="R1685" s="5" t="s">
        <v>3839</v>
      </c>
      <c r="S1685" s="5">
        <v>26</v>
      </c>
      <c r="T1685" s="5">
        <v>26</v>
      </c>
      <c r="U1685" s="5">
        <v>26</v>
      </c>
    </row>
    <row r="1686" spans="1:21" x14ac:dyDescent="0.25">
      <c r="A1686" s="5" t="s">
        <v>5469</v>
      </c>
      <c r="B1686" s="5" t="s">
        <v>5470</v>
      </c>
      <c r="C1686" s="5" t="s">
        <v>3548</v>
      </c>
      <c r="D1686" s="5" t="s">
        <v>3782</v>
      </c>
      <c r="E1686" s="5" t="s">
        <v>4363</v>
      </c>
      <c r="F1686" s="5" t="s">
        <v>4421</v>
      </c>
      <c r="G1686" s="5" t="s">
        <v>3826</v>
      </c>
      <c r="H1686" s="5" t="s">
        <v>3848</v>
      </c>
      <c r="I1686" s="5" t="s">
        <v>3448</v>
      </c>
      <c r="J1686" s="5" t="s">
        <v>3783</v>
      </c>
      <c r="K1686" s="5" t="s">
        <v>4363</v>
      </c>
      <c r="L1686" s="5">
        <v>32</v>
      </c>
      <c r="M1686" s="5">
        <v>1</v>
      </c>
      <c r="N1686" s="5" t="s">
        <v>4422</v>
      </c>
      <c r="O1686" s="5" t="s">
        <v>3827</v>
      </c>
      <c r="P1686" s="5">
        <v>4</v>
      </c>
      <c r="Q1686" s="5">
        <v>1</v>
      </c>
      <c r="R1686" s="5" t="s">
        <v>3849</v>
      </c>
      <c r="S1686" s="5">
        <v>25</v>
      </c>
      <c r="T1686" s="5">
        <v>25</v>
      </c>
      <c r="U1686" s="5">
        <v>25</v>
      </c>
    </row>
    <row r="1687" spans="1:21" x14ac:dyDescent="0.25">
      <c r="A1687" s="5" t="s">
        <v>5907</v>
      </c>
      <c r="B1687" s="5" t="s">
        <v>5908</v>
      </c>
      <c r="C1687" s="5" t="s">
        <v>3548</v>
      </c>
      <c r="D1687" s="5" t="s">
        <v>5817</v>
      </c>
      <c r="E1687" s="5" t="s">
        <v>4363</v>
      </c>
      <c r="F1687" s="5" t="s">
        <v>4004</v>
      </c>
      <c r="G1687" s="5" t="s">
        <v>4255</v>
      </c>
      <c r="H1687" s="5"/>
      <c r="I1687" s="5" t="s">
        <v>3448</v>
      </c>
      <c r="J1687" s="5" t="s">
        <v>5818</v>
      </c>
      <c r="K1687" s="5" t="s">
        <v>4363</v>
      </c>
      <c r="L1687" s="5">
        <v>17</v>
      </c>
      <c r="M1687" s="5">
        <v>4</v>
      </c>
      <c r="N1687" s="5" t="s">
        <v>4005</v>
      </c>
      <c r="O1687" s="5" t="s">
        <v>4256</v>
      </c>
      <c r="P1687" s="5">
        <v>1</v>
      </c>
      <c r="Q1687" s="5">
        <v>1</v>
      </c>
      <c r="R1687" s="5"/>
      <c r="S1687" s="5">
        <v>80</v>
      </c>
      <c r="T1687" s="5">
        <v>80</v>
      </c>
      <c r="U1687" s="5">
        <v>80</v>
      </c>
    </row>
    <row r="1688" spans="1:21" x14ac:dyDescent="0.25">
      <c r="A1688" s="5" t="s">
        <v>5917</v>
      </c>
      <c r="B1688" s="5" t="s">
        <v>5918</v>
      </c>
      <c r="C1688" s="5" t="s">
        <v>3548</v>
      </c>
      <c r="D1688" s="5" t="s">
        <v>5817</v>
      </c>
      <c r="E1688" s="5" t="s">
        <v>4363</v>
      </c>
      <c r="F1688" s="5" t="s">
        <v>3584</v>
      </c>
      <c r="G1688" s="5" t="s">
        <v>4255</v>
      </c>
      <c r="H1688" s="5"/>
      <c r="I1688" s="5" t="s">
        <v>3448</v>
      </c>
      <c r="J1688" s="5" t="s">
        <v>5818</v>
      </c>
      <c r="K1688" s="5" t="s">
        <v>4363</v>
      </c>
      <c r="L1688" s="5">
        <v>25</v>
      </c>
      <c r="M1688" s="5">
        <v>1</v>
      </c>
      <c r="N1688" s="5" t="s">
        <v>3585</v>
      </c>
      <c r="O1688" s="5" t="s">
        <v>4256</v>
      </c>
      <c r="P1688" s="5">
        <v>1.5</v>
      </c>
      <c r="Q1688" s="5">
        <v>1</v>
      </c>
      <c r="R1688" s="5"/>
      <c r="S1688" s="5">
        <v>37</v>
      </c>
      <c r="T1688" s="5">
        <v>37</v>
      </c>
      <c r="U1688" s="5">
        <v>37</v>
      </c>
    </row>
    <row r="1689" spans="1:21" x14ac:dyDescent="0.25">
      <c r="A1689" s="5" t="s">
        <v>5927</v>
      </c>
      <c r="B1689" s="5" t="s">
        <v>5928</v>
      </c>
      <c r="C1689" s="5" t="s">
        <v>3548</v>
      </c>
      <c r="D1689" s="5" t="s">
        <v>5817</v>
      </c>
      <c r="E1689" s="5" t="s">
        <v>4363</v>
      </c>
      <c r="F1689" s="5" t="s">
        <v>4004</v>
      </c>
      <c r="G1689" s="5" t="s">
        <v>4255</v>
      </c>
      <c r="H1689" s="5"/>
      <c r="I1689" s="5" t="s">
        <v>3448</v>
      </c>
      <c r="J1689" s="5" t="s">
        <v>5818</v>
      </c>
      <c r="K1689" s="5" t="s">
        <v>4363</v>
      </c>
      <c r="L1689" s="5">
        <v>25</v>
      </c>
      <c r="M1689" s="5">
        <v>1</v>
      </c>
      <c r="N1689" s="5" t="s">
        <v>4005</v>
      </c>
      <c r="O1689" s="5" t="s">
        <v>4256</v>
      </c>
      <c r="P1689" s="5">
        <v>1.5</v>
      </c>
      <c r="Q1689" s="5">
        <v>1</v>
      </c>
      <c r="R1689" s="5"/>
      <c r="S1689" s="5">
        <v>30</v>
      </c>
      <c r="T1689" s="5">
        <v>30</v>
      </c>
      <c r="U1689" s="5">
        <v>30</v>
      </c>
    </row>
    <row r="1690" spans="1:21" x14ac:dyDescent="0.25">
      <c r="A1690" s="5" t="s">
        <v>5939</v>
      </c>
      <c r="B1690" s="5" t="s">
        <v>5940</v>
      </c>
      <c r="C1690" s="5" t="s">
        <v>3548</v>
      </c>
      <c r="D1690" s="5" t="s">
        <v>5817</v>
      </c>
      <c r="E1690" s="5" t="s">
        <v>4363</v>
      </c>
      <c r="F1690" s="5" t="s">
        <v>3584</v>
      </c>
      <c r="G1690" s="5" t="s">
        <v>4255</v>
      </c>
      <c r="H1690" s="5"/>
      <c r="I1690" s="5" t="s">
        <v>3448</v>
      </c>
      <c r="J1690" s="5" t="s">
        <v>5818</v>
      </c>
      <c r="K1690" s="5" t="s">
        <v>4363</v>
      </c>
      <c r="L1690" s="5">
        <v>25</v>
      </c>
      <c r="M1690" s="5">
        <v>1</v>
      </c>
      <c r="N1690" s="5" t="s">
        <v>3585</v>
      </c>
      <c r="O1690" s="5" t="s">
        <v>4256</v>
      </c>
      <c r="P1690" s="5">
        <v>2</v>
      </c>
      <c r="Q1690" s="5">
        <v>1</v>
      </c>
      <c r="R1690" s="5"/>
      <c r="S1690" s="5">
        <v>37</v>
      </c>
      <c r="T1690" s="5">
        <v>37</v>
      </c>
      <c r="U1690" s="5">
        <v>37</v>
      </c>
    </row>
    <row r="1691" spans="1:21" x14ac:dyDescent="0.25">
      <c r="A1691" s="5" t="s">
        <v>5945</v>
      </c>
      <c r="B1691" s="5" t="s">
        <v>5946</v>
      </c>
      <c r="C1691" s="5" t="s">
        <v>3548</v>
      </c>
      <c r="D1691" s="5" t="s">
        <v>5817</v>
      </c>
      <c r="E1691" s="5" t="s">
        <v>4363</v>
      </c>
      <c r="F1691" s="5" t="s">
        <v>4390</v>
      </c>
      <c r="G1691" s="5" t="s">
        <v>4255</v>
      </c>
      <c r="H1691" s="5"/>
      <c r="I1691" s="5" t="s">
        <v>3448</v>
      </c>
      <c r="J1691" s="5" t="s">
        <v>5818</v>
      </c>
      <c r="K1691" s="5" t="s">
        <v>4363</v>
      </c>
      <c r="L1691" s="5">
        <v>25</v>
      </c>
      <c r="M1691" s="5">
        <v>1</v>
      </c>
      <c r="N1691" s="5" t="s">
        <v>4406</v>
      </c>
      <c r="O1691" s="5" t="s">
        <v>4256</v>
      </c>
      <c r="P1691" s="5">
        <v>2</v>
      </c>
      <c r="Q1691" s="5">
        <v>1</v>
      </c>
      <c r="R1691" s="5"/>
      <c r="S1691" s="5">
        <v>37</v>
      </c>
      <c r="T1691" s="5">
        <v>37</v>
      </c>
      <c r="U1691" s="5">
        <v>37</v>
      </c>
    </row>
    <row r="1692" spans="1:21" x14ac:dyDescent="0.25">
      <c r="A1692" s="5" t="s">
        <v>5951</v>
      </c>
      <c r="B1692" s="5" t="s">
        <v>5952</v>
      </c>
      <c r="C1692" s="5" t="s">
        <v>3548</v>
      </c>
      <c r="D1692" s="5" t="s">
        <v>5817</v>
      </c>
      <c r="E1692" s="5" t="s">
        <v>4363</v>
      </c>
      <c r="F1692" s="5" t="s">
        <v>3584</v>
      </c>
      <c r="G1692" s="5" t="s">
        <v>4255</v>
      </c>
      <c r="H1692" s="5"/>
      <c r="I1692" s="5" t="s">
        <v>3448</v>
      </c>
      <c r="J1692" s="5" t="s">
        <v>5818</v>
      </c>
      <c r="K1692" s="5" t="s">
        <v>4363</v>
      </c>
      <c r="L1692" s="5">
        <v>25</v>
      </c>
      <c r="M1692" s="5">
        <v>2</v>
      </c>
      <c r="N1692" s="5" t="s">
        <v>3585</v>
      </c>
      <c r="O1692" s="5" t="s">
        <v>4256</v>
      </c>
      <c r="P1692" s="5">
        <v>1.5</v>
      </c>
      <c r="Q1692" s="5">
        <v>1</v>
      </c>
      <c r="R1692" s="5"/>
      <c r="S1692" s="5">
        <v>60</v>
      </c>
      <c r="T1692" s="5">
        <v>60</v>
      </c>
      <c r="U1692" s="5">
        <v>60</v>
      </c>
    </row>
    <row r="1693" spans="1:21" x14ac:dyDescent="0.25">
      <c r="A1693" s="5" t="s">
        <v>5957</v>
      </c>
      <c r="B1693" s="5" t="s">
        <v>5958</v>
      </c>
      <c r="C1693" s="5" t="s">
        <v>3548</v>
      </c>
      <c r="D1693" s="5" t="s">
        <v>5817</v>
      </c>
      <c r="E1693" s="5" t="s">
        <v>4363</v>
      </c>
      <c r="F1693" s="5" t="s">
        <v>4390</v>
      </c>
      <c r="G1693" s="5" t="s">
        <v>4255</v>
      </c>
      <c r="H1693" s="5"/>
      <c r="I1693" s="5" t="s">
        <v>3448</v>
      </c>
      <c r="J1693" s="5" t="s">
        <v>5818</v>
      </c>
      <c r="K1693" s="5" t="s">
        <v>4363</v>
      </c>
      <c r="L1693" s="5">
        <v>25</v>
      </c>
      <c r="M1693" s="5">
        <v>2</v>
      </c>
      <c r="N1693" s="5" t="s">
        <v>4391</v>
      </c>
      <c r="O1693" s="5" t="s">
        <v>4256</v>
      </c>
      <c r="P1693" s="5">
        <v>1.5</v>
      </c>
      <c r="Q1693" s="5">
        <v>1</v>
      </c>
      <c r="R1693" s="5"/>
      <c r="S1693" s="5">
        <v>57</v>
      </c>
      <c r="T1693" s="5">
        <v>57</v>
      </c>
      <c r="U1693" s="5">
        <v>57</v>
      </c>
    </row>
    <row r="1694" spans="1:21" x14ac:dyDescent="0.25">
      <c r="A1694" s="5" t="s">
        <v>5961</v>
      </c>
      <c r="B1694" s="5" t="s">
        <v>5962</v>
      </c>
      <c r="C1694" s="5" t="s">
        <v>3548</v>
      </c>
      <c r="D1694" s="5" t="s">
        <v>5817</v>
      </c>
      <c r="E1694" s="5" t="s">
        <v>4363</v>
      </c>
      <c r="F1694" s="5" t="s">
        <v>4004</v>
      </c>
      <c r="G1694" s="5" t="s">
        <v>4255</v>
      </c>
      <c r="H1694" s="5"/>
      <c r="I1694" s="5" t="s">
        <v>3448</v>
      </c>
      <c r="J1694" s="5" t="s">
        <v>5818</v>
      </c>
      <c r="K1694" s="5" t="s">
        <v>4363</v>
      </c>
      <c r="L1694" s="5">
        <v>25</v>
      </c>
      <c r="M1694" s="5">
        <v>2</v>
      </c>
      <c r="N1694" s="5" t="s">
        <v>4005</v>
      </c>
      <c r="O1694" s="5" t="s">
        <v>4256</v>
      </c>
      <c r="P1694" s="5">
        <v>1.5</v>
      </c>
      <c r="Q1694" s="5">
        <v>1</v>
      </c>
      <c r="R1694" s="5"/>
      <c r="S1694" s="5">
        <v>59</v>
      </c>
      <c r="T1694" s="5">
        <v>59</v>
      </c>
      <c r="U1694" s="5">
        <v>59</v>
      </c>
    </row>
    <row r="1695" spans="1:21" x14ac:dyDescent="0.25">
      <c r="A1695" s="5" t="s">
        <v>5973</v>
      </c>
      <c r="B1695" s="5" t="s">
        <v>5974</v>
      </c>
      <c r="C1695" s="5" t="s">
        <v>3548</v>
      </c>
      <c r="D1695" s="5" t="s">
        <v>5817</v>
      </c>
      <c r="E1695" s="5" t="s">
        <v>4363</v>
      </c>
      <c r="F1695" s="5" t="s">
        <v>3584</v>
      </c>
      <c r="G1695" s="5" t="s">
        <v>4255</v>
      </c>
      <c r="H1695" s="5"/>
      <c r="I1695" s="5" t="s">
        <v>3448</v>
      </c>
      <c r="J1695" s="5" t="s">
        <v>5818</v>
      </c>
      <c r="K1695" s="5" t="s">
        <v>4363</v>
      </c>
      <c r="L1695" s="5">
        <v>25</v>
      </c>
      <c r="M1695" s="5">
        <v>2</v>
      </c>
      <c r="N1695" s="5" t="s">
        <v>3585</v>
      </c>
      <c r="O1695" s="5" t="s">
        <v>4256</v>
      </c>
      <c r="P1695" s="5">
        <v>2</v>
      </c>
      <c r="Q1695" s="5">
        <v>1</v>
      </c>
      <c r="R1695" s="5"/>
      <c r="S1695" s="5">
        <v>58</v>
      </c>
      <c r="T1695" s="5">
        <v>58</v>
      </c>
      <c r="U1695" s="5">
        <v>58</v>
      </c>
    </row>
    <row r="1696" spans="1:21" x14ac:dyDescent="0.25">
      <c r="A1696" s="5" t="s">
        <v>5989</v>
      </c>
      <c r="B1696" s="5" t="s">
        <v>5990</v>
      </c>
      <c r="C1696" s="5" t="s">
        <v>3548</v>
      </c>
      <c r="D1696" s="5" t="s">
        <v>5817</v>
      </c>
      <c r="E1696" s="5" t="s">
        <v>4363</v>
      </c>
      <c r="F1696" s="5" t="s">
        <v>4004</v>
      </c>
      <c r="G1696" s="5" t="s">
        <v>4255</v>
      </c>
      <c r="H1696" s="5"/>
      <c r="I1696" s="5" t="s">
        <v>3448</v>
      </c>
      <c r="J1696" s="5" t="s">
        <v>5818</v>
      </c>
      <c r="K1696" s="5" t="s">
        <v>4363</v>
      </c>
      <c r="L1696" s="5">
        <v>25</v>
      </c>
      <c r="M1696" s="5">
        <v>2</v>
      </c>
      <c r="N1696" s="5" t="s">
        <v>4005</v>
      </c>
      <c r="O1696" s="5" t="s">
        <v>4256</v>
      </c>
      <c r="P1696" s="5">
        <v>2</v>
      </c>
      <c r="Q1696" s="5">
        <v>1</v>
      </c>
      <c r="R1696" s="5"/>
      <c r="S1696" s="5">
        <v>59</v>
      </c>
      <c r="T1696" s="5">
        <v>59</v>
      </c>
      <c r="U1696" s="5">
        <v>59</v>
      </c>
    </row>
    <row r="1697" spans="1:21" x14ac:dyDescent="0.25">
      <c r="A1697" s="5" t="s">
        <v>6003</v>
      </c>
      <c r="B1697" s="5" t="s">
        <v>6004</v>
      </c>
      <c r="C1697" s="5" t="s">
        <v>3548</v>
      </c>
      <c r="D1697" s="5" t="s">
        <v>5817</v>
      </c>
      <c r="E1697" s="5" t="s">
        <v>4363</v>
      </c>
      <c r="F1697" s="5" t="s">
        <v>4004</v>
      </c>
      <c r="G1697" s="5" t="s">
        <v>4255</v>
      </c>
      <c r="H1697" s="5"/>
      <c r="I1697" s="5" t="s">
        <v>3448</v>
      </c>
      <c r="J1697" s="5" t="s">
        <v>5818</v>
      </c>
      <c r="K1697" s="5" t="s">
        <v>4363</v>
      </c>
      <c r="L1697" s="5">
        <v>25</v>
      </c>
      <c r="M1697" s="5">
        <v>1</v>
      </c>
      <c r="N1697" s="5" t="s">
        <v>4005</v>
      </c>
      <c r="O1697" s="5" t="s">
        <v>4256</v>
      </c>
      <c r="P1697" s="5">
        <v>2</v>
      </c>
      <c r="Q1697" s="5">
        <v>1</v>
      </c>
      <c r="R1697" s="5"/>
      <c r="S1697" s="5">
        <v>31</v>
      </c>
      <c r="T1697" s="5">
        <v>31</v>
      </c>
      <c r="U1697" s="5">
        <v>31</v>
      </c>
    </row>
    <row r="1698" spans="1:21" x14ac:dyDescent="0.25">
      <c r="A1698" s="5" t="s">
        <v>6015</v>
      </c>
      <c r="B1698" s="5" t="s">
        <v>6016</v>
      </c>
      <c r="C1698" s="5" t="s">
        <v>3548</v>
      </c>
      <c r="D1698" s="5" t="s">
        <v>5817</v>
      </c>
      <c r="E1698" s="5" t="s">
        <v>4363</v>
      </c>
      <c r="F1698" s="5" t="s">
        <v>3584</v>
      </c>
      <c r="G1698" s="5" t="s">
        <v>4255</v>
      </c>
      <c r="H1698" s="5"/>
      <c r="I1698" s="5" t="s">
        <v>3448</v>
      </c>
      <c r="J1698" s="5" t="s">
        <v>5818</v>
      </c>
      <c r="K1698" s="5" t="s">
        <v>4363</v>
      </c>
      <c r="L1698" s="5">
        <v>25</v>
      </c>
      <c r="M1698" s="5">
        <v>3</v>
      </c>
      <c r="N1698" s="5" t="s">
        <v>3585</v>
      </c>
      <c r="O1698" s="5" t="s">
        <v>4256</v>
      </c>
      <c r="P1698" s="5">
        <v>1.5</v>
      </c>
      <c r="Q1698" s="5">
        <v>1</v>
      </c>
      <c r="R1698" s="5"/>
      <c r="S1698" s="5">
        <v>90</v>
      </c>
      <c r="T1698" s="5">
        <v>90</v>
      </c>
      <c r="U1698" s="5">
        <v>90</v>
      </c>
    </row>
    <row r="1699" spans="1:21" x14ac:dyDescent="0.25">
      <c r="A1699" s="5" t="s">
        <v>6019</v>
      </c>
      <c r="B1699" s="5" t="s">
        <v>6020</v>
      </c>
      <c r="C1699" s="5" t="s">
        <v>3548</v>
      </c>
      <c r="D1699" s="5" t="s">
        <v>5817</v>
      </c>
      <c r="E1699" s="5" t="s">
        <v>4363</v>
      </c>
      <c r="F1699" s="5" t="s">
        <v>4390</v>
      </c>
      <c r="G1699" s="5" t="s">
        <v>4255</v>
      </c>
      <c r="H1699" s="5"/>
      <c r="I1699" s="5" t="s">
        <v>3448</v>
      </c>
      <c r="J1699" s="5" t="s">
        <v>5818</v>
      </c>
      <c r="K1699" s="5" t="s">
        <v>4363</v>
      </c>
      <c r="L1699" s="5">
        <v>25</v>
      </c>
      <c r="M1699" s="5">
        <v>3</v>
      </c>
      <c r="N1699" s="5" t="s">
        <v>4391</v>
      </c>
      <c r="O1699" s="5" t="s">
        <v>4256</v>
      </c>
      <c r="P1699" s="5">
        <v>1.5</v>
      </c>
      <c r="Q1699" s="5">
        <v>1</v>
      </c>
      <c r="R1699" s="5"/>
      <c r="S1699" s="5">
        <v>81</v>
      </c>
      <c r="T1699" s="5">
        <v>81</v>
      </c>
      <c r="U1699" s="5">
        <v>81</v>
      </c>
    </row>
    <row r="1700" spans="1:21" x14ac:dyDescent="0.25">
      <c r="A1700" s="5" t="s">
        <v>6023</v>
      </c>
      <c r="B1700" s="5" t="s">
        <v>6024</v>
      </c>
      <c r="C1700" s="5" t="s">
        <v>3548</v>
      </c>
      <c r="D1700" s="5" t="s">
        <v>5817</v>
      </c>
      <c r="E1700" s="5" t="s">
        <v>4363</v>
      </c>
      <c r="F1700" s="5" t="s">
        <v>4004</v>
      </c>
      <c r="G1700" s="5" t="s">
        <v>4255</v>
      </c>
      <c r="H1700" s="5"/>
      <c r="I1700" s="5" t="s">
        <v>3448</v>
      </c>
      <c r="J1700" s="5" t="s">
        <v>5818</v>
      </c>
      <c r="K1700" s="5" t="s">
        <v>4363</v>
      </c>
      <c r="L1700" s="5">
        <v>25</v>
      </c>
      <c r="M1700" s="5">
        <v>3</v>
      </c>
      <c r="N1700" s="5" t="s">
        <v>4005</v>
      </c>
      <c r="O1700" s="5" t="s">
        <v>4256</v>
      </c>
      <c r="P1700" s="5">
        <v>1.5</v>
      </c>
      <c r="Q1700" s="5">
        <v>1</v>
      </c>
      <c r="R1700" s="5"/>
      <c r="S1700" s="5">
        <v>85</v>
      </c>
      <c r="T1700" s="5">
        <v>85</v>
      </c>
      <c r="U1700" s="5">
        <v>85</v>
      </c>
    </row>
    <row r="1701" spans="1:21" x14ac:dyDescent="0.25">
      <c r="A1701" s="5" t="s">
        <v>5523</v>
      </c>
      <c r="B1701" s="5" t="s">
        <v>5524</v>
      </c>
      <c r="C1701" s="5" t="s">
        <v>3548</v>
      </c>
      <c r="D1701" s="5" t="s">
        <v>3782</v>
      </c>
      <c r="E1701" s="5" t="s">
        <v>4363</v>
      </c>
      <c r="F1701" s="5" t="s">
        <v>3584</v>
      </c>
      <c r="G1701" s="5" t="s">
        <v>3493</v>
      </c>
      <c r="H1701" s="5" t="s">
        <v>3816</v>
      </c>
      <c r="I1701" s="5" t="s">
        <v>3448</v>
      </c>
      <c r="J1701" s="5" t="s">
        <v>3783</v>
      </c>
      <c r="K1701" s="5" t="s">
        <v>4363</v>
      </c>
      <c r="L1701" s="5">
        <v>40</v>
      </c>
      <c r="M1701" s="5">
        <v>2</v>
      </c>
      <c r="N1701" s="5" t="s">
        <v>3585</v>
      </c>
      <c r="O1701" s="5" t="s">
        <v>3494</v>
      </c>
      <c r="P1701" s="5">
        <v>5</v>
      </c>
      <c r="Q1701" s="5">
        <v>1</v>
      </c>
      <c r="R1701" s="5" t="s">
        <v>3817</v>
      </c>
      <c r="S1701" s="5">
        <v>67</v>
      </c>
      <c r="T1701" s="5">
        <v>67</v>
      </c>
      <c r="U1701" s="5">
        <v>67</v>
      </c>
    </row>
    <row r="1702" spans="1:21" x14ac:dyDescent="0.25">
      <c r="A1702" s="5" t="s">
        <v>6033</v>
      </c>
      <c r="B1702" s="5" t="s">
        <v>6034</v>
      </c>
      <c r="C1702" s="5" t="s">
        <v>3548</v>
      </c>
      <c r="D1702" s="5" t="s">
        <v>5817</v>
      </c>
      <c r="E1702" s="5" t="s">
        <v>4363</v>
      </c>
      <c r="F1702" s="5" t="s">
        <v>3584</v>
      </c>
      <c r="G1702" s="5" t="s">
        <v>4255</v>
      </c>
      <c r="H1702" s="5"/>
      <c r="I1702" s="5" t="s">
        <v>3448</v>
      </c>
      <c r="J1702" s="5" t="s">
        <v>5818</v>
      </c>
      <c r="K1702" s="5" t="s">
        <v>4363</v>
      </c>
      <c r="L1702" s="5">
        <v>25</v>
      </c>
      <c r="M1702" s="5">
        <v>3</v>
      </c>
      <c r="N1702" s="5" t="s">
        <v>3585</v>
      </c>
      <c r="O1702" s="5" t="s">
        <v>4256</v>
      </c>
      <c r="P1702" s="5">
        <v>2</v>
      </c>
      <c r="Q1702" s="5">
        <v>1</v>
      </c>
      <c r="R1702" s="5"/>
      <c r="S1702" s="5">
        <v>86</v>
      </c>
      <c r="T1702" s="5">
        <v>86</v>
      </c>
      <c r="U1702" s="5">
        <v>86</v>
      </c>
    </row>
    <row r="1703" spans="1:21" x14ac:dyDescent="0.25">
      <c r="A1703" s="5" t="s">
        <v>6037</v>
      </c>
      <c r="B1703" s="5" t="s">
        <v>6038</v>
      </c>
      <c r="C1703" s="5" t="s">
        <v>3548</v>
      </c>
      <c r="D1703" s="5" t="s">
        <v>5817</v>
      </c>
      <c r="E1703" s="5" t="s">
        <v>4363</v>
      </c>
      <c r="F1703" s="5" t="s">
        <v>4004</v>
      </c>
      <c r="G1703" s="5" t="s">
        <v>4255</v>
      </c>
      <c r="H1703" s="5"/>
      <c r="I1703" s="5" t="s">
        <v>3448</v>
      </c>
      <c r="J1703" s="5" t="s">
        <v>5818</v>
      </c>
      <c r="K1703" s="5" t="s">
        <v>4363</v>
      </c>
      <c r="L1703" s="5">
        <v>25</v>
      </c>
      <c r="M1703" s="5">
        <v>3</v>
      </c>
      <c r="N1703" s="5" t="s">
        <v>4005</v>
      </c>
      <c r="O1703" s="5" t="s">
        <v>4256</v>
      </c>
      <c r="P1703" s="5">
        <v>2</v>
      </c>
      <c r="Q1703" s="5">
        <v>1</v>
      </c>
      <c r="R1703" s="5"/>
      <c r="S1703" s="5">
        <v>85</v>
      </c>
      <c r="T1703" s="5">
        <v>85</v>
      </c>
      <c r="U1703" s="5">
        <v>85</v>
      </c>
    </row>
    <row r="1704" spans="1:21" x14ac:dyDescent="0.25">
      <c r="A1704" s="5" t="s">
        <v>6045</v>
      </c>
      <c r="B1704" s="5" t="s">
        <v>6046</v>
      </c>
      <c r="C1704" s="5" t="s">
        <v>3548</v>
      </c>
      <c r="D1704" s="5" t="s">
        <v>5817</v>
      </c>
      <c r="E1704" s="5" t="s">
        <v>4363</v>
      </c>
      <c r="F1704" s="5" t="s">
        <v>3584</v>
      </c>
      <c r="G1704" s="5" t="s">
        <v>4255</v>
      </c>
      <c r="H1704" s="5"/>
      <c r="I1704" s="5" t="s">
        <v>3448</v>
      </c>
      <c r="J1704" s="5" t="s">
        <v>5818</v>
      </c>
      <c r="K1704" s="5" t="s">
        <v>4363</v>
      </c>
      <c r="L1704" s="5">
        <v>25</v>
      </c>
      <c r="M1704" s="5">
        <v>4</v>
      </c>
      <c r="N1704" s="5" t="s">
        <v>3585</v>
      </c>
      <c r="O1704" s="5" t="s">
        <v>4256</v>
      </c>
      <c r="P1704" s="5">
        <v>1.5</v>
      </c>
      <c r="Q1704" s="5">
        <v>1</v>
      </c>
      <c r="R1704" s="5"/>
      <c r="S1704" s="5">
        <v>121</v>
      </c>
      <c r="T1704" s="5">
        <v>121</v>
      </c>
      <c r="U1704" s="5">
        <v>121</v>
      </c>
    </row>
    <row r="1705" spans="1:21" x14ac:dyDescent="0.25">
      <c r="A1705" s="5" t="s">
        <v>6051</v>
      </c>
      <c r="B1705" s="5" t="s">
        <v>6052</v>
      </c>
      <c r="C1705" s="5" t="s">
        <v>3548</v>
      </c>
      <c r="D1705" s="5" t="s">
        <v>5817</v>
      </c>
      <c r="E1705" s="5" t="s">
        <v>4363</v>
      </c>
      <c r="F1705" s="5" t="s">
        <v>4390</v>
      </c>
      <c r="G1705" s="5" t="s">
        <v>4255</v>
      </c>
      <c r="H1705" s="5"/>
      <c r="I1705" s="5" t="s">
        <v>3448</v>
      </c>
      <c r="J1705" s="5" t="s">
        <v>5818</v>
      </c>
      <c r="K1705" s="5" t="s">
        <v>4363</v>
      </c>
      <c r="L1705" s="5">
        <v>25</v>
      </c>
      <c r="M1705" s="5">
        <v>4</v>
      </c>
      <c r="N1705" s="5" t="s">
        <v>4391</v>
      </c>
      <c r="O1705" s="5" t="s">
        <v>4256</v>
      </c>
      <c r="P1705" s="5">
        <v>1.5</v>
      </c>
      <c r="Q1705" s="5">
        <v>1</v>
      </c>
      <c r="R1705" s="5"/>
      <c r="S1705" s="5">
        <v>114</v>
      </c>
      <c r="T1705" s="5">
        <v>114</v>
      </c>
      <c r="U1705" s="5">
        <v>114</v>
      </c>
    </row>
    <row r="1706" spans="1:21" x14ac:dyDescent="0.25">
      <c r="A1706" s="5" t="s">
        <v>6055</v>
      </c>
      <c r="B1706" s="5" t="s">
        <v>6056</v>
      </c>
      <c r="C1706" s="5" t="s">
        <v>3548</v>
      </c>
      <c r="D1706" s="5" t="s">
        <v>5817</v>
      </c>
      <c r="E1706" s="5" t="s">
        <v>4363</v>
      </c>
      <c r="F1706" s="5" t="s">
        <v>4004</v>
      </c>
      <c r="G1706" s="5" t="s">
        <v>4255</v>
      </c>
      <c r="H1706" s="5"/>
      <c r="I1706" s="5" t="s">
        <v>3448</v>
      </c>
      <c r="J1706" s="5" t="s">
        <v>5818</v>
      </c>
      <c r="K1706" s="5" t="s">
        <v>4363</v>
      </c>
      <c r="L1706" s="5">
        <v>25</v>
      </c>
      <c r="M1706" s="5">
        <v>4</v>
      </c>
      <c r="N1706" s="5" t="s">
        <v>4005</v>
      </c>
      <c r="O1706" s="5" t="s">
        <v>4256</v>
      </c>
      <c r="P1706" s="5">
        <v>1.5</v>
      </c>
      <c r="Q1706" s="5">
        <v>1</v>
      </c>
      <c r="R1706" s="5"/>
      <c r="S1706" s="5">
        <v>115</v>
      </c>
      <c r="T1706" s="5">
        <v>115</v>
      </c>
      <c r="U1706" s="5">
        <v>115</v>
      </c>
    </row>
    <row r="1707" spans="1:21" x14ac:dyDescent="0.25">
      <c r="A1707" s="5" t="s">
        <v>5551</v>
      </c>
      <c r="B1707" s="5" t="s">
        <v>5552</v>
      </c>
      <c r="C1707" s="5" t="s">
        <v>3548</v>
      </c>
      <c r="D1707" s="5" t="s">
        <v>3782</v>
      </c>
      <c r="E1707" s="5" t="s">
        <v>4363</v>
      </c>
      <c r="F1707" s="5" t="s">
        <v>3584</v>
      </c>
      <c r="G1707" s="5" t="s">
        <v>3493</v>
      </c>
      <c r="H1707" s="5" t="s">
        <v>3838</v>
      </c>
      <c r="I1707" s="5" t="s">
        <v>3448</v>
      </c>
      <c r="J1707" s="5" t="s">
        <v>3783</v>
      </c>
      <c r="K1707" s="5" t="s">
        <v>4363</v>
      </c>
      <c r="L1707" s="5">
        <v>40</v>
      </c>
      <c r="M1707" s="5">
        <v>1</v>
      </c>
      <c r="N1707" s="5" t="s">
        <v>3585</v>
      </c>
      <c r="O1707" s="5" t="s">
        <v>3494</v>
      </c>
      <c r="P1707" s="5">
        <v>5</v>
      </c>
      <c r="Q1707" s="5">
        <v>1</v>
      </c>
      <c r="R1707" s="5" t="s">
        <v>3839</v>
      </c>
      <c r="S1707" s="5">
        <v>36</v>
      </c>
      <c r="T1707" s="5">
        <v>36</v>
      </c>
      <c r="U1707" s="5">
        <v>36</v>
      </c>
    </row>
    <row r="1708" spans="1:21" x14ac:dyDescent="0.25">
      <c r="A1708" s="5" t="s">
        <v>5553</v>
      </c>
      <c r="B1708" s="5" t="s">
        <v>5554</v>
      </c>
      <c r="C1708" s="5" t="s">
        <v>3548</v>
      </c>
      <c r="D1708" s="5" t="s">
        <v>3782</v>
      </c>
      <c r="E1708" s="5" t="s">
        <v>4363</v>
      </c>
      <c r="F1708" s="5" t="s">
        <v>3584</v>
      </c>
      <c r="G1708" s="5" t="s">
        <v>3493</v>
      </c>
      <c r="H1708" s="5" t="s">
        <v>3848</v>
      </c>
      <c r="I1708" s="5" t="s">
        <v>3448</v>
      </c>
      <c r="J1708" s="5" t="s">
        <v>3783</v>
      </c>
      <c r="K1708" s="5" t="s">
        <v>4363</v>
      </c>
      <c r="L1708" s="5">
        <v>40</v>
      </c>
      <c r="M1708" s="5">
        <v>1</v>
      </c>
      <c r="N1708" s="5" t="s">
        <v>3585</v>
      </c>
      <c r="O1708" s="5" t="s">
        <v>3494</v>
      </c>
      <c r="P1708" s="5">
        <v>5</v>
      </c>
      <c r="Q1708" s="5">
        <v>1</v>
      </c>
      <c r="R1708" s="5" t="s">
        <v>3849</v>
      </c>
      <c r="S1708" s="5">
        <v>35</v>
      </c>
      <c r="T1708" s="5">
        <v>35</v>
      </c>
      <c r="U1708" s="5">
        <v>35</v>
      </c>
    </row>
    <row r="1709" spans="1:21" x14ac:dyDescent="0.25">
      <c r="A1709" s="5" t="s">
        <v>5555</v>
      </c>
      <c r="B1709" s="5" t="s">
        <v>5556</v>
      </c>
      <c r="C1709" s="5" t="s">
        <v>3548</v>
      </c>
      <c r="D1709" s="5" t="s">
        <v>3782</v>
      </c>
      <c r="E1709" s="5" t="s">
        <v>4363</v>
      </c>
      <c r="F1709" s="5" t="s">
        <v>3584</v>
      </c>
      <c r="G1709" s="5" t="s">
        <v>3493</v>
      </c>
      <c r="H1709" s="5" t="s">
        <v>3816</v>
      </c>
      <c r="I1709" s="5" t="s">
        <v>3448</v>
      </c>
      <c r="J1709" s="5" t="s">
        <v>3783</v>
      </c>
      <c r="K1709" s="5" t="s">
        <v>4363</v>
      </c>
      <c r="L1709" s="5">
        <v>40</v>
      </c>
      <c r="M1709" s="5">
        <v>1</v>
      </c>
      <c r="N1709" s="5" t="s">
        <v>3585</v>
      </c>
      <c r="O1709" s="5" t="s">
        <v>3494</v>
      </c>
      <c r="P1709" s="5">
        <v>5</v>
      </c>
      <c r="Q1709" s="5">
        <v>1</v>
      </c>
      <c r="R1709" s="5" t="s">
        <v>3817</v>
      </c>
      <c r="S1709" s="5">
        <v>34</v>
      </c>
      <c r="T1709" s="5">
        <v>34</v>
      </c>
      <c r="U1709" s="5">
        <v>34</v>
      </c>
    </row>
    <row r="1710" spans="1:21" x14ac:dyDescent="0.25">
      <c r="A1710" s="5" t="s">
        <v>6063</v>
      </c>
      <c r="B1710" s="5" t="s">
        <v>6064</v>
      </c>
      <c r="C1710" s="5" t="s">
        <v>3548</v>
      </c>
      <c r="D1710" s="5" t="s">
        <v>5817</v>
      </c>
      <c r="E1710" s="5" t="s">
        <v>4363</v>
      </c>
      <c r="F1710" s="5" t="s">
        <v>3584</v>
      </c>
      <c r="G1710" s="5" t="s">
        <v>4255</v>
      </c>
      <c r="H1710" s="5"/>
      <c r="I1710" s="5" t="s">
        <v>3448</v>
      </c>
      <c r="J1710" s="5" t="s">
        <v>5818</v>
      </c>
      <c r="K1710" s="5" t="s">
        <v>4363</v>
      </c>
      <c r="L1710" s="5">
        <v>25</v>
      </c>
      <c r="M1710" s="5">
        <v>4</v>
      </c>
      <c r="N1710" s="5" t="s">
        <v>3585</v>
      </c>
      <c r="O1710" s="5" t="s">
        <v>4256</v>
      </c>
      <c r="P1710" s="5">
        <v>2</v>
      </c>
      <c r="Q1710" s="5">
        <v>1</v>
      </c>
      <c r="R1710" s="5"/>
      <c r="S1710" s="5">
        <v>116</v>
      </c>
      <c r="T1710" s="5">
        <v>116</v>
      </c>
      <c r="U1710" s="5">
        <v>116</v>
      </c>
    </row>
    <row r="1711" spans="1:21" x14ac:dyDescent="0.25">
      <c r="A1711" s="5" t="s">
        <v>6067</v>
      </c>
      <c r="B1711" s="5" t="s">
        <v>6068</v>
      </c>
      <c r="C1711" s="5" t="s">
        <v>3548</v>
      </c>
      <c r="D1711" s="5" t="s">
        <v>5817</v>
      </c>
      <c r="E1711" s="5" t="s">
        <v>4363</v>
      </c>
      <c r="F1711" s="5" t="s">
        <v>4004</v>
      </c>
      <c r="G1711" s="5" t="s">
        <v>4255</v>
      </c>
      <c r="H1711" s="5"/>
      <c r="I1711" s="5" t="s">
        <v>3448</v>
      </c>
      <c r="J1711" s="5" t="s">
        <v>5818</v>
      </c>
      <c r="K1711" s="5" t="s">
        <v>4363</v>
      </c>
      <c r="L1711" s="5">
        <v>25</v>
      </c>
      <c r="M1711" s="5">
        <v>4</v>
      </c>
      <c r="N1711" s="5" t="s">
        <v>4005</v>
      </c>
      <c r="O1711" s="5" t="s">
        <v>4256</v>
      </c>
      <c r="P1711" s="5">
        <v>2</v>
      </c>
      <c r="Q1711" s="5">
        <v>1</v>
      </c>
      <c r="R1711" s="5"/>
      <c r="S1711" s="5">
        <v>111</v>
      </c>
      <c r="T1711" s="5">
        <v>111</v>
      </c>
      <c r="U1711" s="5">
        <v>111</v>
      </c>
    </row>
    <row r="1712" spans="1:21" x14ac:dyDescent="0.25">
      <c r="A1712" s="5" t="s">
        <v>6091</v>
      </c>
      <c r="B1712" s="5" t="s">
        <v>6092</v>
      </c>
      <c r="C1712" s="5" t="s">
        <v>3548</v>
      </c>
      <c r="D1712" s="5" t="s">
        <v>5817</v>
      </c>
      <c r="E1712" s="5" t="s">
        <v>4363</v>
      </c>
      <c r="F1712" s="5" t="s">
        <v>4004</v>
      </c>
      <c r="G1712" s="5" t="s">
        <v>4255</v>
      </c>
      <c r="H1712" s="5"/>
      <c r="I1712" s="5" t="s">
        <v>3448</v>
      </c>
      <c r="J1712" s="5" t="s">
        <v>5818</v>
      </c>
      <c r="K1712" s="5" t="s">
        <v>4363</v>
      </c>
      <c r="L1712" s="5">
        <v>28</v>
      </c>
      <c r="M1712" s="5">
        <v>2</v>
      </c>
      <c r="N1712" s="5" t="s">
        <v>4005</v>
      </c>
      <c r="O1712" s="5" t="s">
        <v>4256</v>
      </c>
      <c r="P1712" s="5">
        <v>2</v>
      </c>
      <c r="Q1712" s="5">
        <v>1</v>
      </c>
      <c r="R1712" s="5"/>
      <c r="S1712" s="5">
        <v>62</v>
      </c>
      <c r="T1712" s="5">
        <v>62</v>
      </c>
      <c r="U1712" s="5">
        <v>62</v>
      </c>
    </row>
    <row r="1713" spans="1:21" x14ac:dyDescent="0.25">
      <c r="A1713" s="5" t="s">
        <v>6099</v>
      </c>
      <c r="B1713" s="5" t="s">
        <v>6100</v>
      </c>
      <c r="C1713" s="5" t="s">
        <v>3548</v>
      </c>
      <c r="D1713" s="5" t="s">
        <v>5817</v>
      </c>
      <c r="E1713" s="5" t="s">
        <v>4363</v>
      </c>
      <c r="F1713" s="5" t="s">
        <v>4004</v>
      </c>
      <c r="G1713" s="5" t="s">
        <v>4255</v>
      </c>
      <c r="H1713" s="5"/>
      <c r="I1713" s="5" t="s">
        <v>3448</v>
      </c>
      <c r="J1713" s="5" t="s">
        <v>5818</v>
      </c>
      <c r="K1713" s="5" t="s">
        <v>4363</v>
      </c>
      <c r="L1713" s="5">
        <v>28</v>
      </c>
      <c r="M1713" s="5">
        <v>1</v>
      </c>
      <c r="N1713" s="5" t="s">
        <v>4005</v>
      </c>
      <c r="O1713" s="5" t="s">
        <v>4256</v>
      </c>
      <c r="P1713" s="5">
        <v>2</v>
      </c>
      <c r="Q1713" s="5">
        <v>1</v>
      </c>
      <c r="R1713" s="5"/>
      <c r="S1713" s="5">
        <v>33</v>
      </c>
      <c r="T1713" s="5">
        <v>33</v>
      </c>
      <c r="U1713" s="5">
        <v>33</v>
      </c>
    </row>
    <row r="1714" spans="1:21" x14ac:dyDescent="0.25">
      <c r="A1714" s="5" t="s">
        <v>6109</v>
      </c>
      <c r="B1714" s="5" t="s">
        <v>6110</v>
      </c>
      <c r="C1714" s="5" t="s">
        <v>3548</v>
      </c>
      <c r="D1714" s="5" t="s">
        <v>5817</v>
      </c>
      <c r="E1714" s="5" t="s">
        <v>4363</v>
      </c>
      <c r="F1714" s="5" t="s">
        <v>3584</v>
      </c>
      <c r="G1714" s="5" t="s">
        <v>4255</v>
      </c>
      <c r="H1714" s="5"/>
      <c r="I1714" s="5" t="s">
        <v>3448</v>
      </c>
      <c r="J1714" s="5" t="s">
        <v>5818</v>
      </c>
      <c r="K1714" s="5" t="s">
        <v>4363</v>
      </c>
      <c r="L1714" s="5">
        <v>28</v>
      </c>
      <c r="M1714" s="5">
        <v>3</v>
      </c>
      <c r="N1714" s="5" t="s">
        <v>3585</v>
      </c>
      <c r="O1714" s="5" t="s">
        <v>4256</v>
      </c>
      <c r="P1714" s="5">
        <v>2</v>
      </c>
      <c r="Q1714" s="5">
        <v>1</v>
      </c>
      <c r="R1714" s="5"/>
      <c r="S1714" s="5">
        <v>94</v>
      </c>
      <c r="T1714" s="5">
        <v>94</v>
      </c>
      <c r="U1714" s="5">
        <v>94</v>
      </c>
    </row>
    <row r="1715" spans="1:21" x14ac:dyDescent="0.25">
      <c r="A1715" s="5" t="s">
        <v>6113</v>
      </c>
      <c r="B1715" s="5" t="s">
        <v>6114</v>
      </c>
      <c r="C1715" s="5" t="s">
        <v>3548</v>
      </c>
      <c r="D1715" s="5" t="s">
        <v>5817</v>
      </c>
      <c r="E1715" s="5" t="s">
        <v>4363</v>
      </c>
      <c r="F1715" s="5" t="s">
        <v>4004</v>
      </c>
      <c r="G1715" s="5" t="s">
        <v>4255</v>
      </c>
      <c r="H1715" s="5"/>
      <c r="I1715" s="5" t="s">
        <v>3448</v>
      </c>
      <c r="J1715" s="5" t="s">
        <v>5818</v>
      </c>
      <c r="K1715" s="5" t="s">
        <v>4363</v>
      </c>
      <c r="L1715" s="5">
        <v>28</v>
      </c>
      <c r="M1715" s="5">
        <v>3</v>
      </c>
      <c r="N1715" s="5" t="s">
        <v>4005</v>
      </c>
      <c r="O1715" s="5" t="s">
        <v>4256</v>
      </c>
      <c r="P1715" s="5">
        <v>2</v>
      </c>
      <c r="Q1715" s="5">
        <v>1</v>
      </c>
      <c r="R1715" s="5"/>
      <c r="S1715" s="5">
        <v>91</v>
      </c>
      <c r="T1715" s="5">
        <v>91</v>
      </c>
      <c r="U1715" s="5">
        <v>91</v>
      </c>
    </row>
    <row r="1716" spans="1:21" x14ac:dyDescent="0.25">
      <c r="A1716" s="5" t="s">
        <v>6123</v>
      </c>
      <c r="B1716" s="5" t="s">
        <v>6124</v>
      </c>
      <c r="C1716" s="5" t="s">
        <v>3548</v>
      </c>
      <c r="D1716" s="5" t="s">
        <v>5817</v>
      </c>
      <c r="E1716" s="5" t="s">
        <v>4363</v>
      </c>
      <c r="F1716" s="5" t="s">
        <v>3584</v>
      </c>
      <c r="G1716" s="5" t="s">
        <v>4255</v>
      </c>
      <c r="H1716" s="5"/>
      <c r="I1716" s="5" t="s">
        <v>3448</v>
      </c>
      <c r="J1716" s="5" t="s">
        <v>5818</v>
      </c>
      <c r="K1716" s="5" t="s">
        <v>4363</v>
      </c>
      <c r="L1716" s="5">
        <v>28</v>
      </c>
      <c r="M1716" s="5">
        <v>4</v>
      </c>
      <c r="N1716" s="5" t="s">
        <v>3585</v>
      </c>
      <c r="O1716" s="5" t="s">
        <v>4256</v>
      </c>
      <c r="P1716" s="5">
        <v>2</v>
      </c>
      <c r="Q1716" s="5">
        <v>1</v>
      </c>
      <c r="R1716" s="5"/>
      <c r="S1716" s="5">
        <v>125</v>
      </c>
      <c r="T1716" s="5">
        <v>125</v>
      </c>
      <c r="U1716" s="5">
        <v>125</v>
      </c>
    </row>
    <row r="1717" spans="1:21" x14ac:dyDescent="0.25">
      <c r="A1717" s="5" t="s">
        <v>6127</v>
      </c>
      <c r="B1717" s="5" t="s">
        <v>6128</v>
      </c>
      <c r="C1717" s="5" t="s">
        <v>3548</v>
      </c>
      <c r="D1717" s="5" t="s">
        <v>5817</v>
      </c>
      <c r="E1717" s="5" t="s">
        <v>4363</v>
      </c>
      <c r="F1717" s="5" t="s">
        <v>4004</v>
      </c>
      <c r="G1717" s="5" t="s">
        <v>4255</v>
      </c>
      <c r="H1717" s="5"/>
      <c r="I1717" s="5" t="s">
        <v>3448</v>
      </c>
      <c r="J1717" s="5" t="s">
        <v>5818</v>
      </c>
      <c r="K1717" s="5" t="s">
        <v>4363</v>
      </c>
      <c r="L1717" s="5">
        <v>28</v>
      </c>
      <c r="M1717" s="5">
        <v>4</v>
      </c>
      <c r="N1717" s="5" t="s">
        <v>4005</v>
      </c>
      <c r="O1717" s="5" t="s">
        <v>4256</v>
      </c>
      <c r="P1717" s="5">
        <v>2</v>
      </c>
      <c r="Q1717" s="5">
        <v>1</v>
      </c>
      <c r="R1717" s="5"/>
      <c r="S1717" s="5">
        <v>123</v>
      </c>
      <c r="T1717" s="5">
        <v>123</v>
      </c>
      <c r="U1717" s="5">
        <v>123</v>
      </c>
    </row>
    <row r="1718" spans="1:21" x14ac:dyDescent="0.25">
      <c r="A1718" s="5" t="s">
        <v>5597</v>
      </c>
      <c r="B1718" s="5" t="s">
        <v>5598</v>
      </c>
      <c r="C1718" s="5" t="s">
        <v>3548</v>
      </c>
      <c r="D1718" s="5" t="s">
        <v>3782</v>
      </c>
      <c r="E1718" s="5" t="s">
        <v>4363</v>
      </c>
      <c r="F1718" s="5" t="s">
        <v>3584</v>
      </c>
      <c r="G1718" s="5" t="s">
        <v>3493</v>
      </c>
      <c r="H1718" s="5" t="s">
        <v>3838</v>
      </c>
      <c r="I1718" s="5" t="s">
        <v>3448</v>
      </c>
      <c r="J1718" s="5" t="s">
        <v>3783</v>
      </c>
      <c r="K1718" s="5" t="s">
        <v>4363</v>
      </c>
      <c r="L1718" s="5">
        <v>59</v>
      </c>
      <c r="M1718" s="5">
        <v>1</v>
      </c>
      <c r="N1718" s="5" t="s">
        <v>3585</v>
      </c>
      <c r="O1718" s="5" t="s">
        <v>3494</v>
      </c>
      <c r="P1718" s="5">
        <v>8</v>
      </c>
      <c r="Q1718" s="5">
        <v>1</v>
      </c>
      <c r="R1718" s="5" t="s">
        <v>3839</v>
      </c>
      <c r="S1718" s="5">
        <v>55</v>
      </c>
      <c r="T1718" s="5">
        <v>55</v>
      </c>
      <c r="U1718" s="5">
        <v>55</v>
      </c>
    </row>
    <row r="1719" spans="1:21" x14ac:dyDescent="0.25">
      <c r="A1719" s="5" t="s">
        <v>6143</v>
      </c>
      <c r="B1719" s="5" t="s">
        <v>6144</v>
      </c>
      <c r="C1719" s="5" t="s">
        <v>3548</v>
      </c>
      <c r="D1719" s="5" t="s">
        <v>5817</v>
      </c>
      <c r="E1719" s="5" t="s">
        <v>4363</v>
      </c>
      <c r="F1719" s="5" t="s">
        <v>3584</v>
      </c>
      <c r="G1719" s="5" t="s">
        <v>4255</v>
      </c>
      <c r="H1719" s="5"/>
      <c r="I1719" s="5" t="s">
        <v>3448</v>
      </c>
      <c r="J1719" s="5" t="s">
        <v>5818</v>
      </c>
      <c r="K1719" s="5" t="s">
        <v>4363</v>
      </c>
      <c r="L1719" s="5">
        <v>30</v>
      </c>
      <c r="M1719" s="5">
        <v>2</v>
      </c>
      <c r="N1719" s="5" t="s">
        <v>3585</v>
      </c>
      <c r="O1719" s="5" t="s">
        <v>4256</v>
      </c>
      <c r="P1719" s="5">
        <v>2</v>
      </c>
      <c r="Q1719" s="5">
        <v>1</v>
      </c>
      <c r="R1719" s="5"/>
      <c r="S1719" s="5">
        <v>62</v>
      </c>
      <c r="T1719" s="5">
        <v>62</v>
      </c>
      <c r="U1719" s="5">
        <v>62</v>
      </c>
    </row>
    <row r="1720" spans="1:21" x14ac:dyDescent="0.25">
      <c r="A1720" s="5" t="s">
        <v>5601</v>
      </c>
      <c r="B1720" s="5" t="s">
        <v>5602</v>
      </c>
      <c r="C1720" s="5" t="s">
        <v>3548</v>
      </c>
      <c r="D1720" s="5" t="s">
        <v>3782</v>
      </c>
      <c r="E1720" s="5" t="s">
        <v>4363</v>
      </c>
      <c r="F1720" s="5" t="s">
        <v>3584</v>
      </c>
      <c r="G1720" s="5" t="s">
        <v>3826</v>
      </c>
      <c r="H1720" s="5" t="s">
        <v>3838</v>
      </c>
      <c r="I1720" s="5" t="s">
        <v>3448</v>
      </c>
      <c r="J1720" s="5" t="s">
        <v>3783</v>
      </c>
      <c r="K1720" s="5" t="s">
        <v>4363</v>
      </c>
      <c r="L1720" s="5">
        <v>59</v>
      </c>
      <c r="M1720" s="5">
        <v>1</v>
      </c>
      <c r="N1720" s="5" t="s">
        <v>3585</v>
      </c>
      <c r="O1720" s="5" t="s">
        <v>3827</v>
      </c>
      <c r="P1720" s="5">
        <v>8</v>
      </c>
      <c r="Q1720" s="5">
        <v>1</v>
      </c>
      <c r="R1720" s="5" t="s">
        <v>3839</v>
      </c>
      <c r="S1720" s="5">
        <v>49</v>
      </c>
      <c r="T1720" s="5">
        <v>49</v>
      </c>
      <c r="U1720" s="5">
        <v>49</v>
      </c>
    </row>
    <row r="1721" spans="1:21" x14ac:dyDescent="0.25">
      <c r="A1721" s="5" t="s">
        <v>6157</v>
      </c>
      <c r="B1721" s="5" t="s">
        <v>6158</v>
      </c>
      <c r="C1721" s="5" t="s">
        <v>3548</v>
      </c>
      <c r="D1721" s="5" t="s">
        <v>5817</v>
      </c>
      <c r="E1721" s="5" t="s">
        <v>4363</v>
      </c>
      <c r="F1721" s="5" t="s">
        <v>3584</v>
      </c>
      <c r="G1721" s="5" t="s">
        <v>4255</v>
      </c>
      <c r="H1721" s="5"/>
      <c r="I1721" s="5" t="s">
        <v>3448</v>
      </c>
      <c r="J1721" s="5" t="s">
        <v>5818</v>
      </c>
      <c r="K1721" s="5" t="s">
        <v>4363</v>
      </c>
      <c r="L1721" s="5">
        <v>30</v>
      </c>
      <c r="M1721" s="5">
        <v>4</v>
      </c>
      <c r="N1721" s="5" t="s">
        <v>3585</v>
      </c>
      <c r="O1721" s="5" t="s">
        <v>4256</v>
      </c>
      <c r="P1721" s="5">
        <v>2</v>
      </c>
      <c r="Q1721" s="5">
        <v>1</v>
      </c>
      <c r="R1721" s="5"/>
      <c r="S1721" s="5">
        <v>123</v>
      </c>
      <c r="T1721" s="5">
        <v>123</v>
      </c>
      <c r="U1721" s="5">
        <v>123</v>
      </c>
    </row>
    <row r="1722" spans="1:21" x14ac:dyDescent="0.25">
      <c r="A1722" s="5" t="s">
        <v>5613</v>
      </c>
      <c r="B1722" s="5" t="s">
        <v>5614</v>
      </c>
      <c r="C1722" s="5" t="s">
        <v>3548</v>
      </c>
      <c r="D1722" s="5" t="s">
        <v>3782</v>
      </c>
      <c r="E1722" s="5" t="s">
        <v>4363</v>
      </c>
      <c r="F1722" s="5" t="s">
        <v>3584</v>
      </c>
      <c r="G1722" s="5" t="s">
        <v>3493</v>
      </c>
      <c r="H1722" s="5" t="s">
        <v>3838</v>
      </c>
      <c r="I1722" s="5" t="s">
        <v>3448</v>
      </c>
      <c r="J1722" s="5" t="s">
        <v>3783</v>
      </c>
      <c r="K1722" s="5" t="s">
        <v>4363</v>
      </c>
      <c r="L1722" s="5">
        <v>86</v>
      </c>
      <c r="M1722" s="5">
        <v>1</v>
      </c>
      <c r="N1722" s="5" t="s">
        <v>3585</v>
      </c>
      <c r="O1722" s="5" t="s">
        <v>3494</v>
      </c>
      <c r="P1722" s="5">
        <v>8</v>
      </c>
      <c r="Q1722" s="5">
        <v>1</v>
      </c>
      <c r="R1722" s="5" t="s">
        <v>3839</v>
      </c>
      <c r="S1722" s="5">
        <v>80</v>
      </c>
      <c r="T1722" s="5">
        <v>80</v>
      </c>
      <c r="U1722" s="5">
        <v>80</v>
      </c>
    </row>
    <row r="1723" spans="1:21" x14ac:dyDescent="0.25">
      <c r="A1723" s="5" t="s">
        <v>5622</v>
      </c>
      <c r="B1723" s="5" t="s">
        <v>5623</v>
      </c>
      <c r="C1723" s="5" t="s">
        <v>3548</v>
      </c>
      <c r="D1723" s="5" t="s">
        <v>3782</v>
      </c>
      <c r="E1723" s="5" t="s">
        <v>5617</v>
      </c>
      <c r="F1723" s="5" t="s">
        <v>5618</v>
      </c>
      <c r="G1723" s="5" t="s">
        <v>3501</v>
      </c>
      <c r="H1723" s="5" t="s">
        <v>3838</v>
      </c>
      <c r="I1723" s="5" t="s">
        <v>3448</v>
      </c>
      <c r="J1723" s="5" t="s">
        <v>3783</v>
      </c>
      <c r="K1723" s="5" t="s">
        <v>5619</v>
      </c>
      <c r="L1723" s="5">
        <v>25</v>
      </c>
      <c r="M1723" s="5">
        <v>2</v>
      </c>
      <c r="N1723" s="5" t="s">
        <v>5620</v>
      </c>
      <c r="O1723" s="5" t="s">
        <v>5621</v>
      </c>
      <c r="P1723" s="5">
        <v>4</v>
      </c>
      <c r="Q1723" s="5">
        <v>1</v>
      </c>
      <c r="R1723" s="5" t="s">
        <v>3839</v>
      </c>
      <c r="S1723" s="5">
        <v>56</v>
      </c>
      <c r="T1723" s="5">
        <v>56</v>
      </c>
      <c r="U1723" s="5">
        <v>56</v>
      </c>
    </row>
    <row r="1724" spans="1:21" x14ac:dyDescent="0.25">
      <c r="A1724" s="5" t="s">
        <v>5627</v>
      </c>
      <c r="B1724" s="5" t="s">
        <v>5628</v>
      </c>
      <c r="C1724" s="5" t="s">
        <v>3548</v>
      </c>
      <c r="D1724" s="5" t="s">
        <v>3782</v>
      </c>
      <c r="E1724" s="5" t="s">
        <v>5617</v>
      </c>
      <c r="F1724" s="5" t="s">
        <v>5618</v>
      </c>
      <c r="G1724" s="5" t="s">
        <v>3782</v>
      </c>
      <c r="H1724" s="5" t="s">
        <v>3838</v>
      </c>
      <c r="I1724" s="5" t="s">
        <v>3448</v>
      </c>
      <c r="J1724" s="5" t="s">
        <v>3783</v>
      </c>
      <c r="K1724" s="5" t="s">
        <v>5619</v>
      </c>
      <c r="L1724" s="5">
        <v>25</v>
      </c>
      <c r="M1724" s="5">
        <v>2</v>
      </c>
      <c r="N1724" s="5" t="s">
        <v>5620</v>
      </c>
      <c r="O1724" s="5" t="s">
        <v>5626</v>
      </c>
      <c r="P1724" s="5">
        <v>4</v>
      </c>
      <c r="Q1724" s="5">
        <v>1</v>
      </c>
      <c r="R1724" s="5" t="s">
        <v>3839</v>
      </c>
      <c r="S1724" s="5">
        <v>38</v>
      </c>
      <c r="T1724" s="5">
        <v>38</v>
      </c>
      <c r="U1724" s="5">
        <v>38</v>
      </c>
    </row>
    <row r="1725" spans="1:21" x14ac:dyDescent="0.25">
      <c r="A1725" s="5" t="s">
        <v>5632</v>
      </c>
      <c r="B1725" s="5" t="s">
        <v>5633</v>
      </c>
      <c r="C1725" s="5" t="s">
        <v>3548</v>
      </c>
      <c r="D1725" s="5" t="s">
        <v>3782</v>
      </c>
      <c r="E1725" s="5" t="s">
        <v>5617</v>
      </c>
      <c r="F1725" s="5" t="s">
        <v>5618</v>
      </c>
      <c r="G1725" s="5" t="s">
        <v>3493</v>
      </c>
      <c r="H1725" s="5" t="s">
        <v>3838</v>
      </c>
      <c r="I1725" s="5" t="s">
        <v>3448</v>
      </c>
      <c r="J1725" s="5" t="s">
        <v>3783</v>
      </c>
      <c r="K1725" s="5" t="s">
        <v>5619</v>
      </c>
      <c r="L1725" s="5">
        <v>25</v>
      </c>
      <c r="M1725" s="5">
        <v>2</v>
      </c>
      <c r="N1725" s="5" t="s">
        <v>5620</v>
      </c>
      <c r="O1725" s="5" t="s">
        <v>5631</v>
      </c>
      <c r="P1725" s="5">
        <v>4</v>
      </c>
      <c r="Q1725" s="5">
        <v>1</v>
      </c>
      <c r="R1725" s="5" t="s">
        <v>3839</v>
      </c>
      <c r="S1725" s="5">
        <v>44</v>
      </c>
      <c r="T1725" s="5">
        <v>44</v>
      </c>
      <c r="U1725" s="5">
        <v>44</v>
      </c>
    </row>
    <row r="1726" spans="1:21" x14ac:dyDescent="0.25">
      <c r="A1726" s="5" t="s">
        <v>5654</v>
      </c>
      <c r="B1726" s="5" t="s">
        <v>5655</v>
      </c>
      <c r="C1726" s="5" t="s">
        <v>3548</v>
      </c>
      <c r="D1726" s="5" t="s">
        <v>3782</v>
      </c>
      <c r="E1726" s="5" t="s">
        <v>5617</v>
      </c>
      <c r="F1726" s="5" t="s">
        <v>5618</v>
      </c>
      <c r="G1726" s="5" t="s">
        <v>3501</v>
      </c>
      <c r="H1726" s="5" t="s">
        <v>3838</v>
      </c>
      <c r="I1726" s="5" t="s">
        <v>3448</v>
      </c>
      <c r="J1726" s="5" t="s">
        <v>3783</v>
      </c>
      <c r="K1726" s="5" t="s">
        <v>5619</v>
      </c>
      <c r="L1726" s="5">
        <v>28</v>
      </c>
      <c r="M1726" s="5">
        <v>2</v>
      </c>
      <c r="N1726" s="5" t="s">
        <v>5620</v>
      </c>
      <c r="O1726" s="5" t="s">
        <v>5621</v>
      </c>
      <c r="P1726" s="5">
        <v>4</v>
      </c>
      <c r="Q1726" s="5">
        <v>1</v>
      </c>
      <c r="R1726" s="5" t="s">
        <v>3839</v>
      </c>
      <c r="S1726" s="5">
        <v>62</v>
      </c>
      <c r="T1726" s="5">
        <v>62</v>
      </c>
      <c r="U1726" s="5">
        <v>62</v>
      </c>
    </row>
    <row r="1727" spans="1:21" x14ac:dyDescent="0.25">
      <c r="A1727" s="5" t="s">
        <v>5658</v>
      </c>
      <c r="B1727" s="5" t="s">
        <v>5659</v>
      </c>
      <c r="C1727" s="5" t="s">
        <v>3548</v>
      </c>
      <c r="D1727" s="5" t="s">
        <v>3782</v>
      </c>
      <c r="E1727" s="5" t="s">
        <v>5617</v>
      </c>
      <c r="F1727" s="5" t="s">
        <v>5618</v>
      </c>
      <c r="G1727" s="5" t="s">
        <v>3782</v>
      </c>
      <c r="H1727" s="5" t="s">
        <v>3838</v>
      </c>
      <c r="I1727" s="5" t="s">
        <v>3448</v>
      </c>
      <c r="J1727" s="5" t="s">
        <v>3783</v>
      </c>
      <c r="K1727" s="5" t="s">
        <v>5619</v>
      </c>
      <c r="L1727" s="5">
        <v>28</v>
      </c>
      <c r="M1727" s="5">
        <v>2</v>
      </c>
      <c r="N1727" s="5" t="s">
        <v>5620</v>
      </c>
      <c r="O1727" s="5" t="s">
        <v>5626</v>
      </c>
      <c r="P1727" s="5">
        <v>4</v>
      </c>
      <c r="Q1727" s="5">
        <v>1</v>
      </c>
      <c r="R1727" s="5" t="s">
        <v>3839</v>
      </c>
      <c r="S1727" s="5">
        <v>42</v>
      </c>
      <c r="T1727" s="5">
        <v>42</v>
      </c>
      <c r="U1727" s="5">
        <v>42</v>
      </c>
    </row>
    <row r="1728" spans="1:21" x14ac:dyDescent="0.25">
      <c r="A1728" s="5" t="s">
        <v>5662</v>
      </c>
      <c r="B1728" s="5" t="s">
        <v>5663</v>
      </c>
      <c r="C1728" s="5" t="s">
        <v>3548</v>
      </c>
      <c r="D1728" s="5" t="s">
        <v>3782</v>
      </c>
      <c r="E1728" s="5" t="s">
        <v>5617</v>
      </c>
      <c r="F1728" s="5" t="s">
        <v>5618</v>
      </c>
      <c r="G1728" s="5" t="s">
        <v>3493</v>
      </c>
      <c r="H1728" s="5" t="s">
        <v>3838</v>
      </c>
      <c r="I1728" s="5" t="s">
        <v>3448</v>
      </c>
      <c r="J1728" s="5" t="s">
        <v>3783</v>
      </c>
      <c r="K1728" s="5" t="s">
        <v>5619</v>
      </c>
      <c r="L1728" s="5">
        <v>28</v>
      </c>
      <c r="M1728" s="5">
        <v>2</v>
      </c>
      <c r="N1728" s="5" t="s">
        <v>5620</v>
      </c>
      <c r="O1728" s="5" t="s">
        <v>5631</v>
      </c>
      <c r="P1728" s="5">
        <v>4</v>
      </c>
      <c r="Q1728" s="5">
        <v>1</v>
      </c>
      <c r="R1728" s="5" t="s">
        <v>3839</v>
      </c>
      <c r="S1728" s="5">
        <v>47</v>
      </c>
      <c r="T1728" s="5">
        <v>47</v>
      </c>
      <c r="U1728" s="5">
        <v>47</v>
      </c>
    </row>
    <row r="1729" spans="1:21" x14ac:dyDescent="0.25">
      <c r="A1729" s="5" t="s">
        <v>5687</v>
      </c>
      <c r="B1729" s="5" t="s">
        <v>5688</v>
      </c>
      <c r="C1729" s="5" t="s">
        <v>3548</v>
      </c>
      <c r="D1729" s="5" t="s">
        <v>3782</v>
      </c>
      <c r="E1729" s="5" t="s">
        <v>5617</v>
      </c>
      <c r="F1729" s="5" t="s">
        <v>5618</v>
      </c>
      <c r="G1729" s="5" t="s">
        <v>5666</v>
      </c>
      <c r="H1729" s="5" t="s">
        <v>3838</v>
      </c>
      <c r="I1729" s="5" t="s">
        <v>3448</v>
      </c>
      <c r="J1729" s="5" t="s">
        <v>3783</v>
      </c>
      <c r="K1729" s="5" t="s">
        <v>5619</v>
      </c>
      <c r="L1729" s="5">
        <v>32</v>
      </c>
      <c r="M1729" s="5">
        <v>2</v>
      </c>
      <c r="N1729" s="5" t="s">
        <v>5620</v>
      </c>
      <c r="O1729" s="5" t="s">
        <v>5621</v>
      </c>
      <c r="P1729" s="5">
        <v>4</v>
      </c>
      <c r="Q1729" s="5">
        <v>1</v>
      </c>
      <c r="R1729" s="5" t="s">
        <v>3839</v>
      </c>
      <c r="S1729" s="5">
        <v>71</v>
      </c>
      <c r="T1729" s="5">
        <v>71</v>
      </c>
      <c r="U1729" s="5">
        <v>71</v>
      </c>
    </row>
    <row r="1730" spans="1:21" x14ac:dyDescent="0.25">
      <c r="A1730" s="5" t="s">
        <v>5691</v>
      </c>
      <c r="B1730" s="5" t="s">
        <v>5692</v>
      </c>
      <c r="C1730" s="5" t="s">
        <v>3548</v>
      </c>
      <c r="D1730" s="5" t="s">
        <v>3782</v>
      </c>
      <c r="E1730" s="5" t="s">
        <v>5617</v>
      </c>
      <c r="F1730" s="5" t="s">
        <v>5618</v>
      </c>
      <c r="G1730" s="5" t="s">
        <v>5669</v>
      </c>
      <c r="H1730" s="5" t="s">
        <v>3838</v>
      </c>
      <c r="I1730" s="5" t="s">
        <v>3448</v>
      </c>
      <c r="J1730" s="5" t="s">
        <v>3783</v>
      </c>
      <c r="K1730" s="5" t="s">
        <v>5619</v>
      </c>
      <c r="L1730" s="5">
        <v>32</v>
      </c>
      <c r="M1730" s="5">
        <v>2</v>
      </c>
      <c r="N1730" s="5" t="s">
        <v>5620</v>
      </c>
      <c r="O1730" s="5" t="s">
        <v>5626</v>
      </c>
      <c r="P1730" s="5">
        <v>4</v>
      </c>
      <c r="Q1730" s="5">
        <v>1</v>
      </c>
      <c r="R1730" s="5" t="s">
        <v>3839</v>
      </c>
      <c r="S1730" s="5">
        <v>48</v>
      </c>
      <c r="T1730" s="5">
        <v>48</v>
      </c>
      <c r="U1730" s="5">
        <v>48</v>
      </c>
    </row>
    <row r="1731" spans="1:21" x14ac:dyDescent="0.25">
      <c r="A1731" s="5" t="s">
        <v>5695</v>
      </c>
      <c r="B1731" s="5" t="s">
        <v>5696</v>
      </c>
      <c r="C1731" s="5" t="s">
        <v>3548</v>
      </c>
      <c r="D1731" s="5" t="s">
        <v>3782</v>
      </c>
      <c r="E1731" s="5" t="s">
        <v>5617</v>
      </c>
      <c r="F1731" s="5" t="s">
        <v>5618</v>
      </c>
      <c r="G1731" s="5" t="s">
        <v>5672</v>
      </c>
      <c r="H1731" s="5" t="s">
        <v>3838</v>
      </c>
      <c r="I1731" s="5" t="s">
        <v>3448</v>
      </c>
      <c r="J1731" s="5" t="s">
        <v>3783</v>
      </c>
      <c r="K1731" s="5" t="s">
        <v>5619</v>
      </c>
      <c r="L1731" s="5">
        <v>32</v>
      </c>
      <c r="M1731" s="5">
        <v>2</v>
      </c>
      <c r="N1731" s="5" t="s">
        <v>5620</v>
      </c>
      <c r="O1731" s="5" t="s">
        <v>5631</v>
      </c>
      <c r="P1731" s="5">
        <v>4</v>
      </c>
      <c r="Q1731" s="5">
        <v>1</v>
      </c>
      <c r="R1731" s="5" t="s">
        <v>3839</v>
      </c>
      <c r="S1731" s="5">
        <v>54</v>
      </c>
      <c r="T1731" s="5">
        <v>54</v>
      </c>
      <c r="U1731" s="5">
        <v>54</v>
      </c>
    </row>
    <row r="1732" spans="1:21" x14ac:dyDescent="0.25">
      <c r="A1732" s="5" t="s">
        <v>5699</v>
      </c>
      <c r="B1732" s="5" t="s">
        <v>5700</v>
      </c>
      <c r="C1732" s="5" t="s">
        <v>3548</v>
      </c>
      <c r="D1732" s="5" t="s">
        <v>3782</v>
      </c>
      <c r="E1732" s="5" t="s">
        <v>5617</v>
      </c>
      <c r="F1732" s="5" t="s">
        <v>4835</v>
      </c>
      <c r="G1732" s="5" t="s">
        <v>5672</v>
      </c>
      <c r="H1732" s="5" t="s">
        <v>3838</v>
      </c>
      <c r="I1732" s="5" t="s">
        <v>3448</v>
      </c>
      <c r="J1732" s="5" t="s">
        <v>3783</v>
      </c>
      <c r="K1732" s="5" t="s">
        <v>5619</v>
      </c>
      <c r="L1732" s="5">
        <v>32</v>
      </c>
      <c r="M1732" s="5">
        <v>2</v>
      </c>
      <c r="N1732" s="5" t="s">
        <v>4836</v>
      </c>
      <c r="O1732" s="5" t="s">
        <v>5631</v>
      </c>
      <c r="P1732" s="5">
        <v>4</v>
      </c>
      <c r="Q1732" s="5">
        <v>1</v>
      </c>
      <c r="R1732" s="5" t="s">
        <v>3839</v>
      </c>
      <c r="S1732" s="5">
        <v>57</v>
      </c>
      <c r="T1732" s="5">
        <v>57</v>
      </c>
      <c r="U1732" s="5">
        <v>57</v>
      </c>
    </row>
    <row r="1733" spans="1:21" x14ac:dyDescent="0.25">
      <c r="A1733" s="5" t="s">
        <v>5711</v>
      </c>
      <c r="B1733" s="5" t="s">
        <v>5712</v>
      </c>
      <c r="C1733" s="5" t="s">
        <v>3548</v>
      </c>
      <c r="D1733" s="5" t="s">
        <v>3782</v>
      </c>
      <c r="E1733" s="5" t="s">
        <v>5617</v>
      </c>
      <c r="F1733" s="5" t="s">
        <v>5709</v>
      </c>
      <c r="G1733" s="5" t="s">
        <v>5666</v>
      </c>
      <c r="H1733" s="5" t="s">
        <v>3838</v>
      </c>
      <c r="I1733" s="5" t="s">
        <v>3448</v>
      </c>
      <c r="J1733" s="5" t="s">
        <v>3783</v>
      </c>
      <c r="K1733" s="5" t="s">
        <v>5619</v>
      </c>
      <c r="L1733" s="5">
        <v>32</v>
      </c>
      <c r="M1733" s="5">
        <v>2</v>
      </c>
      <c r="N1733" s="5" t="s">
        <v>5710</v>
      </c>
      <c r="O1733" s="5" t="s">
        <v>5621</v>
      </c>
      <c r="P1733" s="5">
        <v>4</v>
      </c>
      <c r="Q1733" s="5">
        <v>1</v>
      </c>
      <c r="R1733" s="5" t="s">
        <v>3839</v>
      </c>
      <c r="S1733" s="5">
        <v>72</v>
      </c>
      <c r="T1733" s="5">
        <v>72</v>
      </c>
      <c r="U1733" s="5">
        <v>72</v>
      </c>
    </row>
    <row r="1734" spans="1:21" x14ac:dyDescent="0.25">
      <c r="A1734" s="5" t="s">
        <v>5715</v>
      </c>
      <c r="B1734" s="5" t="s">
        <v>5716</v>
      </c>
      <c r="C1734" s="5" t="s">
        <v>3548</v>
      </c>
      <c r="D1734" s="5" t="s">
        <v>3782</v>
      </c>
      <c r="E1734" s="5" t="s">
        <v>5617</v>
      </c>
      <c r="F1734" s="5" t="s">
        <v>5709</v>
      </c>
      <c r="G1734" s="5" t="s">
        <v>5669</v>
      </c>
      <c r="H1734" s="5" t="s">
        <v>3838</v>
      </c>
      <c r="I1734" s="5" t="s">
        <v>3448</v>
      </c>
      <c r="J1734" s="5" t="s">
        <v>3783</v>
      </c>
      <c r="K1734" s="5" t="s">
        <v>5619</v>
      </c>
      <c r="L1734" s="5">
        <v>32</v>
      </c>
      <c r="M1734" s="5">
        <v>2</v>
      </c>
      <c r="N1734" s="5" t="s">
        <v>5710</v>
      </c>
      <c r="O1734" s="5" t="s">
        <v>5626</v>
      </c>
      <c r="P1734" s="5">
        <v>4</v>
      </c>
      <c r="Q1734" s="5">
        <v>1</v>
      </c>
      <c r="R1734" s="5" t="s">
        <v>3839</v>
      </c>
      <c r="S1734" s="5">
        <v>47</v>
      </c>
      <c r="T1734" s="5">
        <v>47</v>
      </c>
      <c r="U1734" s="5">
        <v>47</v>
      </c>
    </row>
    <row r="1735" spans="1:21" x14ac:dyDescent="0.25">
      <c r="A1735" s="5" t="s">
        <v>5719</v>
      </c>
      <c r="B1735" s="5" t="s">
        <v>5720</v>
      </c>
      <c r="C1735" s="5" t="s">
        <v>3548</v>
      </c>
      <c r="D1735" s="5" t="s">
        <v>3782</v>
      </c>
      <c r="E1735" s="5" t="s">
        <v>5617</v>
      </c>
      <c r="F1735" s="5" t="s">
        <v>5709</v>
      </c>
      <c r="G1735" s="5" t="s">
        <v>5672</v>
      </c>
      <c r="H1735" s="5" t="s">
        <v>3838</v>
      </c>
      <c r="I1735" s="5" t="s">
        <v>3448</v>
      </c>
      <c r="J1735" s="5" t="s">
        <v>3783</v>
      </c>
      <c r="K1735" s="5" t="s">
        <v>5619</v>
      </c>
      <c r="L1735" s="5">
        <v>32</v>
      </c>
      <c r="M1735" s="5">
        <v>2</v>
      </c>
      <c r="N1735" s="5" t="s">
        <v>5710</v>
      </c>
      <c r="O1735" s="5" t="s">
        <v>5631</v>
      </c>
      <c r="P1735" s="5">
        <v>4</v>
      </c>
      <c r="Q1735" s="5">
        <v>1</v>
      </c>
      <c r="R1735" s="5" t="s">
        <v>3839</v>
      </c>
      <c r="S1735" s="5">
        <v>56</v>
      </c>
      <c r="T1735" s="5">
        <v>56</v>
      </c>
      <c r="U1735" s="5">
        <v>56</v>
      </c>
    </row>
    <row r="1736" spans="1:21" x14ac:dyDescent="0.25">
      <c r="A1736" s="5" t="s">
        <v>5747</v>
      </c>
      <c r="B1736" s="5" t="s">
        <v>5748</v>
      </c>
      <c r="C1736" s="5" t="s">
        <v>3548</v>
      </c>
      <c r="D1736" s="5" t="s">
        <v>3782</v>
      </c>
      <c r="E1736" s="5" t="s">
        <v>5617</v>
      </c>
      <c r="F1736" s="5" t="s">
        <v>4835</v>
      </c>
      <c r="G1736" s="5" t="s">
        <v>5666</v>
      </c>
      <c r="H1736" s="5" t="s">
        <v>3838</v>
      </c>
      <c r="I1736" s="5" t="s">
        <v>3448</v>
      </c>
      <c r="J1736" s="5" t="s">
        <v>3783</v>
      </c>
      <c r="K1736" s="5" t="s">
        <v>5619</v>
      </c>
      <c r="L1736" s="5">
        <v>32</v>
      </c>
      <c r="M1736" s="5">
        <v>1</v>
      </c>
      <c r="N1736" s="5" t="s">
        <v>4836</v>
      </c>
      <c r="O1736" s="5" t="s">
        <v>5621</v>
      </c>
      <c r="P1736" s="5">
        <v>4</v>
      </c>
      <c r="Q1736" s="5">
        <v>1</v>
      </c>
      <c r="R1736" s="5" t="s">
        <v>3839</v>
      </c>
      <c r="S1736" s="5">
        <v>37</v>
      </c>
      <c r="T1736" s="5">
        <v>37</v>
      </c>
      <c r="U1736" s="5">
        <v>37</v>
      </c>
    </row>
    <row r="1737" spans="1:21" x14ac:dyDescent="0.25">
      <c r="A1737" s="5" t="s">
        <v>5749</v>
      </c>
      <c r="B1737" s="5" t="s">
        <v>5750</v>
      </c>
      <c r="C1737" s="5" t="s">
        <v>3548</v>
      </c>
      <c r="D1737" s="5" t="s">
        <v>3782</v>
      </c>
      <c r="E1737" s="5" t="s">
        <v>5617</v>
      </c>
      <c r="F1737" s="5" t="s">
        <v>4835</v>
      </c>
      <c r="G1737" s="5" t="s">
        <v>5666</v>
      </c>
      <c r="H1737" s="5" t="s">
        <v>3848</v>
      </c>
      <c r="I1737" s="5" t="s">
        <v>3448</v>
      </c>
      <c r="J1737" s="5" t="s">
        <v>3783</v>
      </c>
      <c r="K1737" s="5" t="s">
        <v>5619</v>
      </c>
      <c r="L1737" s="5">
        <v>32</v>
      </c>
      <c r="M1737" s="5">
        <v>1</v>
      </c>
      <c r="N1737" s="5" t="s">
        <v>4836</v>
      </c>
      <c r="O1737" s="5" t="s">
        <v>5621</v>
      </c>
      <c r="P1737" s="5">
        <v>4</v>
      </c>
      <c r="Q1737" s="5">
        <v>1</v>
      </c>
      <c r="R1737" s="5" t="s">
        <v>3849</v>
      </c>
      <c r="S1737" s="5">
        <v>36</v>
      </c>
      <c r="T1737" s="5">
        <v>36</v>
      </c>
      <c r="U1737" s="5">
        <v>36</v>
      </c>
    </row>
    <row r="1738" spans="1:21" x14ac:dyDescent="0.25">
      <c r="A1738" s="5" t="s">
        <v>5751</v>
      </c>
      <c r="B1738" s="5" t="s">
        <v>5752</v>
      </c>
      <c r="C1738" s="5" t="s">
        <v>3548</v>
      </c>
      <c r="D1738" s="5" t="s">
        <v>3782</v>
      </c>
      <c r="E1738" s="5" t="s">
        <v>5617</v>
      </c>
      <c r="F1738" s="5" t="s">
        <v>4835</v>
      </c>
      <c r="G1738" s="5" t="s">
        <v>5666</v>
      </c>
      <c r="H1738" s="5" t="s">
        <v>3816</v>
      </c>
      <c r="I1738" s="5" t="s">
        <v>3448</v>
      </c>
      <c r="J1738" s="5" t="s">
        <v>3783</v>
      </c>
      <c r="K1738" s="5" t="s">
        <v>5619</v>
      </c>
      <c r="L1738" s="5">
        <v>32</v>
      </c>
      <c r="M1738" s="5">
        <v>1</v>
      </c>
      <c r="N1738" s="5" t="s">
        <v>4836</v>
      </c>
      <c r="O1738" s="5" t="s">
        <v>5621</v>
      </c>
      <c r="P1738" s="5">
        <v>4</v>
      </c>
      <c r="Q1738" s="5">
        <v>1</v>
      </c>
      <c r="R1738" s="5" t="s">
        <v>3817</v>
      </c>
      <c r="S1738" s="5">
        <v>36</v>
      </c>
      <c r="T1738" s="5">
        <v>36</v>
      </c>
      <c r="U1738" s="5">
        <v>36</v>
      </c>
    </row>
    <row r="1739" spans="1:21" x14ac:dyDescent="0.25">
      <c r="A1739" s="5" t="s">
        <v>5753</v>
      </c>
      <c r="B1739" s="5" t="s">
        <v>5754</v>
      </c>
      <c r="C1739" s="5" t="s">
        <v>3548</v>
      </c>
      <c r="D1739" s="5" t="s">
        <v>3782</v>
      </c>
      <c r="E1739" s="5" t="s">
        <v>5617</v>
      </c>
      <c r="F1739" s="5" t="s">
        <v>4835</v>
      </c>
      <c r="G1739" s="5" t="s">
        <v>5669</v>
      </c>
      <c r="H1739" s="5" t="s">
        <v>3838</v>
      </c>
      <c r="I1739" s="5" t="s">
        <v>3448</v>
      </c>
      <c r="J1739" s="5" t="s">
        <v>3783</v>
      </c>
      <c r="K1739" s="5" t="s">
        <v>5619</v>
      </c>
      <c r="L1739" s="5">
        <v>32</v>
      </c>
      <c r="M1739" s="5">
        <v>1</v>
      </c>
      <c r="N1739" s="5" t="s">
        <v>4836</v>
      </c>
      <c r="O1739" s="5" t="s">
        <v>5626</v>
      </c>
      <c r="P1739" s="5">
        <v>4</v>
      </c>
      <c r="Q1739" s="5">
        <v>1</v>
      </c>
      <c r="R1739" s="5" t="s">
        <v>3839</v>
      </c>
      <c r="S1739" s="5">
        <v>24</v>
      </c>
      <c r="T1739" s="5">
        <v>24</v>
      </c>
      <c r="U1739" s="5">
        <v>24</v>
      </c>
    </row>
    <row r="1740" spans="1:21" x14ac:dyDescent="0.25">
      <c r="A1740" s="5" t="s">
        <v>5755</v>
      </c>
      <c r="B1740" s="5" t="s">
        <v>5756</v>
      </c>
      <c r="C1740" s="5" t="s">
        <v>3548</v>
      </c>
      <c r="D1740" s="5" t="s">
        <v>3782</v>
      </c>
      <c r="E1740" s="5" t="s">
        <v>5617</v>
      </c>
      <c r="F1740" s="5" t="s">
        <v>4835</v>
      </c>
      <c r="G1740" s="5" t="s">
        <v>5669</v>
      </c>
      <c r="H1740" s="5" t="s">
        <v>3848</v>
      </c>
      <c r="I1740" s="5" t="s">
        <v>3448</v>
      </c>
      <c r="J1740" s="5" t="s">
        <v>3783</v>
      </c>
      <c r="K1740" s="5" t="s">
        <v>5619</v>
      </c>
      <c r="L1740" s="5">
        <v>32</v>
      </c>
      <c r="M1740" s="5">
        <v>1</v>
      </c>
      <c r="N1740" s="5" t="s">
        <v>4836</v>
      </c>
      <c r="O1740" s="5" t="s">
        <v>5626</v>
      </c>
      <c r="P1740" s="5">
        <v>4</v>
      </c>
      <c r="Q1740" s="5">
        <v>1</v>
      </c>
      <c r="R1740" s="5" t="s">
        <v>3849</v>
      </c>
      <c r="S1740" s="5">
        <v>25</v>
      </c>
      <c r="T1740" s="5">
        <v>25</v>
      </c>
      <c r="U1740" s="5">
        <v>25</v>
      </c>
    </row>
    <row r="1741" spans="1:21" x14ac:dyDescent="0.25">
      <c r="A1741" s="5" t="s">
        <v>5757</v>
      </c>
      <c r="B1741" s="5" t="s">
        <v>5758</v>
      </c>
      <c r="C1741" s="5" t="s">
        <v>3548</v>
      </c>
      <c r="D1741" s="5" t="s">
        <v>3782</v>
      </c>
      <c r="E1741" s="5" t="s">
        <v>5617</v>
      </c>
      <c r="F1741" s="5" t="s">
        <v>4835</v>
      </c>
      <c r="G1741" s="5" t="s">
        <v>5669</v>
      </c>
      <c r="H1741" s="5" t="s">
        <v>3816</v>
      </c>
      <c r="I1741" s="5" t="s">
        <v>3448</v>
      </c>
      <c r="J1741" s="5" t="s">
        <v>3783</v>
      </c>
      <c r="K1741" s="5" t="s">
        <v>5619</v>
      </c>
      <c r="L1741" s="5">
        <v>32</v>
      </c>
      <c r="M1741" s="5">
        <v>1</v>
      </c>
      <c r="N1741" s="5" t="s">
        <v>4836</v>
      </c>
      <c r="O1741" s="5" t="s">
        <v>5626</v>
      </c>
      <c r="P1741" s="5">
        <v>4</v>
      </c>
      <c r="Q1741" s="5">
        <v>1</v>
      </c>
      <c r="R1741" s="5" t="s">
        <v>3817</v>
      </c>
      <c r="S1741" s="5">
        <v>24</v>
      </c>
      <c r="T1741" s="5">
        <v>24</v>
      </c>
      <c r="U1741" s="5">
        <v>24</v>
      </c>
    </row>
    <row r="1742" spans="1:21" x14ac:dyDescent="0.25">
      <c r="A1742" s="5" t="s">
        <v>5759</v>
      </c>
      <c r="B1742" s="5" t="s">
        <v>5760</v>
      </c>
      <c r="C1742" s="5" t="s">
        <v>3548</v>
      </c>
      <c r="D1742" s="5" t="s">
        <v>3782</v>
      </c>
      <c r="E1742" s="5" t="s">
        <v>5617</v>
      </c>
      <c r="F1742" s="5" t="s">
        <v>4835</v>
      </c>
      <c r="G1742" s="5" t="s">
        <v>5672</v>
      </c>
      <c r="H1742" s="5" t="s">
        <v>3838</v>
      </c>
      <c r="I1742" s="5" t="s">
        <v>3448</v>
      </c>
      <c r="J1742" s="5" t="s">
        <v>3783</v>
      </c>
      <c r="K1742" s="5" t="s">
        <v>5619</v>
      </c>
      <c r="L1742" s="5">
        <v>32</v>
      </c>
      <c r="M1742" s="5">
        <v>1</v>
      </c>
      <c r="N1742" s="5" t="s">
        <v>4836</v>
      </c>
      <c r="O1742" s="5" t="s">
        <v>5631</v>
      </c>
      <c r="P1742" s="5">
        <v>4</v>
      </c>
      <c r="Q1742" s="5">
        <v>1</v>
      </c>
      <c r="R1742" s="5" t="s">
        <v>3839</v>
      </c>
      <c r="S1742" s="5">
        <v>28</v>
      </c>
      <c r="T1742" s="5">
        <v>28</v>
      </c>
      <c r="U1742" s="5">
        <v>28</v>
      </c>
    </row>
    <row r="1743" spans="1:21" x14ac:dyDescent="0.25">
      <c r="A1743" s="5" t="s">
        <v>5761</v>
      </c>
      <c r="B1743" s="5" t="s">
        <v>5762</v>
      </c>
      <c r="C1743" s="5" t="s">
        <v>3548</v>
      </c>
      <c r="D1743" s="5" t="s">
        <v>3782</v>
      </c>
      <c r="E1743" s="5" t="s">
        <v>5617</v>
      </c>
      <c r="F1743" s="5" t="s">
        <v>4835</v>
      </c>
      <c r="G1743" s="5" t="s">
        <v>5672</v>
      </c>
      <c r="H1743" s="5" t="s">
        <v>3848</v>
      </c>
      <c r="I1743" s="5" t="s">
        <v>3448</v>
      </c>
      <c r="J1743" s="5" t="s">
        <v>3783</v>
      </c>
      <c r="K1743" s="5" t="s">
        <v>5619</v>
      </c>
      <c r="L1743" s="5">
        <v>32</v>
      </c>
      <c r="M1743" s="5">
        <v>1</v>
      </c>
      <c r="N1743" s="5" t="s">
        <v>4836</v>
      </c>
      <c r="O1743" s="5" t="s">
        <v>5631</v>
      </c>
      <c r="P1743" s="5">
        <v>4</v>
      </c>
      <c r="Q1743" s="5">
        <v>1</v>
      </c>
      <c r="R1743" s="5" t="s">
        <v>3849</v>
      </c>
      <c r="S1743" s="5">
        <v>28</v>
      </c>
      <c r="T1743" s="5">
        <v>28</v>
      </c>
      <c r="U1743" s="5">
        <v>28</v>
      </c>
    </row>
    <row r="1744" spans="1:21" x14ac:dyDescent="0.25">
      <c r="A1744" s="5" t="s">
        <v>5763</v>
      </c>
      <c r="B1744" s="5" t="s">
        <v>5764</v>
      </c>
      <c r="C1744" s="5" t="s">
        <v>3548</v>
      </c>
      <c r="D1744" s="5" t="s">
        <v>3782</v>
      </c>
      <c r="E1744" s="5" t="s">
        <v>5617</v>
      </c>
      <c r="F1744" s="5" t="s">
        <v>4835</v>
      </c>
      <c r="G1744" s="5" t="s">
        <v>5672</v>
      </c>
      <c r="H1744" s="5" t="s">
        <v>3816</v>
      </c>
      <c r="I1744" s="5" t="s">
        <v>3448</v>
      </c>
      <c r="J1744" s="5" t="s">
        <v>3783</v>
      </c>
      <c r="K1744" s="5" t="s">
        <v>5619</v>
      </c>
      <c r="L1744" s="5">
        <v>32</v>
      </c>
      <c r="M1744" s="5">
        <v>1</v>
      </c>
      <c r="N1744" s="5" t="s">
        <v>4836</v>
      </c>
      <c r="O1744" s="5" t="s">
        <v>5631</v>
      </c>
      <c r="P1744" s="5">
        <v>4</v>
      </c>
      <c r="Q1744" s="5">
        <v>1</v>
      </c>
      <c r="R1744" s="5" t="s">
        <v>3817</v>
      </c>
      <c r="S1744" s="5">
        <v>27</v>
      </c>
      <c r="T1744" s="5">
        <v>27</v>
      </c>
      <c r="U1744" s="5">
        <v>27</v>
      </c>
    </row>
    <row r="1745" spans="1:21" x14ac:dyDescent="0.25">
      <c r="A1745" s="5" t="s">
        <v>5767</v>
      </c>
      <c r="B1745" s="5" t="s">
        <v>5768</v>
      </c>
      <c r="C1745" s="5" t="s">
        <v>3548</v>
      </c>
      <c r="D1745" s="5" t="s">
        <v>3782</v>
      </c>
      <c r="E1745" s="5" t="s">
        <v>5617</v>
      </c>
      <c r="F1745" s="5" t="s">
        <v>5173</v>
      </c>
      <c r="G1745" s="5" t="s">
        <v>5666</v>
      </c>
      <c r="H1745" s="5" t="s">
        <v>3838</v>
      </c>
      <c r="I1745" s="5" t="s">
        <v>3448</v>
      </c>
      <c r="J1745" s="5" t="s">
        <v>3783</v>
      </c>
      <c r="K1745" s="5" t="s">
        <v>5619</v>
      </c>
      <c r="L1745" s="5">
        <v>32</v>
      </c>
      <c r="M1745" s="5">
        <v>1</v>
      </c>
      <c r="N1745" s="5" t="s">
        <v>5174</v>
      </c>
      <c r="O1745" s="5" t="s">
        <v>5621</v>
      </c>
      <c r="P1745" s="5">
        <v>4</v>
      </c>
      <c r="Q1745" s="5">
        <v>1</v>
      </c>
      <c r="R1745" s="5" t="s">
        <v>3839</v>
      </c>
      <c r="S1745" s="5">
        <v>37</v>
      </c>
      <c r="T1745" s="5">
        <v>37</v>
      </c>
      <c r="U1745" s="5">
        <v>37</v>
      </c>
    </row>
    <row r="1746" spans="1:21" x14ac:dyDescent="0.25">
      <c r="A1746" s="5" t="s">
        <v>5769</v>
      </c>
      <c r="B1746" s="5" t="s">
        <v>5770</v>
      </c>
      <c r="C1746" s="5" t="s">
        <v>3548</v>
      </c>
      <c r="D1746" s="5" t="s">
        <v>3782</v>
      </c>
      <c r="E1746" s="5" t="s">
        <v>5617</v>
      </c>
      <c r="F1746" s="5" t="s">
        <v>5173</v>
      </c>
      <c r="G1746" s="5" t="s">
        <v>5666</v>
      </c>
      <c r="H1746" s="5" t="s">
        <v>3848</v>
      </c>
      <c r="I1746" s="5" t="s">
        <v>3448</v>
      </c>
      <c r="J1746" s="5" t="s">
        <v>3783</v>
      </c>
      <c r="K1746" s="5" t="s">
        <v>5619</v>
      </c>
      <c r="L1746" s="5">
        <v>32</v>
      </c>
      <c r="M1746" s="5">
        <v>1</v>
      </c>
      <c r="N1746" s="5" t="s">
        <v>5174</v>
      </c>
      <c r="O1746" s="5" t="s">
        <v>5621</v>
      </c>
      <c r="P1746" s="5">
        <v>4</v>
      </c>
      <c r="Q1746" s="5">
        <v>1</v>
      </c>
      <c r="R1746" s="5" t="s">
        <v>3849</v>
      </c>
      <c r="S1746" s="5">
        <v>37</v>
      </c>
      <c r="T1746" s="5">
        <v>37</v>
      </c>
      <c r="U1746" s="5">
        <v>37</v>
      </c>
    </row>
    <row r="1747" spans="1:21" x14ac:dyDescent="0.25">
      <c r="A1747" s="5" t="s">
        <v>5771</v>
      </c>
      <c r="B1747" s="5" t="s">
        <v>5772</v>
      </c>
      <c r="C1747" s="5" t="s">
        <v>3548</v>
      </c>
      <c r="D1747" s="5" t="s">
        <v>3782</v>
      </c>
      <c r="E1747" s="5" t="s">
        <v>5617</v>
      </c>
      <c r="F1747" s="5" t="s">
        <v>5173</v>
      </c>
      <c r="G1747" s="5" t="s">
        <v>5666</v>
      </c>
      <c r="H1747" s="5" t="s">
        <v>3816</v>
      </c>
      <c r="I1747" s="5" t="s">
        <v>3448</v>
      </c>
      <c r="J1747" s="5" t="s">
        <v>3783</v>
      </c>
      <c r="K1747" s="5" t="s">
        <v>5619</v>
      </c>
      <c r="L1747" s="5">
        <v>32</v>
      </c>
      <c r="M1747" s="5">
        <v>1</v>
      </c>
      <c r="N1747" s="5" t="s">
        <v>5174</v>
      </c>
      <c r="O1747" s="5" t="s">
        <v>5621</v>
      </c>
      <c r="P1747" s="5">
        <v>4</v>
      </c>
      <c r="Q1747" s="5">
        <v>1</v>
      </c>
      <c r="R1747" s="5" t="s">
        <v>3817</v>
      </c>
      <c r="S1747" s="5">
        <v>36</v>
      </c>
      <c r="T1747" s="5">
        <v>36</v>
      </c>
      <c r="U1747" s="5">
        <v>36</v>
      </c>
    </row>
    <row r="1748" spans="1:21" x14ac:dyDescent="0.25">
      <c r="A1748" s="5" t="s">
        <v>5775</v>
      </c>
      <c r="B1748" s="5" t="s">
        <v>5776</v>
      </c>
      <c r="C1748" s="5" t="s">
        <v>3548</v>
      </c>
      <c r="D1748" s="5" t="s">
        <v>3782</v>
      </c>
      <c r="E1748" s="5" t="s">
        <v>5617</v>
      </c>
      <c r="F1748" s="5" t="s">
        <v>5173</v>
      </c>
      <c r="G1748" s="5" t="s">
        <v>5669</v>
      </c>
      <c r="H1748" s="5" t="s">
        <v>3838</v>
      </c>
      <c r="I1748" s="5" t="s">
        <v>3448</v>
      </c>
      <c r="J1748" s="5" t="s">
        <v>3783</v>
      </c>
      <c r="K1748" s="5" t="s">
        <v>5619</v>
      </c>
      <c r="L1748" s="5">
        <v>32</v>
      </c>
      <c r="M1748" s="5">
        <v>1</v>
      </c>
      <c r="N1748" s="5" t="s">
        <v>5174</v>
      </c>
      <c r="O1748" s="5" t="s">
        <v>5626</v>
      </c>
      <c r="P1748" s="5">
        <v>4</v>
      </c>
      <c r="Q1748" s="5">
        <v>1</v>
      </c>
      <c r="R1748" s="5" t="s">
        <v>3839</v>
      </c>
      <c r="S1748" s="5">
        <v>24</v>
      </c>
      <c r="T1748" s="5">
        <v>24</v>
      </c>
      <c r="U1748" s="5">
        <v>24</v>
      </c>
    </row>
    <row r="1749" spans="1:21" x14ac:dyDescent="0.25">
      <c r="A1749" s="5" t="s">
        <v>5777</v>
      </c>
      <c r="B1749" s="5" t="s">
        <v>5778</v>
      </c>
      <c r="C1749" s="5" t="s">
        <v>3548</v>
      </c>
      <c r="D1749" s="5" t="s">
        <v>3782</v>
      </c>
      <c r="E1749" s="5" t="s">
        <v>5617</v>
      </c>
      <c r="F1749" s="5" t="s">
        <v>5173</v>
      </c>
      <c r="G1749" s="5" t="s">
        <v>5669</v>
      </c>
      <c r="H1749" s="5" t="s">
        <v>3848</v>
      </c>
      <c r="I1749" s="5" t="s">
        <v>3448</v>
      </c>
      <c r="J1749" s="5" t="s">
        <v>3783</v>
      </c>
      <c r="K1749" s="5" t="s">
        <v>5619</v>
      </c>
      <c r="L1749" s="5">
        <v>32</v>
      </c>
      <c r="M1749" s="5">
        <v>1</v>
      </c>
      <c r="N1749" s="5" t="s">
        <v>5174</v>
      </c>
      <c r="O1749" s="5" t="s">
        <v>5626</v>
      </c>
      <c r="P1749" s="5">
        <v>4</v>
      </c>
      <c r="Q1749" s="5">
        <v>1</v>
      </c>
      <c r="R1749" s="5" t="s">
        <v>3849</v>
      </c>
      <c r="S1749" s="5">
        <v>24</v>
      </c>
      <c r="T1749" s="5">
        <v>24</v>
      </c>
      <c r="U1749" s="5">
        <v>24</v>
      </c>
    </row>
    <row r="1750" spans="1:21" x14ac:dyDescent="0.25">
      <c r="A1750" s="5" t="s">
        <v>5779</v>
      </c>
      <c r="B1750" s="5" t="s">
        <v>5780</v>
      </c>
      <c r="C1750" s="5" t="s">
        <v>3548</v>
      </c>
      <c r="D1750" s="5" t="s">
        <v>3782</v>
      </c>
      <c r="E1750" s="5" t="s">
        <v>5617</v>
      </c>
      <c r="F1750" s="5" t="s">
        <v>5173</v>
      </c>
      <c r="G1750" s="5" t="s">
        <v>5669</v>
      </c>
      <c r="H1750" s="5" t="s">
        <v>3816</v>
      </c>
      <c r="I1750" s="5" t="s">
        <v>3448</v>
      </c>
      <c r="J1750" s="5" t="s">
        <v>3783</v>
      </c>
      <c r="K1750" s="5" t="s">
        <v>5619</v>
      </c>
      <c r="L1750" s="5">
        <v>32</v>
      </c>
      <c r="M1750" s="5">
        <v>1</v>
      </c>
      <c r="N1750" s="5" t="s">
        <v>5174</v>
      </c>
      <c r="O1750" s="5" t="s">
        <v>5626</v>
      </c>
      <c r="P1750" s="5">
        <v>4</v>
      </c>
      <c r="Q1750" s="5">
        <v>1</v>
      </c>
      <c r="R1750" s="5" t="s">
        <v>3817</v>
      </c>
      <c r="S1750" s="5">
        <v>24</v>
      </c>
      <c r="T1750" s="5">
        <v>24</v>
      </c>
      <c r="U1750" s="5">
        <v>24</v>
      </c>
    </row>
    <row r="1751" spans="1:21" x14ac:dyDescent="0.25">
      <c r="A1751" s="5" t="s">
        <v>5783</v>
      </c>
      <c r="B1751" s="5" t="s">
        <v>5784</v>
      </c>
      <c r="C1751" s="5" t="s">
        <v>3548</v>
      </c>
      <c r="D1751" s="5" t="s">
        <v>3782</v>
      </c>
      <c r="E1751" s="5" t="s">
        <v>5617</v>
      </c>
      <c r="F1751" s="5" t="s">
        <v>5173</v>
      </c>
      <c r="G1751" s="5" t="s">
        <v>5672</v>
      </c>
      <c r="H1751" s="5" t="s">
        <v>3838</v>
      </c>
      <c r="I1751" s="5" t="s">
        <v>3448</v>
      </c>
      <c r="J1751" s="5" t="s">
        <v>3783</v>
      </c>
      <c r="K1751" s="5" t="s">
        <v>5619</v>
      </c>
      <c r="L1751" s="5">
        <v>32</v>
      </c>
      <c r="M1751" s="5">
        <v>1</v>
      </c>
      <c r="N1751" s="5" t="s">
        <v>5174</v>
      </c>
      <c r="O1751" s="5" t="s">
        <v>5631</v>
      </c>
      <c r="P1751" s="5">
        <v>4</v>
      </c>
      <c r="Q1751" s="5">
        <v>1</v>
      </c>
      <c r="R1751" s="5" t="s">
        <v>3839</v>
      </c>
      <c r="S1751" s="5">
        <v>29</v>
      </c>
      <c r="T1751" s="5">
        <v>29</v>
      </c>
      <c r="U1751" s="5">
        <v>29</v>
      </c>
    </row>
    <row r="1752" spans="1:21" x14ac:dyDescent="0.25">
      <c r="A1752" s="5" t="s">
        <v>5785</v>
      </c>
      <c r="B1752" s="5" t="s">
        <v>5786</v>
      </c>
      <c r="C1752" s="5" t="s">
        <v>3548</v>
      </c>
      <c r="D1752" s="5" t="s">
        <v>3782</v>
      </c>
      <c r="E1752" s="5" t="s">
        <v>5617</v>
      </c>
      <c r="F1752" s="5" t="s">
        <v>5173</v>
      </c>
      <c r="G1752" s="5" t="s">
        <v>5672</v>
      </c>
      <c r="H1752" s="5" t="s">
        <v>3848</v>
      </c>
      <c r="I1752" s="5" t="s">
        <v>3448</v>
      </c>
      <c r="J1752" s="5" t="s">
        <v>3783</v>
      </c>
      <c r="K1752" s="5" t="s">
        <v>5619</v>
      </c>
      <c r="L1752" s="5">
        <v>32</v>
      </c>
      <c r="M1752" s="5">
        <v>1</v>
      </c>
      <c r="N1752" s="5" t="s">
        <v>5174</v>
      </c>
      <c r="O1752" s="5" t="s">
        <v>5631</v>
      </c>
      <c r="P1752" s="5">
        <v>4</v>
      </c>
      <c r="Q1752" s="5">
        <v>1</v>
      </c>
      <c r="R1752" s="5" t="s">
        <v>3849</v>
      </c>
      <c r="S1752" s="5">
        <v>28</v>
      </c>
      <c r="T1752" s="5">
        <v>28</v>
      </c>
      <c r="U1752" s="5">
        <v>28</v>
      </c>
    </row>
    <row r="1753" spans="1:21" x14ac:dyDescent="0.25">
      <c r="A1753" s="5" t="s">
        <v>5821</v>
      </c>
      <c r="B1753" s="5" t="s">
        <v>5822</v>
      </c>
      <c r="C1753" s="5" t="s">
        <v>3548</v>
      </c>
      <c r="D1753" s="5" t="s">
        <v>5817</v>
      </c>
      <c r="E1753" s="5" t="s">
        <v>3799</v>
      </c>
      <c r="F1753" s="5" t="s">
        <v>3822</v>
      </c>
      <c r="G1753" s="5"/>
      <c r="H1753" s="5"/>
      <c r="I1753" s="5" t="s">
        <v>3448</v>
      </c>
      <c r="J1753" s="5" t="s">
        <v>5818</v>
      </c>
      <c r="K1753" s="5" t="s">
        <v>3799</v>
      </c>
      <c r="L1753" s="5">
        <v>35</v>
      </c>
      <c r="M1753" s="5">
        <v>2</v>
      </c>
      <c r="N1753" s="5" t="s">
        <v>3823</v>
      </c>
      <c r="O1753" s="5"/>
      <c r="P1753" s="5"/>
      <c r="Q1753" s="5">
        <v>1</v>
      </c>
      <c r="R1753" s="5"/>
      <c r="S1753" s="5">
        <v>72</v>
      </c>
      <c r="T1753" s="5">
        <v>72</v>
      </c>
      <c r="U1753" s="5">
        <v>72</v>
      </c>
    </row>
    <row r="1754" spans="1:21" x14ac:dyDescent="0.25">
      <c r="A1754" s="5" t="s">
        <v>5823</v>
      </c>
      <c r="B1754" s="5" t="s">
        <v>5824</v>
      </c>
      <c r="C1754" s="5" t="s">
        <v>3548</v>
      </c>
      <c r="D1754" s="5" t="s">
        <v>5817</v>
      </c>
      <c r="E1754" s="5" t="s">
        <v>3799</v>
      </c>
      <c r="F1754" s="5" t="s">
        <v>3822</v>
      </c>
      <c r="G1754" s="5"/>
      <c r="H1754" s="5"/>
      <c r="I1754" s="5" t="s">
        <v>3448</v>
      </c>
      <c r="J1754" s="5" t="s">
        <v>5818</v>
      </c>
      <c r="K1754" s="5" t="s">
        <v>3799</v>
      </c>
      <c r="L1754" s="5">
        <v>35</v>
      </c>
      <c r="M1754" s="5">
        <v>3</v>
      </c>
      <c r="N1754" s="5" t="s">
        <v>3823</v>
      </c>
      <c r="O1754" s="5"/>
      <c r="P1754" s="5"/>
      <c r="Q1754" s="5">
        <v>1</v>
      </c>
      <c r="R1754" s="5"/>
      <c r="S1754" s="5">
        <v>115</v>
      </c>
      <c r="T1754" s="5">
        <v>115</v>
      </c>
      <c r="U1754" s="5">
        <v>115</v>
      </c>
    </row>
    <row r="1755" spans="1:21" x14ac:dyDescent="0.25">
      <c r="A1755" s="5" t="s">
        <v>5825</v>
      </c>
      <c r="B1755" s="5" t="s">
        <v>5826</v>
      </c>
      <c r="C1755" s="5" t="s">
        <v>3548</v>
      </c>
      <c r="D1755" s="5" t="s">
        <v>5817</v>
      </c>
      <c r="E1755" s="5" t="s">
        <v>3799</v>
      </c>
      <c r="F1755" s="5" t="s">
        <v>3564</v>
      </c>
      <c r="G1755" s="5"/>
      <c r="H1755" s="5"/>
      <c r="I1755" s="5" t="s">
        <v>3448</v>
      </c>
      <c r="J1755" s="5" t="s">
        <v>5818</v>
      </c>
      <c r="K1755" s="5" t="s">
        <v>3799</v>
      </c>
      <c r="L1755" s="5">
        <v>35</v>
      </c>
      <c r="M1755" s="5">
        <v>1</v>
      </c>
      <c r="N1755" s="5" t="s">
        <v>3566</v>
      </c>
      <c r="O1755" s="5"/>
      <c r="P1755" s="5"/>
      <c r="Q1755" s="5">
        <v>1</v>
      </c>
      <c r="R1755" s="5"/>
      <c r="S1755" s="5">
        <v>82</v>
      </c>
      <c r="T1755" s="5">
        <v>72</v>
      </c>
      <c r="U1755" s="5">
        <v>82</v>
      </c>
    </row>
    <row r="1756" spans="1:21" x14ac:dyDescent="0.25">
      <c r="A1756" s="5" t="s">
        <v>5827</v>
      </c>
      <c r="B1756" s="5" t="s">
        <v>5828</v>
      </c>
      <c r="C1756" s="5" t="s">
        <v>3548</v>
      </c>
      <c r="D1756" s="5" t="s">
        <v>5817</v>
      </c>
      <c r="E1756" s="5" t="s">
        <v>3799</v>
      </c>
      <c r="F1756" s="5" t="s">
        <v>3822</v>
      </c>
      <c r="G1756" s="5"/>
      <c r="H1756" s="5"/>
      <c r="I1756" s="5" t="s">
        <v>3448</v>
      </c>
      <c r="J1756" s="5" t="s">
        <v>5818</v>
      </c>
      <c r="K1756" s="5" t="s">
        <v>3799</v>
      </c>
      <c r="L1756" s="5">
        <v>35</v>
      </c>
      <c r="M1756" s="5">
        <v>1</v>
      </c>
      <c r="N1756" s="5" t="s">
        <v>3823</v>
      </c>
      <c r="O1756" s="5"/>
      <c r="P1756" s="5"/>
      <c r="Q1756" s="5">
        <v>1</v>
      </c>
      <c r="R1756" s="5"/>
      <c r="S1756" s="5">
        <v>43</v>
      </c>
      <c r="T1756" s="5">
        <v>43</v>
      </c>
      <c r="U1756" s="5">
        <v>43</v>
      </c>
    </row>
    <row r="1757" spans="1:21" x14ac:dyDescent="0.25">
      <c r="A1757" s="5" t="s">
        <v>5845</v>
      </c>
      <c r="B1757" s="5" t="s">
        <v>5846</v>
      </c>
      <c r="C1757" s="5" t="s">
        <v>3548</v>
      </c>
      <c r="D1757" s="5" t="s">
        <v>5817</v>
      </c>
      <c r="E1757" s="5" t="s">
        <v>4363</v>
      </c>
      <c r="F1757" s="5" t="s">
        <v>3584</v>
      </c>
      <c r="G1757" s="5" t="s">
        <v>3493</v>
      </c>
      <c r="H1757" s="5" t="s">
        <v>3838</v>
      </c>
      <c r="I1757" s="5" t="s">
        <v>3448</v>
      </c>
      <c r="J1757" s="5" t="s">
        <v>5818</v>
      </c>
      <c r="K1757" s="5" t="s">
        <v>4363</v>
      </c>
      <c r="L1757" s="5">
        <v>17</v>
      </c>
      <c r="M1757" s="5">
        <v>1</v>
      </c>
      <c r="N1757" s="5" t="s">
        <v>3585</v>
      </c>
      <c r="O1757" s="5" t="s">
        <v>3494</v>
      </c>
      <c r="P1757" s="5">
        <v>1</v>
      </c>
      <c r="Q1757" s="5">
        <v>1</v>
      </c>
      <c r="R1757" s="5" t="s">
        <v>3839</v>
      </c>
      <c r="S1757" s="5">
        <v>16</v>
      </c>
      <c r="T1757" s="5">
        <v>16</v>
      </c>
      <c r="U1757" s="5">
        <v>16</v>
      </c>
    </row>
    <row r="1758" spans="1:21" x14ac:dyDescent="0.25">
      <c r="A1758" s="30" t="s">
        <v>6171</v>
      </c>
      <c r="B1758" s="30" t="s">
        <v>6172</v>
      </c>
      <c r="C1758" t="s">
        <v>3548</v>
      </c>
      <c r="D1758" t="s">
        <v>5817</v>
      </c>
      <c r="E1758" t="s">
        <v>4363</v>
      </c>
      <c r="F1758" t="s">
        <v>3584</v>
      </c>
      <c r="G1758" t="s">
        <v>4255</v>
      </c>
      <c r="I1758" t="s">
        <v>3448</v>
      </c>
      <c r="J1758" t="s">
        <v>5818</v>
      </c>
      <c r="K1758" t="s">
        <v>4363</v>
      </c>
      <c r="L1758">
        <v>32</v>
      </c>
      <c r="M1758">
        <v>1</v>
      </c>
      <c r="N1758" t="s">
        <v>3585</v>
      </c>
      <c r="O1758" t="s">
        <v>4256</v>
      </c>
      <c r="P1758">
        <v>2</v>
      </c>
      <c r="Q1758">
        <v>1</v>
      </c>
      <c r="S1758">
        <v>41</v>
      </c>
      <c r="T1758">
        <v>41</v>
      </c>
      <c r="U1758">
        <v>41</v>
      </c>
    </row>
    <row r="1759" spans="1:21" x14ac:dyDescent="0.25">
      <c r="A1759" s="5" t="s">
        <v>5849</v>
      </c>
      <c r="B1759" s="5" t="s">
        <v>5850</v>
      </c>
      <c r="C1759" t="s">
        <v>3548</v>
      </c>
      <c r="D1759" t="s">
        <v>5817</v>
      </c>
      <c r="E1759" t="s">
        <v>4363</v>
      </c>
      <c r="F1759" t="s">
        <v>3584</v>
      </c>
      <c r="G1759" t="s">
        <v>3826</v>
      </c>
      <c r="H1759" t="s">
        <v>3838</v>
      </c>
      <c r="I1759" t="s">
        <v>3448</v>
      </c>
      <c r="J1759" t="s">
        <v>5818</v>
      </c>
      <c r="K1759" t="s">
        <v>4363</v>
      </c>
      <c r="L1759">
        <v>17</v>
      </c>
      <c r="M1759">
        <v>1</v>
      </c>
      <c r="N1759" t="s">
        <v>3585</v>
      </c>
      <c r="O1759" t="s">
        <v>3827</v>
      </c>
      <c r="P1759">
        <v>1</v>
      </c>
      <c r="Q1759">
        <v>1</v>
      </c>
      <c r="R1759" t="s">
        <v>3839</v>
      </c>
      <c r="S1759">
        <v>14</v>
      </c>
      <c r="T1759">
        <v>14</v>
      </c>
      <c r="U1759">
        <v>14</v>
      </c>
    </row>
    <row r="1760" spans="1:21" x14ac:dyDescent="0.25">
      <c r="A1760" s="5" t="s">
        <v>6191</v>
      </c>
      <c r="B1760" s="5" t="s">
        <v>6192</v>
      </c>
      <c r="C1760" t="s">
        <v>3548</v>
      </c>
      <c r="D1760" t="s">
        <v>5817</v>
      </c>
      <c r="E1760" t="s">
        <v>4363</v>
      </c>
      <c r="F1760" t="s">
        <v>3584</v>
      </c>
      <c r="G1760" t="s">
        <v>4255</v>
      </c>
      <c r="I1760" t="s">
        <v>3448</v>
      </c>
      <c r="J1760" t="s">
        <v>5818</v>
      </c>
      <c r="K1760" t="s">
        <v>4363</v>
      </c>
      <c r="L1760">
        <v>32</v>
      </c>
      <c r="M1760">
        <v>2</v>
      </c>
      <c r="N1760" t="s">
        <v>3585</v>
      </c>
      <c r="O1760" t="s">
        <v>4256</v>
      </c>
      <c r="P1760">
        <v>2</v>
      </c>
      <c r="Q1760">
        <v>1</v>
      </c>
      <c r="S1760">
        <v>73</v>
      </c>
      <c r="T1760">
        <v>73</v>
      </c>
      <c r="U1760">
        <v>73</v>
      </c>
    </row>
    <row r="1761" spans="1:21" x14ac:dyDescent="0.25">
      <c r="A1761" s="5" t="s">
        <v>6205</v>
      </c>
      <c r="B1761" s="5" t="s">
        <v>6206</v>
      </c>
      <c r="C1761" t="s">
        <v>3548</v>
      </c>
      <c r="D1761" t="s">
        <v>5817</v>
      </c>
      <c r="E1761" t="s">
        <v>4363</v>
      </c>
      <c r="F1761" t="s">
        <v>4004</v>
      </c>
      <c r="G1761" t="s">
        <v>4255</v>
      </c>
      <c r="I1761" t="s">
        <v>3448</v>
      </c>
      <c r="J1761" t="s">
        <v>5818</v>
      </c>
      <c r="K1761" t="s">
        <v>4363</v>
      </c>
      <c r="L1761">
        <v>32</v>
      </c>
      <c r="M1761">
        <v>2</v>
      </c>
      <c r="N1761" t="s">
        <v>4005</v>
      </c>
      <c r="O1761" t="s">
        <v>4256</v>
      </c>
      <c r="P1761">
        <v>2</v>
      </c>
      <c r="Q1761">
        <v>1</v>
      </c>
      <c r="S1761">
        <v>74</v>
      </c>
      <c r="T1761">
        <v>74</v>
      </c>
      <c r="U1761">
        <v>74</v>
      </c>
    </row>
    <row r="1762" spans="1:21" x14ac:dyDescent="0.25">
      <c r="A1762" s="5" t="s">
        <v>6215</v>
      </c>
      <c r="B1762" s="5" t="s">
        <v>6216</v>
      </c>
      <c r="C1762" t="s">
        <v>3548</v>
      </c>
      <c r="D1762" t="s">
        <v>5817</v>
      </c>
      <c r="E1762" t="s">
        <v>4363</v>
      </c>
      <c r="F1762" t="s">
        <v>4004</v>
      </c>
      <c r="G1762" t="s">
        <v>4255</v>
      </c>
      <c r="I1762" t="s">
        <v>3448</v>
      </c>
      <c r="J1762" t="s">
        <v>5818</v>
      </c>
      <c r="K1762" t="s">
        <v>4363</v>
      </c>
      <c r="L1762">
        <v>32</v>
      </c>
      <c r="M1762">
        <v>1</v>
      </c>
      <c r="N1762" t="s">
        <v>4005</v>
      </c>
      <c r="O1762" t="s">
        <v>4256</v>
      </c>
      <c r="P1762">
        <v>2</v>
      </c>
      <c r="Q1762">
        <v>1</v>
      </c>
      <c r="S1762">
        <v>39</v>
      </c>
      <c r="T1762">
        <v>39</v>
      </c>
      <c r="U1762">
        <v>39</v>
      </c>
    </row>
    <row r="1763" spans="1:21" x14ac:dyDescent="0.25">
      <c r="A1763" s="5" t="s">
        <v>6227</v>
      </c>
      <c r="B1763" s="5" t="s">
        <v>6228</v>
      </c>
      <c r="C1763" t="s">
        <v>3548</v>
      </c>
      <c r="D1763" t="s">
        <v>5817</v>
      </c>
      <c r="E1763" t="s">
        <v>4363</v>
      </c>
      <c r="F1763" t="s">
        <v>3584</v>
      </c>
      <c r="G1763" t="s">
        <v>4255</v>
      </c>
      <c r="I1763" t="s">
        <v>3448</v>
      </c>
      <c r="J1763" t="s">
        <v>5818</v>
      </c>
      <c r="K1763" t="s">
        <v>4363</v>
      </c>
      <c r="L1763">
        <v>32</v>
      </c>
      <c r="M1763">
        <v>3</v>
      </c>
      <c r="N1763" t="s">
        <v>3585</v>
      </c>
      <c r="O1763" t="s">
        <v>4256</v>
      </c>
      <c r="P1763">
        <v>2</v>
      </c>
      <c r="Q1763">
        <v>1</v>
      </c>
      <c r="S1763">
        <v>109</v>
      </c>
      <c r="T1763">
        <v>109</v>
      </c>
      <c r="U1763">
        <v>109</v>
      </c>
    </row>
    <row r="1764" spans="1:21" x14ac:dyDescent="0.25">
      <c r="A1764" s="5" t="s">
        <v>6243</v>
      </c>
      <c r="B1764" s="5" t="s">
        <v>6244</v>
      </c>
      <c r="C1764" t="s">
        <v>3548</v>
      </c>
      <c r="D1764" t="s">
        <v>5817</v>
      </c>
      <c r="E1764" t="s">
        <v>4363</v>
      </c>
      <c r="F1764" t="s">
        <v>3584</v>
      </c>
      <c r="G1764" t="s">
        <v>4255</v>
      </c>
      <c r="I1764" t="s">
        <v>3448</v>
      </c>
      <c r="J1764" t="s">
        <v>5818</v>
      </c>
      <c r="K1764" t="s">
        <v>4363</v>
      </c>
      <c r="L1764">
        <v>32</v>
      </c>
      <c r="M1764">
        <v>4</v>
      </c>
      <c r="N1764" t="s">
        <v>3585</v>
      </c>
      <c r="O1764" t="s">
        <v>4256</v>
      </c>
      <c r="P1764">
        <v>2</v>
      </c>
      <c r="Q1764">
        <v>1</v>
      </c>
      <c r="S1764">
        <v>145</v>
      </c>
      <c r="T1764">
        <v>145</v>
      </c>
      <c r="U1764">
        <v>145</v>
      </c>
    </row>
    <row r="1765" spans="1:21" x14ac:dyDescent="0.25">
      <c r="A1765" s="5" t="s">
        <v>6247</v>
      </c>
      <c r="B1765" s="5" t="s">
        <v>6248</v>
      </c>
      <c r="C1765" t="s">
        <v>3548</v>
      </c>
      <c r="D1765" t="s">
        <v>5817</v>
      </c>
      <c r="E1765" t="s">
        <v>4363</v>
      </c>
      <c r="F1765" t="s">
        <v>4004</v>
      </c>
      <c r="G1765" t="s">
        <v>4255</v>
      </c>
      <c r="I1765" t="s">
        <v>3448</v>
      </c>
      <c r="J1765" t="s">
        <v>5818</v>
      </c>
      <c r="K1765" t="s">
        <v>4363</v>
      </c>
      <c r="L1765">
        <v>32</v>
      </c>
      <c r="M1765">
        <v>4</v>
      </c>
      <c r="N1765" t="s">
        <v>4005</v>
      </c>
      <c r="O1765" t="s">
        <v>4256</v>
      </c>
      <c r="P1765">
        <v>2</v>
      </c>
      <c r="Q1765">
        <v>1</v>
      </c>
      <c r="S1765">
        <v>144</v>
      </c>
      <c r="T1765">
        <v>144</v>
      </c>
      <c r="U1765">
        <v>144</v>
      </c>
    </row>
    <row r="1766" spans="1:21" x14ac:dyDescent="0.25">
      <c r="A1766" s="5" t="s">
        <v>4415</v>
      </c>
      <c r="B1766" s="5" t="s">
        <v>4416</v>
      </c>
      <c r="C1766" t="s">
        <v>3548</v>
      </c>
      <c r="D1766" t="s">
        <v>3782</v>
      </c>
      <c r="E1766" t="s">
        <v>4363</v>
      </c>
      <c r="F1766" t="s">
        <v>4004</v>
      </c>
      <c r="G1766" t="s">
        <v>4417</v>
      </c>
      <c r="I1766" t="s">
        <v>3448</v>
      </c>
      <c r="J1766" t="s">
        <v>3783</v>
      </c>
      <c r="K1766" t="s">
        <v>4363</v>
      </c>
      <c r="L1766">
        <v>17</v>
      </c>
      <c r="M1766">
        <v>2</v>
      </c>
      <c r="N1766" t="s">
        <v>4005</v>
      </c>
      <c r="O1766" t="s">
        <v>4418</v>
      </c>
      <c r="P1766">
        <v>2</v>
      </c>
      <c r="Q1766">
        <v>1</v>
      </c>
      <c r="S1766">
        <v>25</v>
      </c>
      <c r="T1766">
        <v>25</v>
      </c>
      <c r="U1766">
        <v>25</v>
      </c>
    </row>
    <row r="1767" spans="1:21" x14ac:dyDescent="0.25">
      <c r="A1767" s="5" t="s">
        <v>4441</v>
      </c>
      <c r="B1767" s="5" t="s">
        <v>4442</v>
      </c>
      <c r="C1767" t="s">
        <v>3548</v>
      </c>
      <c r="D1767" t="s">
        <v>3782</v>
      </c>
      <c r="E1767" t="s">
        <v>4363</v>
      </c>
      <c r="F1767" t="s">
        <v>4004</v>
      </c>
      <c r="G1767" t="s">
        <v>4417</v>
      </c>
      <c r="I1767" t="s">
        <v>3448</v>
      </c>
      <c r="J1767" t="s">
        <v>3783</v>
      </c>
      <c r="K1767" t="s">
        <v>4363</v>
      </c>
      <c r="L1767">
        <v>17</v>
      </c>
      <c r="M1767">
        <v>1</v>
      </c>
      <c r="N1767" t="s">
        <v>4005</v>
      </c>
      <c r="O1767" t="s">
        <v>4418</v>
      </c>
      <c r="P1767">
        <v>2</v>
      </c>
      <c r="Q1767">
        <v>1</v>
      </c>
      <c r="S1767">
        <v>14</v>
      </c>
      <c r="T1767">
        <v>14</v>
      </c>
      <c r="U1767">
        <v>14</v>
      </c>
    </row>
    <row r="1768" spans="1:21" x14ac:dyDescent="0.25">
      <c r="A1768" s="5" t="s">
        <v>4463</v>
      </c>
      <c r="B1768" s="5" t="s">
        <v>4464</v>
      </c>
      <c r="C1768" t="s">
        <v>3548</v>
      </c>
      <c r="D1768" t="s">
        <v>3782</v>
      </c>
      <c r="E1768" t="s">
        <v>4363</v>
      </c>
      <c r="F1768" t="s">
        <v>4004</v>
      </c>
      <c r="G1768" t="s">
        <v>4417</v>
      </c>
      <c r="I1768" t="s">
        <v>3448</v>
      </c>
      <c r="J1768" t="s">
        <v>3783</v>
      </c>
      <c r="K1768" t="s">
        <v>4363</v>
      </c>
      <c r="L1768">
        <v>17</v>
      </c>
      <c r="M1768">
        <v>3</v>
      </c>
      <c r="N1768" t="s">
        <v>4005</v>
      </c>
      <c r="O1768" t="s">
        <v>4418</v>
      </c>
      <c r="P1768">
        <v>2</v>
      </c>
      <c r="Q1768">
        <v>1</v>
      </c>
      <c r="S1768">
        <v>37</v>
      </c>
      <c r="T1768">
        <v>37</v>
      </c>
      <c r="U1768">
        <v>37</v>
      </c>
    </row>
    <row r="1769" spans="1:21" x14ac:dyDescent="0.25">
      <c r="A1769" s="5" t="s">
        <v>4485</v>
      </c>
      <c r="B1769" s="5" t="s">
        <v>4486</v>
      </c>
      <c r="C1769" t="s">
        <v>3548</v>
      </c>
      <c r="D1769" t="s">
        <v>3782</v>
      </c>
      <c r="E1769" t="s">
        <v>4363</v>
      </c>
      <c r="F1769" t="s">
        <v>4004</v>
      </c>
      <c r="G1769" t="s">
        <v>4417</v>
      </c>
      <c r="I1769" t="s">
        <v>3448</v>
      </c>
      <c r="J1769" t="s">
        <v>3783</v>
      </c>
      <c r="K1769" t="s">
        <v>4363</v>
      </c>
      <c r="L1769">
        <v>17</v>
      </c>
      <c r="M1769">
        <v>4</v>
      </c>
      <c r="N1769" t="s">
        <v>4005</v>
      </c>
      <c r="O1769" t="s">
        <v>4418</v>
      </c>
      <c r="P1769">
        <v>2</v>
      </c>
      <c r="Q1769">
        <v>1</v>
      </c>
      <c r="S1769">
        <v>48</v>
      </c>
      <c r="T1769">
        <v>48</v>
      </c>
      <c r="U1769">
        <v>48</v>
      </c>
    </row>
    <row r="1770" spans="1:21" x14ac:dyDescent="0.25">
      <c r="A1770" s="5" t="s">
        <v>4495</v>
      </c>
      <c r="B1770" s="5" t="s">
        <v>4496</v>
      </c>
      <c r="C1770" t="s">
        <v>3548</v>
      </c>
      <c r="D1770" t="s">
        <v>3782</v>
      </c>
      <c r="E1770" t="s">
        <v>4363</v>
      </c>
      <c r="F1770" t="s">
        <v>4004</v>
      </c>
      <c r="G1770" t="s">
        <v>4417</v>
      </c>
      <c r="I1770" t="s">
        <v>3448</v>
      </c>
      <c r="J1770" t="s">
        <v>3783</v>
      </c>
      <c r="K1770" t="s">
        <v>4363</v>
      </c>
      <c r="L1770">
        <v>25</v>
      </c>
      <c r="M1770">
        <v>10</v>
      </c>
      <c r="N1770" t="s">
        <v>4005</v>
      </c>
      <c r="O1770" t="s">
        <v>4418</v>
      </c>
      <c r="P1770">
        <v>4</v>
      </c>
      <c r="Q1770">
        <v>3</v>
      </c>
      <c r="S1770">
        <v>189</v>
      </c>
      <c r="T1770">
        <v>189</v>
      </c>
      <c r="U1770">
        <v>189</v>
      </c>
    </row>
    <row r="1771" spans="1:21" x14ac:dyDescent="0.25">
      <c r="A1771" s="5" t="s">
        <v>4501</v>
      </c>
      <c r="B1771" s="5" t="s">
        <v>4502</v>
      </c>
      <c r="C1771" t="s">
        <v>3548</v>
      </c>
      <c r="D1771" t="s">
        <v>3782</v>
      </c>
      <c r="E1771" t="s">
        <v>4363</v>
      </c>
      <c r="F1771" t="s">
        <v>4004</v>
      </c>
      <c r="G1771" t="s">
        <v>4417</v>
      </c>
      <c r="I1771" t="s">
        <v>3448</v>
      </c>
      <c r="J1771" t="s">
        <v>3783</v>
      </c>
      <c r="K1771" t="s">
        <v>4363</v>
      </c>
      <c r="L1771">
        <v>25</v>
      </c>
      <c r="M1771">
        <v>12</v>
      </c>
      <c r="N1771" t="s">
        <v>4005</v>
      </c>
      <c r="O1771" t="s">
        <v>4418</v>
      </c>
      <c r="P1771">
        <v>4</v>
      </c>
      <c r="Q1771">
        <v>3</v>
      </c>
      <c r="S1771">
        <v>229</v>
      </c>
      <c r="T1771">
        <v>229</v>
      </c>
      <c r="U1771">
        <v>229</v>
      </c>
    </row>
    <row r="1772" spans="1:21" x14ac:dyDescent="0.25">
      <c r="A1772" s="5" t="s">
        <v>4531</v>
      </c>
      <c r="B1772" s="5" t="s">
        <v>4532</v>
      </c>
      <c r="C1772" t="s">
        <v>3548</v>
      </c>
      <c r="D1772" t="s">
        <v>3782</v>
      </c>
      <c r="E1772" t="s">
        <v>4363</v>
      </c>
      <c r="F1772" t="s">
        <v>4004</v>
      </c>
      <c r="G1772" t="s">
        <v>4417</v>
      </c>
      <c r="I1772" t="s">
        <v>3448</v>
      </c>
      <c r="J1772" t="s">
        <v>3783</v>
      </c>
      <c r="K1772" t="s">
        <v>4363</v>
      </c>
      <c r="L1772">
        <v>25</v>
      </c>
      <c r="M1772">
        <v>2</v>
      </c>
      <c r="N1772" t="s">
        <v>4005</v>
      </c>
      <c r="O1772" t="s">
        <v>4418</v>
      </c>
      <c r="P1772">
        <v>3</v>
      </c>
      <c r="Q1772">
        <v>1</v>
      </c>
      <c r="S1772">
        <v>36</v>
      </c>
      <c r="T1772">
        <v>36</v>
      </c>
      <c r="U1772">
        <v>36</v>
      </c>
    </row>
    <row r="1773" spans="1:21" x14ac:dyDescent="0.25">
      <c r="A1773" s="5" t="s">
        <v>4549</v>
      </c>
      <c r="B1773" s="5" t="s">
        <v>4550</v>
      </c>
      <c r="C1773" t="s">
        <v>3548</v>
      </c>
      <c r="D1773" t="s">
        <v>3782</v>
      </c>
      <c r="E1773" t="s">
        <v>4363</v>
      </c>
      <c r="F1773" t="s">
        <v>3584</v>
      </c>
      <c r="G1773" t="s">
        <v>4417</v>
      </c>
      <c r="I1773" t="s">
        <v>3448</v>
      </c>
      <c r="J1773" t="s">
        <v>3783</v>
      </c>
      <c r="K1773" t="s">
        <v>4363</v>
      </c>
      <c r="L1773">
        <v>25</v>
      </c>
      <c r="M1773">
        <v>2</v>
      </c>
      <c r="N1773" t="s">
        <v>3585</v>
      </c>
      <c r="O1773" t="s">
        <v>4418</v>
      </c>
      <c r="P1773">
        <v>4</v>
      </c>
      <c r="Q1773">
        <v>1</v>
      </c>
      <c r="S1773">
        <v>40</v>
      </c>
      <c r="T1773">
        <v>40</v>
      </c>
      <c r="U1773">
        <v>40</v>
      </c>
    </row>
    <row r="1774" spans="1:21" x14ac:dyDescent="0.25">
      <c r="A1774" s="5" t="s">
        <v>4561</v>
      </c>
      <c r="B1774" s="5" t="s">
        <v>4562</v>
      </c>
      <c r="C1774" t="s">
        <v>3548</v>
      </c>
      <c r="D1774" t="s">
        <v>3782</v>
      </c>
      <c r="E1774" t="s">
        <v>4363</v>
      </c>
      <c r="F1774" t="s">
        <v>4390</v>
      </c>
      <c r="G1774" t="s">
        <v>4417</v>
      </c>
      <c r="I1774" t="s">
        <v>3448</v>
      </c>
      <c r="J1774" t="s">
        <v>3783</v>
      </c>
      <c r="K1774" t="s">
        <v>4363</v>
      </c>
      <c r="L1774">
        <v>25</v>
      </c>
      <c r="M1774">
        <v>2</v>
      </c>
      <c r="N1774" t="s">
        <v>4391</v>
      </c>
      <c r="O1774" t="s">
        <v>4418</v>
      </c>
      <c r="P1774">
        <v>4</v>
      </c>
      <c r="Q1774">
        <v>1</v>
      </c>
      <c r="S1774">
        <v>36</v>
      </c>
      <c r="T1774">
        <v>36</v>
      </c>
      <c r="U1774">
        <v>36</v>
      </c>
    </row>
    <row r="1775" spans="1:21" x14ac:dyDescent="0.25">
      <c r="A1775" s="5" t="s">
        <v>4571</v>
      </c>
      <c r="B1775" s="5" t="s">
        <v>4572</v>
      </c>
      <c r="C1775" t="s">
        <v>3548</v>
      </c>
      <c r="D1775" t="s">
        <v>3782</v>
      </c>
      <c r="E1775" t="s">
        <v>4363</v>
      </c>
      <c r="F1775" t="s">
        <v>4004</v>
      </c>
      <c r="G1775" t="s">
        <v>4417</v>
      </c>
      <c r="I1775" t="s">
        <v>3448</v>
      </c>
      <c r="J1775" t="s">
        <v>3783</v>
      </c>
      <c r="K1775" t="s">
        <v>4363</v>
      </c>
      <c r="L1775">
        <v>25</v>
      </c>
      <c r="M1775">
        <v>2</v>
      </c>
      <c r="N1775" t="s">
        <v>4005</v>
      </c>
      <c r="O1775" t="s">
        <v>4418</v>
      </c>
      <c r="P1775">
        <v>4</v>
      </c>
      <c r="Q1775">
        <v>1</v>
      </c>
      <c r="S1775">
        <v>37</v>
      </c>
      <c r="T1775">
        <v>37</v>
      </c>
      <c r="U1775">
        <v>37</v>
      </c>
    </row>
    <row r="1776" spans="1:21" x14ac:dyDescent="0.25">
      <c r="A1776" s="5" t="s">
        <v>4619</v>
      </c>
      <c r="B1776" s="5" t="s">
        <v>4620</v>
      </c>
      <c r="C1776" t="s">
        <v>3548</v>
      </c>
      <c r="D1776" t="s">
        <v>3782</v>
      </c>
      <c r="E1776" t="s">
        <v>4363</v>
      </c>
      <c r="F1776" t="s">
        <v>4004</v>
      </c>
      <c r="G1776" t="s">
        <v>4417</v>
      </c>
      <c r="I1776" t="s">
        <v>3448</v>
      </c>
      <c r="J1776" t="s">
        <v>3783</v>
      </c>
      <c r="K1776" t="s">
        <v>4363</v>
      </c>
      <c r="L1776">
        <v>25</v>
      </c>
      <c r="M1776">
        <v>3</v>
      </c>
      <c r="N1776" t="s">
        <v>4005</v>
      </c>
      <c r="O1776" t="s">
        <v>4418</v>
      </c>
      <c r="P1776">
        <v>3</v>
      </c>
      <c r="Q1776">
        <v>1</v>
      </c>
      <c r="S1776">
        <v>54</v>
      </c>
      <c r="T1776">
        <v>54</v>
      </c>
      <c r="U1776">
        <v>54</v>
      </c>
    </row>
    <row r="1777" spans="1:21" x14ac:dyDescent="0.25">
      <c r="A1777" s="5" t="s">
        <v>4627</v>
      </c>
      <c r="B1777" s="5" t="s">
        <v>4628</v>
      </c>
      <c r="C1777" t="s">
        <v>3548</v>
      </c>
      <c r="D1777" t="s">
        <v>3782</v>
      </c>
      <c r="E1777" t="s">
        <v>4363</v>
      </c>
      <c r="F1777" t="s">
        <v>3584</v>
      </c>
      <c r="G1777" t="s">
        <v>4417</v>
      </c>
      <c r="I1777" t="s">
        <v>3448</v>
      </c>
      <c r="J1777" t="s">
        <v>3783</v>
      </c>
      <c r="K1777" t="s">
        <v>4363</v>
      </c>
      <c r="L1777">
        <v>25</v>
      </c>
      <c r="M1777">
        <v>3</v>
      </c>
      <c r="N1777" t="s">
        <v>3585</v>
      </c>
      <c r="O1777" t="s">
        <v>4418</v>
      </c>
      <c r="P1777">
        <v>4</v>
      </c>
      <c r="Q1777">
        <v>2</v>
      </c>
      <c r="S1777">
        <v>63</v>
      </c>
      <c r="T1777">
        <v>63</v>
      </c>
      <c r="U1777">
        <v>63</v>
      </c>
    </row>
    <row r="1778" spans="1:21" x14ac:dyDescent="0.25">
      <c r="A1778" s="5" t="s">
        <v>4639</v>
      </c>
      <c r="B1778" s="5" t="s">
        <v>4640</v>
      </c>
      <c r="C1778" t="s">
        <v>3548</v>
      </c>
      <c r="D1778" t="s">
        <v>3782</v>
      </c>
      <c r="E1778" t="s">
        <v>4363</v>
      </c>
      <c r="F1778" t="s">
        <v>3584</v>
      </c>
      <c r="G1778" t="s">
        <v>4417</v>
      </c>
      <c r="I1778" t="s">
        <v>3448</v>
      </c>
      <c r="J1778" t="s">
        <v>3783</v>
      </c>
      <c r="K1778" t="s">
        <v>4363</v>
      </c>
      <c r="L1778">
        <v>25</v>
      </c>
      <c r="M1778">
        <v>3</v>
      </c>
      <c r="N1778" t="s">
        <v>3585</v>
      </c>
      <c r="O1778" t="s">
        <v>4418</v>
      </c>
      <c r="P1778">
        <v>4</v>
      </c>
      <c r="Q1778">
        <v>1</v>
      </c>
      <c r="S1778">
        <v>58</v>
      </c>
      <c r="T1778">
        <v>58</v>
      </c>
      <c r="U1778">
        <v>58</v>
      </c>
    </row>
    <row r="1779" spans="1:21" x14ac:dyDescent="0.25">
      <c r="A1779" s="5" t="s">
        <v>4647</v>
      </c>
      <c r="B1779" s="5" t="s">
        <v>4648</v>
      </c>
      <c r="C1779" t="s">
        <v>3548</v>
      </c>
      <c r="D1779" t="s">
        <v>3782</v>
      </c>
      <c r="E1779" t="s">
        <v>4363</v>
      </c>
      <c r="F1779" t="s">
        <v>4390</v>
      </c>
      <c r="G1779" t="s">
        <v>4417</v>
      </c>
      <c r="I1779" t="s">
        <v>3448</v>
      </c>
      <c r="J1779" t="s">
        <v>3783</v>
      </c>
      <c r="K1779" t="s">
        <v>4363</v>
      </c>
      <c r="L1779">
        <v>25</v>
      </c>
      <c r="M1779">
        <v>3</v>
      </c>
      <c r="N1779" t="s">
        <v>4391</v>
      </c>
      <c r="O1779" t="s">
        <v>4418</v>
      </c>
      <c r="P1779">
        <v>4</v>
      </c>
      <c r="Q1779">
        <v>1</v>
      </c>
      <c r="S1779">
        <v>57</v>
      </c>
      <c r="T1779">
        <v>57</v>
      </c>
      <c r="U1779">
        <v>57</v>
      </c>
    </row>
    <row r="1780" spans="1:21" x14ac:dyDescent="0.25">
      <c r="A1780" s="5" t="s">
        <v>4653</v>
      </c>
      <c r="B1780" s="5" t="s">
        <v>4654</v>
      </c>
      <c r="C1780" t="s">
        <v>3548</v>
      </c>
      <c r="D1780" t="s">
        <v>3782</v>
      </c>
      <c r="E1780" t="s">
        <v>4363</v>
      </c>
      <c r="F1780" t="s">
        <v>4004</v>
      </c>
      <c r="G1780" t="s">
        <v>4417</v>
      </c>
      <c r="I1780" t="s">
        <v>3448</v>
      </c>
      <c r="J1780" t="s">
        <v>3783</v>
      </c>
      <c r="K1780" t="s">
        <v>4363</v>
      </c>
      <c r="L1780">
        <v>25</v>
      </c>
      <c r="M1780">
        <v>3</v>
      </c>
      <c r="N1780" t="s">
        <v>4005</v>
      </c>
      <c r="O1780" t="s">
        <v>4418</v>
      </c>
      <c r="P1780">
        <v>4</v>
      </c>
      <c r="Q1780">
        <v>1</v>
      </c>
      <c r="S1780">
        <v>58</v>
      </c>
      <c r="T1780">
        <v>58</v>
      </c>
      <c r="U1780">
        <v>58</v>
      </c>
    </row>
    <row r="1781" spans="1:21" x14ac:dyDescent="0.25">
      <c r="A1781" s="5" t="s">
        <v>4667</v>
      </c>
      <c r="B1781" s="5" t="s">
        <v>4668</v>
      </c>
      <c r="C1781" t="s">
        <v>3548</v>
      </c>
      <c r="D1781" t="s">
        <v>3782</v>
      </c>
      <c r="E1781" t="s">
        <v>4363</v>
      </c>
      <c r="F1781" t="s">
        <v>4004</v>
      </c>
      <c r="G1781" t="s">
        <v>4417</v>
      </c>
      <c r="I1781" t="s">
        <v>3448</v>
      </c>
      <c r="J1781" t="s">
        <v>3783</v>
      </c>
      <c r="K1781" t="s">
        <v>4363</v>
      </c>
      <c r="L1781">
        <v>25</v>
      </c>
      <c r="M1781">
        <v>1</v>
      </c>
      <c r="N1781" t="s">
        <v>4005</v>
      </c>
      <c r="O1781" t="s">
        <v>4418</v>
      </c>
      <c r="P1781">
        <v>3</v>
      </c>
      <c r="Q1781">
        <v>1</v>
      </c>
      <c r="S1781">
        <v>20</v>
      </c>
      <c r="T1781">
        <v>20</v>
      </c>
      <c r="U1781">
        <v>20</v>
      </c>
    </row>
    <row r="1782" spans="1:21" x14ac:dyDescent="0.25">
      <c r="A1782" s="5" t="s">
        <v>4695</v>
      </c>
      <c r="B1782" s="5" t="s">
        <v>4696</v>
      </c>
      <c r="C1782" t="s">
        <v>3548</v>
      </c>
      <c r="D1782" t="s">
        <v>3782</v>
      </c>
      <c r="E1782" t="s">
        <v>4363</v>
      </c>
      <c r="F1782" t="s">
        <v>3584</v>
      </c>
      <c r="G1782" t="s">
        <v>4417</v>
      </c>
      <c r="I1782" t="s">
        <v>3448</v>
      </c>
      <c r="J1782" t="s">
        <v>3783</v>
      </c>
      <c r="K1782" t="s">
        <v>4363</v>
      </c>
      <c r="L1782">
        <v>25</v>
      </c>
      <c r="M1782">
        <v>1</v>
      </c>
      <c r="N1782" t="s">
        <v>3585</v>
      </c>
      <c r="O1782" t="s">
        <v>4418</v>
      </c>
      <c r="P1782">
        <v>4</v>
      </c>
      <c r="Q1782">
        <v>1</v>
      </c>
      <c r="S1782">
        <v>23</v>
      </c>
      <c r="T1782">
        <v>23</v>
      </c>
      <c r="U1782">
        <v>23</v>
      </c>
    </row>
    <row r="1783" spans="1:21" x14ac:dyDescent="0.25">
      <c r="A1783" s="5" t="s">
        <v>5937</v>
      </c>
      <c r="B1783" s="5" t="s">
        <v>5938</v>
      </c>
      <c r="C1783" t="s">
        <v>3548</v>
      </c>
      <c r="D1783" t="s">
        <v>5817</v>
      </c>
      <c r="E1783" t="s">
        <v>4363</v>
      </c>
      <c r="F1783" t="s">
        <v>3584</v>
      </c>
      <c r="G1783" t="s">
        <v>3826</v>
      </c>
      <c r="H1783" t="s">
        <v>3838</v>
      </c>
      <c r="I1783" t="s">
        <v>3448</v>
      </c>
      <c r="J1783" t="s">
        <v>5818</v>
      </c>
      <c r="K1783" t="s">
        <v>4363</v>
      </c>
      <c r="L1783">
        <v>25</v>
      </c>
      <c r="M1783">
        <v>1</v>
      </c>
      <c r="N1783" t="s">
        <v>3585</v>
      </c>
      <c r="O1783" t="s">
        <v>3827</v>
      </c>
      <c r="P1783">
        <v>2</v>
      </c>
      <c r="Q1783">
        <v>1</v>
      </c>
      <c r="R1783" t="s">
        <v>3839</v>
      </c>
      <c r="S1783">
        <v>19</v>
      </c>
      <c r="T1783">
        <v>19</v>
      </c>
      <c r="U1783">
        <v>19</v>
      </c>
    </row>
    <row r="1784" spans="1:21" x14ac:dyDescent="0.25">
      <c r="A1784" s="5" t="s">
        <v>4731</v>
      </c>
      <c r="B1784" s="5" t="s">
        <v>4732</v>
      </c>
      <c r="C1784" t="s">
        <v>3548</v>
      </c>
      <c r="D1784" t="s">
        <v>3782</v>
      </c>
      <c r="E1784" t="s">
        <v>4363</v>
      </c>
      <c r="F1784" t="s">
        <v>4004</v>
      </c>
      <c r="G1784" t="s">
        <v>4417</v>
      </c>
      <c r="I1784" t="s">
        <v>3448</v>
      </c>
      <c r="J1784" t="s">
        <v>3783</v>
      </c>
      <c r="K1784" t="s">
        <v>4363</v>
      </c>
      <c r="L1784">
        <v>25</v>
      </c>
      <c r="M1784">
        <v>4</v>
      </c>
      <c r="N1784" t="s">
        <v>4005</v>
      </c>
      <c r="O1784" t="s">
        <v>4418</v>
      </c>
      <c r="P1784">
        <v>3</v>
      </c>
      <c r="Q1784">
        <v>1</v>
      </c>
      <c r="S1784">
        <v>76</v>
      </c>
      <c r="T1784">
        <v>76</v>
      </c>
      <c r="U1784">
        <v>76</v>
      </c>
    </row>
    <row r="1785" spans="1:21" x14ac:dyDescent="0.25">
      <c r="A1785" s="5" t="s">
        <v>4739</v>
      </c>
      <c r="B1785" s="5" t="s">
        <v>4740</v>
      </c>
      <c r="C1785" t="s">
        <v>3548</v>
      </c>
      <c r="D1785" t="s">
        <v>3782</v>
      </c>
      <c r="E1785" t="s">
        <v>4363</v>
      </c>
      <c r="F1785" t="s">
        <v>3584</v>
      </c>
      <c r="G1785" t="s">
        <v>4417</v>
      </c>
      <c r="I1785" t="s">
        <v>3448</v>
      </c>
      <c r="J1785" t="s">
        <v>3783</v>
      </c>
      <c r="K1785" t="s">
        <v>4363</v>
      </c>
      <c r="L1785">
        <v>25</v>
      </c>
      <c r="M1785">
        <v>4</v>
      </c>
      <c r="N1785" t="s">
        <v>3585</v>
      </c>
      <c r="O1785" t="s">
        <v>4418</v>
      </c>
      <c r="P1785">
        <v>4</v>
      </c>
      <c r="Q1785">
        <v>2</v>
      </c>
      <c r="S1785">
        <v>80</v>
      </c>
      <c r="T1785">
        <v>80</v>
      </c>
      <c r="U1785">
        <v>80</v>
      </c>
    </row>
    <row r="1786" spans="1:21" x14ac:dyDescent="0.25">
      <c r="A1786" s="5" t="s">
        <v>4743</v>
      </c>
      <c r="B1786" s="5" t="s">
        <v>4744</v>
      </c>
      <c r="C1786" t="s">
        <v>3548</v>
      </c>
      <c r="D1786" t="s">
        <v>3782</v>
      </c>
      <c r="E1786" t="s">
        <v>4363</v>
      </c>
      <c r="F1786" t="s">
        <v>4390</v>
      </c>
      <c r="G1786" t="s">
        <v>4417</v>
      </c>
      <c r="I1786" t="s">
        <v>3448</v>
      </c>
      <c r="J1786" t="s">
        <v>3783</v>
      </c>
      <c r="K1786" t="s">
        <v>4363</v>
      </c>
      <c r="L1786">
        <v>25</v>
      </c>
      <c r="M1786">
        <v>4</v>
      </c>
      <c r="N1786" t="s">
        <v>4391</v>
      </c>
      <c r="O1786" t="s">
        <v>4418</v>
      </c>
      <c r="P1786">
        <v>4</v>
      </c>
      <c r="Q1786">
        <v>2</v>
      </c>
      <c r="S1786">
        <v>74</v>
      </c>
      <c r="T1786">
        <v>74</v>
      </c>
      <c r="U1786">
        <v>74</v>
      </c>
    </row>
    <row r="1787" spans="1:21" x14ac:dyDescent="0.25">
      <c r="A1787" s="5" t="s">
        <v>4753</v>
      </c>
      <c r="B1787" s="5" t="s">
        <v>4754</v>
      </c>
      <c r="C1787" t="s">
        <v>3548</v>
      </c>
      <c r="D1787" t="s">
        <v>3782</v>
      </c>
      <c r="E1787" t="s">
        <v>4363</v>
      </c>
      <c r="F1787" t="s">
        <v>3584</v>
      </c>
      <c r="G1787" t="s">
        <v>4417</v>
      </c>
      <c r="I1787" t="s">
        <v>3448</v>
      </c>
      <c r="J1787" t="s">
        <v>3783</v>
      </c>
      <c r="K1787" t="s">
        <v>4363</v>
      </c>
      <c r="L1787">
        <v>25</v>
      </c>
      <c r="M1787">
        <v>4</v>
      </c>
      <c r="N1787" t="s">
        <v>3585</v>
      </c>
      <c r="O1787" t="s">
        <v>4418</v>
      </c>
      <c r="P1787">
        <v>4</v>
      </c>
      <c r="Q1787">
        <v>1</v>
      </c>
      <c r="S1787">
        <v>75</v>
      </c>
      <c r="T1787">
        <v>75</v>
      </c>
      <c r="U1787">
        <v>75</v>
      </c>
    </row>
    <row r="1788" spans="1:21" x14ac:dyDescent="0.25">
      <c r="A1788" s="5" t="s">
        <v>4759</v>
      </c>
      <c r="B1788" s="5" t="s">
        <v>4760</v>
      </c>
      <c r="C1788" t="s">
        <v>3548</v>
      </c>
      <c r="D1788" t="s">
        <v>3782</v>
      </c>
      <c r="E1788" t="s">
        <v>4363</v>
      </c>
      <c r="F1788" t="s">
        <v>4390</v>
      </c>
      <c r="G1788" t="s">
        <v>4417</v>
      </c>
      <c r="I1788" t="s">
        <v>3448</v>
      </c>
      <c r="J1788" t="s">
        <v>3783</v>
      </c>
      <c r="K1788" t="s">
        <v>4363</v>
      </c>
      <c r="L1788">
        <v>25</v>
      </c>
      <c r="M1788">
        <v>4</v>
      </c>
      <c r="N1788" t="s">
        <v>4391</v>
      </c>
      <c r="O1788" t="s">
        <v>4418</v>
      </c>
      <c r="P1788">
        <v>4</v>
      </c>
      <c r="Q1788">
        <v>1</v>
      </c>
      <c r="S1788">
        <v>74</v>
      </c>
      <c r="T1788">
        <v>74</v>
      </c>
      <c r="U1788">
        <v>74</v>
      </c>
    </row>
    <row r="1789" spans="1:21" x14ac:dyDescent="0.25">
      <c r="A1789" s="5" t="s">
        <v>4765</v>
      </c>
      <c r="B1789" s="5" t="s">
        <v>4766</v>
      </c>
      <c r="C1789" t="s">
        <v>3548</v>
      </c>
      <c r="D1789" t="s">
        <v>3782</v>
      </c>
      <c r="E1789" t="s">
        <v>4363</v>
      </c>
      <c r="F1789" t="s">
        <v>4004</v>
      </c>
      <c r="G1789" t="s">
        <v>4417</v>
      </c>
      <c r="I1789" t="s">
        <v>3448</v>
      </c>
      <c r="J1789" t="s">
        <v>3783</v>
      </c>
      <c r="K1789" t="s">
        <v>4363</v>
      </c>
      <c r="L1789">
        <v>25</v>
      </c>
      <c r="M1789">
        <v>4</v>
      </c>
      <c r="N1789" t="s">
        <v>4005</v>
      </c>
      <c r="O1789" t="s">
        <v>4418</v>
      </c>
      <c r="P1789">
        <v>4</v>
      </c>
      <c r="Q1789">
        <v>1</v>
      </c>
      <c r="S1789">
        <v>76</v>
      </c>
      <c r="T1789">
        <v>76</v>
      </c>
      <c r="U1789">
        <v>76</v>
      </c>
    </row>
    <row r="1790" spans="1:21" x14ac:dyDescent="0.25">
      <c r="A1790" s="5" t="s">
        <v>4783</v>
      </c>
      <c r="B1790" s="5" t="s">
        <v>4784</v>
      </c>
      <c r="C1790" t="s">
        <v>3548</v>
      </c>
      <c r="D1790" t="s">
        <v>3782</v>
      </c>
      <c r="E1790" t="s">
        <v>4363</v>
      </c>
      <c r="F1790" t="s">
        <v>4004</v>
      </c>
      <c r="G1790" t="s">
        <v>4417</v>
      </c>
      <c r="I1790" t="s">
        <v>3448</v>
      </c>
      <c r="J1790" t="s">
        <v>3783</v>
      </c>
      <c r="K1790" t="s">
        <v>4363</v>
      </c>
      <c r="L1790">
        <v>25</v>
      </c>
      <c r="M1790">
        <v>1</v>
      </c>
      <c r="N1790" t="s">
        <v>4005</v>
      </c>
      <c r="O1790" t="s">
        <v>4418</v>
      </c>
      <c r="P1790">
        <v>4</v>
      </c>
      <c r="Q1790">
        <v>1</v>
      </c>
      <c r="S1790">
        <v>21</v>
      </c>
      <c r="T1790">
        <v>21</v>
      </c>
      <c r="U1790">
        <v>21</v>
      </c>
    </row>
    <row r="1791" spans="1:21" x14ac:dyDescent="0.25">
      <c r="A1791" s="5" t="s">
        <v>4799</v>
      </c>
      <c r="B1791" s="5" t="s">
        <v>4800</v>
      </c>
      <c r="C1791" t="s">
        <v>3548</v>
      </c>
      <c r="D1791" t="s">
        <v>3782</v>
      </c>
      <c r="E1791" t="s">
        <v>4363</v>
      </c>
      <c r="F1791" t="s">
        <v>4004</v>
      </c>
      <c r="G1791" t="s">
        <v>4417</v>
      </c>
      <c r="I1791" t="s">
        <v>3448</v>
      </c>
      <c r="J1791" t="s">
        <v>3783</v>
      </c>
      <c r="K1791" t="s">
        <v>4363</v>
      </c>
      <c r="L1791">
        <v>25</v>
      </c>
      <c r="M1791">
        <v>6</v>
      </c>
      <c r="N1791" t="s">
        <v>4005</v>
      </c>
      <c r="O1791" t="s">
        <v>4418</v>
      </c>
      <c r="P1791">
        <v>4</v>
      </c>
      <c r="Q1791">
        <v>2</v>
      </c>
      <c r="S1791">
        <v>113</v>
      </c>
      <c r="T1791">
        <v>113</v>
      </c>
      <c r="U1791">
        <v>113</v>
      </c>
    </row>
    <row r="1792" spans="1:21" x14ac:dyDescent="0.25">
      <c r="A1792" s="5" t="s">
        <v>4807</v>
      </c>
      <c r="B1792" s="5" t="s">
        <v>4808</v>
      </c>
      <c r="C1792" t="s">
        <v>3548</v>
      </c>
      <c r="D1792" t="s">
        <v>3782</v>
      </c>
      <c r="E1792" t="s">
        <v>4363</v>
      </c>
      <c r="F1792" t="s">
        <v>4004</v>
      </c>
      <c r="G1792" t="s">
        <v>4417</v>
      </c>
      <c r="I1792" t="s">
        <v>3448</v>
      </c>
      <c r="J1792" t="s">
        <v>3783</v>
      </c>
      <c r="K1792" t="s">
        <v>4363</v>
      </c>
      <c r="L1792">
        <v>25</v>
      </c>
      <c r="M1792">
        <v>6</v>
      </c>
      <c r="N1792" t="s">
        <v>4005</v>
      </c>
      <c r="O1792" t="s">
        <v>4418</v>
      </c>
      <c r="P1792">
        <v>4</v>
      </c>
      <c r="Q1792">
        <v>1</v>
      </c>
      <c r="S1792">
        <v>113</v>
      </c>
      <c r="T1792">
        <v>113</v>
      </c>
      <c r="U1792">
        <v>113</v>
      </c>
    </row>
    <row r="1793" spans="1:21" x14ac:dyDescent="0.25">
      <c r="A1793" s="5" t="s">
        <v>5969</v>
      </c>
      <c r="B1793" s="5" t="s">
        <v>5970</v>
      </c>
      <c r="C1793" t="s">
        <v>3548</v>
      </c>
      <c r="D1793" t="s">
        <v>5817</v>
      </c>
      <c r="E1793" t="s">
        <v>4363</v>
      </c>
      <c r="F1793" t="s">
        <v>3584</v>
      </c>
      <c r="G1793" t="s">
        <v>3493</v>
      </c>
      <c r="H1793" t="s">
        <v>3838</v>
      </c>
      <c r="I1793" t="s">
        <v>3448</v>
      </c>
      <c r="J1793" t="s">
        <v>5818</v>
      </c>
      <c r="K1793" t="s">
        <v>4363</v>
      </c>
      <c r="L1793">
        <v>25</v>
      </c>
      <c r="M1793">
        <v>2</v>
      </c>
      <c r="N1793" t="s">
        <v>3585</v>
      </c>
      <c r="O1793" t="s">
        <v>3494</v>
      </c>
      <c r="P1793">
        <v>2</v>
      </c>
      <c r="Q1793">
        <v>1</v>
      </c>
      <c r="R1793" t="s">
        <v>3839</v>
      </c>
      <c r="S1793">
        <v>43</v>
      </c>
      <c r="T1793">
        <v>43</v>
      </c>
      <c r="U1793">
        <v>43</v>
      </c>
    </row>
    <row r="1794" spans="1:21" x14ac:dyDescent="0.25">
      <c r="A1794" s="5" t="s">
        <v>4813</v>
      </c>
      <c r="B1794" s="5" t="s">
        <v>4814</v>
      </c>
      <c r="C1794" t="s">
        <v>3548</v>
      </c>
      <c r="D1794" t="s">
        <v>3782</v>
      </c>
      <c r="E1794" t="s">
        <v>4363</v>
      </c>
      <c r="F1794" t="s">
        <v>4004</v>
      </c>
      <c r="G1794" t="s">
        <v>4417</v>
      </c>
      <c r="I1794" t="s">
        <v>3448</v>
      </c>
      <c r="J1794" t="s">
        <v>3783</v>
      </c>
      <c r="K1794" t="s">
        <v>4363</v>
      </c>
      <c r="L1794">
        <v>25</v>
      </c>
      <c r="M1794">
        <v>8</v>
      </c>
      <c r="N1794" t="s">
        <v>4005</v>
      </c>
      <c r="O1794" t="s">
        <v>4418</v>
      </c>
      <c r="P1794">
        <v>4</v>
      </c>
      <c r="Q1794">
        <v>2</v>
      </c>
      <c r="S1794">
        <v>148</v>
      </c>
      <c r="T1794">
        <v>148</v>
      </c>
      <c r="U1794">
        <v>148</v>
      </c>
    </row>
    <row r="1795" spans="1:21" x14ac:dyDescent="0.25">
      <c r="A1795" s="5" t="s">
        <v>4819</v>
      </c>
      <c r="B1795" s="5" t="s">
        <v>4820</v>
      </c>
      <c r="C1795" t="s">
        <v>3548</v>
      </c>
      <c r="D1795" t="s">
        <v>3782</v>
      </c>
      <c r="E1795" t="s">
        <v>4363</v>
      </c>
      <c r="F1795" t="s">
        <v>4004</v>
      </c>
      <c r="G1795" t="s">
        <v>4417</v>
      </c>
      <c r="I1795" t="s">
        <v>3448</v>
      </c>
      <c r="J1795" t="s">
        <v>3783</v>
      </c>
      <c r="K1795" t="s">
        <v>4363</v>
      </c>
      <c r="L1795">
        <v>28</v>
      </c>
      <c r="M1795">
        <v>10</v>
      </c>
      <c r="N1795" t="s">
        <v>4005</v>
      </c>
      <c r="O1795" t="s">
        <v>4418</v>
      </c>
      <c r="P1795">
        <v>4</v>
      </c>
      <c r="Q1795">
        <v>3</v>
      </c>
      <c r="S1795">
        <v>199</v>
      </c>
      <c r="T1795">
        <v>199</v>
      </c>
      <c r="U1795">
        <v>199</v>
      </c>
    </row>
    <row r="1796" spans="1:21" x14ac:dyDescent="0.25">
      <c r="A1796" s="5" t="s">
        <v>4825</v>
      </c>
      <c r="B1796" s="5" t="s">
        <v>4826</v>
      </c>
      <c r="C1796" t="s">
        <v>3548</v>
      </c>
      <c r="D1796" t="s">
        <v>3782</v>
      </c>
      <c r="E1796" t="s">
        <v>4363</v>
      </c>
      <c r="F1796" t="s">
        <v>4004</v>
      </c>
      <c r="G1796" t="s">
        <v>4417</v>
      </c>
      <c r="I1796" t="s">
        <v>3448</v>
      </c>
      <c r="J1796" t="s">
        <v>3783</v>
      </c>
      <c r="K1796" t="s">
        <v>4363</v>
      </c>
      <c r="L1796">
        <v>28</v>
      </c>
      <c r="M1796">
        <v>12</v>
      </c>
      <c r="N1796" t="s">
        <v>4005</v>
      </c>
      <c r="O1796" t="s">
        <v>4418</v>
      </c>
      <c r="P1796">
        <v>4</v>
      </c>
      <c r="Q1796">
        <v>3</v>
      </c>
      <c r="S1796">
        <v>238</v>
      </c>
      <c r="T1796">
        <v>238</v>
      </c>
      <c r="U1796">
        <v>238</v>
      </c>
    </row>
    <row r="1797" spans="1:21" x14ac:dyDescent="0.25">
      <c r="A1797" s="5" t="s">
        <v>5983</v>
      </c>
      <c r="B1797" s="5" t="s">
        <v>5984</v>
      </c>
      <c r="C1797" t="s">
        <v>3548</v>
      </c>
      <c r="D1797" t="s">
        <v>5817</v>
      </c>
      <c r="E1797" t="s">
        <v>4363</v>
      </c>
      <c r="F1797" t="s">
        <v>4004</v>
      </c>
      <c r="G1797" t="s">
        <v>3493</v>
      </c>
      <c r="H1797" t="s">
        <v>3838</v>
      </c>
      <c r="I1797" t="s">
        <v>3448</v>
      </c>
      <c r="J1797" t="s">
        <v>5818</v>
      </c>
      <c r="K1797" t="s">
        <v>4363</v>
      </c>
      <c r="L1797">
        <v>25</v>
      </c>
      <c r="M1797">
        <v>2</v>
      </c>
      <c r="N1797" t="s">
        <v>4005</v>
      </c>
      <c r="O1797" t="s">
        <v>3494</v>
      </c>
      <c r="P1797">
        <v>2</v>
      </c>
      <c r="Q1797">
        <v>1</v>
      </c>
      <c r="R1797" t="s">
        <v>3839</v>
      </c>
      <c r="S1797">
        <v>45</v>
      </c>
      <c r="T1797">
        <v>45</v>
      </c>
      <c r="U1797">
        <v>45</v>
      </c>
    </row>
    <row r="1798" spans="1:21" x14ac:dyDescent="0.25">
      <c r="A1798" s="5" t="s">
        <v>5985</v>
      </c>
      <c r="B1798" s="5" t="s">
        <v>5986</v>
      </c>
      <c r="C1798" t="s">
        <v>3548</v>
      </c>
      <c r="D1798" t="s">
        <v>5817</v>
      </c>
      <c r="E1798" t="s">
        <v>4363</v>
      </c>
      <c r="F1798" t="s">
        <v>4004</v>
      </c>
      <c r="G1798" t="s">
        <v>3493</v>
      </c>
      <c r="H1798" t="s">
        <v>3816</v>
      </c>
      <c r="I1798" t="s">
        <v>3448</v>
      </c>
      <c r="J1798" t="s">
        <v>5818</v>
      </c>
      <c r="K1798" t="s">
        <v>4363</v>
      </c>
      <c r="L1798">
        <v>25</v>
      </c>
      <c r="M1798">
        <v>2</v>
      </c>
      <c r="N1798" t="s">
        <v>4005</v>
      </c>
      <c r="O1798" t="s">
        <v>3494</v>
      </c>
      <c r="P1798">
        <v>2</v>
      </c>
      <c r="Q1798">
        <v>1</v>
      </c>
      <c r="R1798" t="s">
        <v>3817</v>
      </c>
      <c r="S1798">
        <v>43</v>
      </c>
      <c r="T1798">
        <v>43</v>
      </c>
      <c r="U1798">
        <v>43</v>
      </c>
    </row>
    <row r="1799" spans="1:21" x14ac:dyDescent="0.25">
      <c r="A1799" s="5" t="s">
        <v>5987</v>
      </c>
      <c r="B1799" s="5" t="s">
        <v>5988</v>
      </c>
      <c r="C1799" t="s">
        <v>3548</v>
      </c>
      <c r="D1799" t="s">
        <v>5817</v>
      </c>
      <c r="E1799" t="s">
        <v>4363</v>
      </c>
      <c r="F1799" t="s">
        <v>4004</v>
      </c>
      <c r="G1799" t="s">
        <v>3826</v>
      </c>
      <c r="H1799" t="s">
        <v>3838</v>
      </c>
      <c r="I1799" t="s">
        <v>3448</v>
      </c>
      <c r="J1799" t="s">
        <v>5818</v>
      </c>
      <c r="K1799" t="s">
        <v>4363</v>
      </c>
      <c r="L1799">
        <v>25</v>
      </c>
      <c r="M1799">
        <v>2</v>
      </c>
      <c r="N1799" t="s">
        <v>4005</v>
      </c>
      <c r="O1799" t="s">
        <v>3827</v>
      </c>
      <c r="P1799">
        <v>2</v>
      </c>
      <c r="Q1799">
        <v>1</v>
      </c>
      <c r="R1799" t="s">
        <v>3839</v>
      </c>
      <c r="S1799">
        <v>39</v>
      </c>
      <c r="T1799">
        <v>39</v>
      </c>
      <c r="U1799">
        <v>39</v>
      </c>
    </row>
    <row r="1800" spans="1:21" x14ac:dyDescent="0.25">
      <c r="A1800" s="5" t="s">
        <v>4831</v>
      </c>
      <c r="B1800" s="5" t="s">
        <v>4832</v>
      </c>
      <c r="C1800" t="s">
        <v>3548</v>
      </c>
      <c r="D1800" t="s">
        <v>3782</v>
      </c>
      <c r="E1800" t="s">
        <v>4363</v>
      </c>
      <c r="F1800" t="s">
        <v>4004</v>
      </c>
      <c r="G1800" t="s">
        <v>4417</v>
      </c>
      <c r="I1800" t="s">
        <v>3448</v>
      </c>
      <c r="J1800" t="s">
        <v>3783</v>
      </c>
      <c r="K1800" t="s">
        <v>4363</v>
      </c>
      <c r="L1800">
        <v>28</v>
      </c>
      <c r="M1800">
        <v>2</v>
      </c>
      <c r="N1800" t="s">
        <v>4005</v>
      </c>
      <c r="O1800" t="s">
        <v>4418</v>
      </c>
      <c r="P1800">
        <v>3</v>
      </c>
      <c r="Q1800">
        <v>1</v>
      </c>
      <c r="S1800">
        <v>36</v>
      </c>
      <c r="T1800">
        <v>36</v>
      </c>
      <c r="U1800">
        <v>36</v>
      </c>
    </row>
    <row r="1801" spans="1:21" x14ac:dyDescent="0.25">
      <c r="A1801" s="5" t="s">
        <v>4847</v>
      </c>
      <c r="B1801" s="5" t="s">
        <v>4848</v>
      </c>
      <c r="C1801" t="s">
        <v>3548</v>
      </c>
      <c r="D1801" t="s">
        <v>3782</v>
      </c>
      <c r="E1801" t="s">
        <v>4363</v>
      </c>
      <c r="F1801" t="s">
        <v>3584</v>
      </c>
      <c r="G1801" t="s">
        <v>4417</v>
      </c>
      <c r="I1801" t="s">
        <v>3448</v>
      </c>
      <c r="J1801" t="s">
        <v>3783</v>
      </c>
      <c r="K1801" t="s">
        <v>4363</v>
      </c>
      <c r="L1801">
        <v>28</v>
      </c>
      <c r="M1801">
        <v>2</v>
      </c>
      <c r="N1801" t="s">
        <v>3585</v>
      </c>
      <c r="O1801" t="s">
        <v>4418</v>
      </c>
      <c r="P1801">
        <v>4</v>
      </c>
      <c r="Q1801">
        <v>1</v>
      </c>
      <c r="S1801">
        <v>42</v>
      </c>
      <c r="T1801">
        <v>42</v>
      </c>
      <c r="U1801">
        <v>42</v>
      </c>
    </row>
    <row r="1802" spans="1:21" x14ac:dyDescent="0.25">
      <c r="A1802" s="5" t="s">
        <v>5993</v>
      </c>
      <c r="B1802" s="5" t="s">
        <v>5994</v>
      </c>
      <c r="C1802" t="s">
        <v>3548</v>
      </c>
      <c r="D1802" t="s">
        <v>5817</v>
      </c>
      <c r="E1802" t="s">
        <v>4363</v>
      </c>
      <c r="F1802" t="s">
        <v>4004</v>
      </c>
      <c r="G1802" t="s">
        <v>4417</v>
      </c>
      <c r="H1802" t="s">
        <v>3838</v>
      </c>
      <c r="I1802" t="s">
        <v>3448</v>
      </c>
      <c r="J1802" t="s">
        <v>5818</v>
      </c>
      <c r="K1802" t="s">
        <v>4363</v>
      </c>
      <c r="L1802">
        <v>25</v>
      </c>
      <c r="M1802">
        <v>2</v>
      </c>
      <c r="N1802" t="s">
        <v>4005</v>
      </c>
      <c r="O1802" t="s">
        <v>4418</v>
      </c>
      <c r="P1802">
        <v>2</v>
      </c>
      <c r="Q1802">
        <v>1</v>
      </c>
      <c r="R1802" t="s">
        <v>3839</v>
      </c>
      <c r="S1802">
        <v>37</v>
      </c>
      <c r="T1802">
        <v>37</v>
      </c>
      <c r="U1802">
        <v>37</v>
      </c>
    </row>
    <row r="1803" spans="1:21" x14ac:dyDescent="0.25">
      <c r="A1803" s="5" t="s">
        <v>6001</v>
      </c>
      <c r="B1803" s="5" t="s">
        <v>6002</v>
      </c>
      <c r="C1803" t="s">
        <v>3548</v>
      </c>
      <c r="D1803" t="s">
        <v>5817</v>
      </c>
      <c r="E1803" t="s">
        <v>4363</v>
      </c>
      <c r="F1803" t="s">
        <v>4004</v>
      </c>
      <c r="G1803" t="s">
        <v>3493</v>
      </c>
      <c r="H1803" t="s">
        <v>3838</v>
      </c>
      <c r="I1803" t="s">
        <v>3448</v>
      </c>
      <c r="J1803" t="s">
        <v>5818</v>
      </c>
      <c r="K1803" t="s">
        <v>4363</v>
      </c>
      <c r="L1803">
        <v>25</v>
      </c>
      <c r="M1803">
        <v>1</v>
      </c>
      <c r="N1803" t="s">
        <v>4005</v>
      </c>
      <c r="O1803" t="s">
        <v>3494</v>
      </c>
      <c r="P1803">
        <v>2</v>
      </c>
      <c r="Q1803">
        <v>1</v>
      </c>
      <c r="R1803" t="s">
        <v>3839</v>
      </c>
      <c r="S1803">
        <v>22</v>
      </c>
      <c r="T1803">
        <v>22</v>
      </c>
      <c r="U1803">
        <v>22</v>
      </c>
    </row>
    <row r="1804" spans="1:21" x14ac:dyDescent="0.25">
      <c r="A1804" s="5" t="s">
        <v>4861</v>
      </c>
      <c r="B1804" s="5" t="s">
        <v>4862</v>
      </c>
      <c r="C1804" t="s">
        <v>3548</v>
      </c>
      <c r="D1804" t="s">
        <v>3782</v>
      </c>
      <c r="E1804" t="s">
        <v>4363</v>
      </c>
      <c r="F1804" t="s">
        <v>4004</v>
      </c>
      <c r="G1804" t="s">
        <v>4417</v>
      </c>
      <c r="I1804" t="s">
        <v>3448</v>
      </c>
      <c r="J1804" t="s">
        <v>3783</v>
      </c>
      <c r="K1804" t="s">
        <v>4363</v>
      </c>
      <c r="L1804">
        <v>28</v>
      </c>
      <c r="M1804">
        <v>2</v>
      </c>
      <c r="N1804" t="s">
        <v>4005</v>
      </c>
      <c r="O1804" t="s">
        <v>4418</v>
      </c>
      <c r="P1804">
        <v>4</v>
      </c>
      <c r="Q1804">
        <v>1</v>
      </c>
      <c r="S1804">
        <v>41</v>
      </c>
      <c r="T1804">
        <v>41</v>
      </c>
      <c r="U1804">
        <v>41</v>
      </c>
    </row>
    <row r="1805" spans="1:21" x14ac:dyDescent="0.25">
      <c r="A1805" s="5" t="s">
        <v>4869</v>
      </c>
      <c r="B1805" s="5" t="s">
        <v>4870</v>
      </c>
      <c r="C1805" t="s">
        <v>3548</v>
      </c>
      <c r="D1805" t="s">
        <v>3782</v>
      </c>
      <c r="E1805" t="s">
        <v>4363</v>
      </c>
      <c r="F1805" t="s">
        <v>4004</v>
      </c>
      <c r="G1805" t="s">
        <v>4417</v>
      </c>
      <c r="I1805" t="s">
        <v>3448</v>
      </c>
      <c r="J1805" t="s">
        <v>3783</v>
      </c>
      <c r="K1805" t="s">
        <v>4363</v>
      </c>
      <c r="L1805">
        <v>28</v>
      </c>
      <c r="M1805">
        <v>3</v>
      </c>
      <c r="N1805" t="s">
        <v>4005</v>
      </c>
      <c r="O1805" t="s">
        <v>4418</v>
      </c>
      <c r="P1805">
        <v>3</v>
      </c>
      <c r="Q1805">
        <v>1</v>
      </c>
      <c r="S1805">
        <v>56</v>
      </c>
      <c r="T1805">
        <v>56</v>
      </c>
      <c r="U1805">
        <v>56</v>
      </c>
    </row>
    <row r="1806" spans="1:21" x14ac:dyDescent="0.25">
      <c r="A1806" s="5" t="s">
        <v>6007</v>
      </c>
      <c r="B1806" s="5" t="s">
        <v>6008</v>
      </c>
      <c r="C1806" t="s">
        <v>3548</v>
      </c>
      <c r="D1806" t="s">
        <v>5817</v>
      </c>
      <c r="E1806" t="s">
        <v>4363</v>
      </c>
      <c r="F1806" t="s">
        <v>4004</v>
      </c>
      <c r="G1806" t="s">
        <v>4417</v>
      </c>
      <c r="H1806" t="s">
        <v>3838</v>
      </c>
      <c r="I1806" t="s">
        <v>3448</v>
      </c>
      <c r="J1806" t="s">
        <v>5818</v>
      </c>
      <c r="K1806" t="s">
        <v>4363</v>
      </c>
      <c r="L1806">
        <v>25</v>
      </c>
      <c r="M1806">
        <v>1</v>
      </c>
      <c r="N1806" t="s">
        <v>4005</v>
      </c>
      <c r="O1806" t="s">
        <v>4418</v>
      </c>
      <c r="P1806">
        <v>2</v>
      </c>
      <c r="Q1806">
        <v>1</v>
      </c>
      <c r="R1806" t="s">
        <v>3839</v>
      </c>
      <c r="S1806">
        <v>19</v>
      </c>
      <c r="T1806">
        <v>19</v>
      </c>
      <c r="U1806">
        <v>19</v>
      </c>
    </row>
    <row r="1807" spans="1:21" x14ac:dyDescent="0.25">
      <c r="A1807" s="5" t="s">
        <v>4879</v>
      </c>
      <c r="B1807" s="5" t="s">
        <v>4880</v>
      </c>
      <c r="C1807" t="s">
        <v>3548</v>
      </c>
      <c r="D1807" t="s">
        <v>3782</v>
      </c>
      <c r="E1807" t="s">
        <v>4363</v>
      </c>
      <c r="F1807" t="s">
        <v>3584</v>
      </c>
      <c r="G1807" t="s">
        <v>4417</v>
      </c>
      <c r="I1807" t="s">
        <v>3448</v>
      </c>
      <c r="J1807" t="s">
        <v>3783</v>
      </c>
      <c r="K1807" t="s">
        <v>4363</v>
      </c>
      <c r="L1807">
        <v>28</v>
      </c>
      <c r="M1807">
        <v>3</v>
      </c>
      <c r="N1807" t="s">
        <v>3585</v>
      </c>
      <c r="O1807" t="s">
        <v>4418</v>
      </c>
      <c r="P1807">
        <v>4</v>
      </c>
      <c r="Q1807">
        <v>1</v>
      </c>
      <c r="S1807">
        <v>63</v>
      </c>
      <c r="T1807">
        <v>63</v>
      </c>
      <c r="U1807">
        <v>63</v>
      </c>
    </row>
    <row r="1808" spans="1:21" x14ac:dyDescent="0.25">
      <c r="A1808" s="5" t="s">
        <v>4887</v>
      </c>
      <c r="B1808" s="5" t="s">
        <v>4888</v>
      </c>
      <c r="C1808" t="s">
        <v>3548</v>
      </c>
      <c r="D1808" t="s">
        <v>3782</v>
      </c>
      <c r="E1808" t="s">
        <v>4363</v>
      </c>
      <c r="F1808" t="s">
        <v>4004</v>
      </c>
      <c r="G1808" t="s">
        <v>4417</v>
      </c>
      <c r="I1808" t="s">
        <v>3448</v>
      </c>
      <c r="J1808" t="s">
        <v>3783</v>
      </c>
      <c r="K1808" t="s">
        <v>4363</v>
      </c>
      <c r="L1808">
        <v>28</v>
      </c>
      <c r="M1808">
        <v>3</v>
      </c>
      <c r="N1808" t="s">
        <v>4005</v>
      </c>
      <c r="O1808" t="s">
        <v>4418</v>
      </c>
      <c r="P1808">
        <v>4</v>
      </c>
      <c r="Q1808">
        <v>1</v>
      </c>
      <c r="S1808">
        <v>61</v>
      </c>
      <c r="T1808">
        <v>61</v>
      </c>
      <c r="U1808">
        <v>61</v>
      </c>
    </row>
    <row r="1809" spans="1:21" x14ac:dyDescent="0.25">
      <c r="A1809" s="5" t="s">
        <v>4893</v>
      </c>
      <c r="B1809" s="5" t="s">
        <v>4894</v>
      </c>
      <c r="C1809" t="s">
        <v>3548</v>
      </c>
      <c r="D1809" t="s">
        <v>3782</v>
      </c>
      <c r="E1809" t="s">
        <v>4363</v>
      </c>
      <c r="F1809" t="s">
        <v>4004</v>
      </c>
      <c r="G1809" t="s">
        <v>4417</v>
      </c>
      <c r="I1809" t="s">
        <v>3448</v>
      </c>
      <c r="J1809" t="s">
        <v>3783</v>
      </c>
      <c r="K1809" t="s">
        <v>4363</v>
      </c>
      <c r="L1809">
        <v>28</v>
      </c>
      <c r="M1809">
        <v>1</v>
      </c>
      <c r="N1809" t="s">
        <v>4005</v>
      </c>
      <c r="O1809" t="s">
        <v>4418</v>
      </c>
      <c r="P1809">
        <v>3</v>
      </c>
      <c r="Q1809">
        <v>1</v>
      </c>
      <c r="S1809">
        <v>20</v>
      </c>
      <c r="T1809">
        <v>20</v>
      </c>
      <c r="U1809">
        <v>20</v>
      </c>
    </row>
    <row r="1810" spans="1:21" x14ac:dyDescent="0.25">
      <c r="A1810" s="5" t="s">
        <v>4917</v>
      </c>
      <c r="B1810" s="5" t="s">
        <v>4918</v>
      </c>
      <c r="C1810" t="s">
        <v>3548</v>
      </c>
      <c r="D1810" t="s">
        <v>3782</v>
      </c>
      <c r="E1810" t="s">
        <v>4363</v>
      </c>
      <c r="F1810" t="s">
        <v>4004</v>
      </c>
      <c r="G1810" t="s">
        <v>4417</v>
      </c>
      <c r="I1810" t="s">
        <v>3448</v>
      </c>
      <c r="J1810" t="s">
        <v>3783</v>
      </c>
      <c r="K1810" t="s">
        <v>4363</v>
      </c>
      <c r="L1810">
        <v>28</v>
      </c>
      <c r="M1810">
        <v>4</v>
      </c>
      <c r="N1810" t="s">
        <v>4005</v>
      </c>
      <c r="O1810" t="s">
        <v>4418</v>
      </c>
      <c r="P1810">
        <v>3</v>
      </c>
      <c r="Q1810">
        <v>1</v>
      </c>
      <c r="S1810">
        <v>76</v>
      </c>
      <c r="T1810">
        <v>76</v>
      </c>
      <c r="U1810">
        <v>76</v>
      </c>
    </row>
    <row r="1811" spans="1:21" x14ac:dyDescent="0.25">
      <c r="A1811" s="5" t="s">
        <v>4919</v>
      </c>
      <c r="B1811" s="5" t="s">
        <v>4920</v>
      </c>
      <c r="C1811" t="s">
        <v>3548</v>
      </c>
      <c r="D1811" t="s">
        <v>3782</v>
      </c>
      <c r="E1811" t="s">
        <v>4363</v>
      </c>
      <c r="F1811" t="s">
        <v>3584</v>
      </c>
      <c r="G1811" t="s">
        <v>4417</v>
      </c>
      <c r="I1811" t="s">
        <v>3448</v>
      </c>
      <c r="J1811" t="s">
        <v>3783</v>
      </c>
      <c r="K1811" t="s">
        <v>4363</v>
      </c>
      <c r="L1811">
        <v>28</v>
      </c>
      <c r="M1811">
        <v>4</v>
      </c>
      <c r="N1811" t="s">
        <v>3585</v>
      </c>
      <c r="O1811" t="s">
        <v>4418</v>
      </c>
      <c r="P1811">
        <v>4</v>
      </c>
      <c r="Q1811">
        <v>2</v>
      </c>
      <c r="S1811">
        <v>83</v>
      </c>
      <c r="T1811">
        <v>83</v>
      </c>
      <c r="U1811">
        <v>83</v>
      </c>
    </row>
    <row r="1812" spans="1:21" x14ac:dyDescent="0.25">
      <c r="A1812" s="5" t="s">
        <v>4929</v>
      </c>
      <c r="B1812" s="5" t="s">
        <v>4930</v>
      </c>
      <c r="C1812" t="s">
        <v>3548</v>
      </c>
      <c r="D1812" t="s">
        <v>3782</v>
      </c>
      <c r="E1812" t="s">
        <v>4363</v>
      </c>
      <c r="F1812" t="s">
        <v>3584</v>
      </c>
      <c r="G1812" t="s">
        <v>4417</v>
      </c>
      <c r="I1812" t="s">
        <v>3448</v>
      </c>
      <c r="J1812" t="s">
        <v>3783</v>
      </c>
      <c r="K1812" t="s">
        <v>4363</v>
      </c>
      <c r="L1812">
        <v>28</v>
      </c>
      <c r="M1812">
        <v>4</v>
      </c>
      <c r="N1812" t="s">
        <v>3585</v>
      </c>
      <c r="O1812" t="s">
        <v>4418</v>
      </c>
      <c r="P1812">
        <v>4</v>
      </c>
      <c r="Q1812">
        <v>1</v>
      </c>
      <c r="S1812">
        <v>81</v>
      </c>
      <c r="T1812">
        <v>81</v>
      </c>
      <c r="U1812">
        <v>81</v>
      </c>
    </row>
    <row r="1813" spans="1:21" x14ac:dyDescent="0.25">
      <c r="A1813" s="5" t="s">
        <v>4939</v>
      </c>
      <c r="B1813" s="5" t="s">
        <v>4940</v>
      </c>
      <c r="C1813" t="s">
        <v>3548</v>
      </c>
      <c r="D1813" t="s">
        <v>3782</v>
      </c>
      <c r="E1813" t="s">
        <v>4363</v>
      </c>
      <c r="F1813" t="s">
        <v>4004</v>
      </c>
      <c r="G1813" t="s">
        <v>4417</v>
      </c>
      <c r="I1813" t="s">
        <v>3448</v>
      </c>
      <c r="J1813" t="s">
        <v>3783</v>
      </c>
      <c r="K1813" t="s">
        <v>4363</v>
      </c>
      <c r="L1813">
        <v>28</v>
      </c>
      <c r="M1813">
        <v>4</v>
      </c>
      <c r="N1813" t="s">
        <v>4005</v>
      </c>
      <c r="O1813" t="s">
        <v>4418</v>
      </c>
      <c r="P1813">
        <v>4</v>
      </c>
      <c r="Q1813">
        <v>1</v>
      </c>
      <c r="S1813">
        <v>79</v>
      </c>
      <c r="T1813">
        <v>79</v>
      </c>
      <c r="U1813">
        <v>79</v>
      </c>
    </row>
    <row r="1814" spans="1:21" x14ac:dyDescent="0.25">
      <c r="A1814" s="5" t="s">
        <v>4957</v>
      </c>
      <c r="B1814" s="5" t="s">
        <v>4958</v>
      </c>
      <c r="C1814" t="s">
        <v>3548</v>
      </c>
      <c r="D1814" t="s">
        <v>3782</v>
      </c>
      <c r="E1814" t="s">
        <v>4363</v>
      </c>
      <c r="F1814" t="s">
        <v>4004</v>
      </c>
      <c r="G1814" t="s">
        <v>4417</v>
      </c>
      <c r="I1814" t="s">
        <v>3448</v>
      </c>
      <c r="J1814" t="s">
        <v>3783</v>
      </c>
      <c r="K1814" t="s">
        <v>4363</v>
      </c>
      <c r="L1814">
        <v>28</v>
      </c>
      <c r="M1814">
        <v>1</v>
      </c>
      <c r="N1814" t="s">
        <v>4005</v>
      </c>
      <c r="O1814" t="s">
        <v>4418</v>
      </c>
      <c r="P1814">
        <v>4</v>
      </c>
      <c r="Q1814">
        <v>1</v>
      </c>
      <c r="S1814">
        <v>22</v>
      </c>
      <c r="T1814">
        <v>22</v>
      </c>
      <c r="U1814">
        <v>22</v>
      </c>
    </row>
    <row r="1815" spans="1:21" x14ac:dyDescent="0.25">
      <c r="A1815" s="5" t="s">
        <v>4969</v>
      </c>
      <c r="B1815" s="5" t="s">
        <v>4970</v>
      </c>
      <c r="C1815" t="s">
        <v>3548</v>
      </c>
      <c r="D1815" t="s">
        <v>3782</v>
      </c>
      <c r="E1815" t="s">
        <v>4363</v>
      </c>
      <c r="F1815" t="s">
        <v>4004</v>
      </c>
      <c r="G1815" t="s">
        <v>4417</v>
      </c>
      <c r="I1815" t="s">
        <v>3448</v>
      </c>
      <c r="J1815" t="s">
        <v>3783</v>
      </c>
      <c r="K1815" t="s">
        <v>4363</v>
      </c>
      <c r="L1815">
        <v>28</v>
      </c>
      <c r="M1815">
        <v>6</v>
      </c>
      <c r="N1815" t="s">
        <v>4005</v>
      </c>
      <c r="O1815" t="s">
        <v>4418</v>
      </c>
      <c r="P1815">
        <v>4</v>
      </c>
      <c r="Q1815">
        <v>2</v>
      </c>
      <c r="S1815">
        <v>122</v>
      </c>
      <c r="T1815">
        <v>122</v>
      </c>
      <c r="U1815">
        <v>122</v>
      </c>
    </row>
    <row r="1816" spans="1:21" x14ac:dyDescent="0.25">
      <c r="A1816" s="5" t="s">
        <v>4977</v>
      </c>
      <c r="B1816" s="5" t="s">
        <v>4978</v>
      </c>
      <c r="C1816" t="s">
        <v>3548</v>
      </c>
      <c r="D1816" t="s">
        <v>3782</v>
      </c>
      <c r="E1816" t="s">
        <v>4363</v>
      </c>
      <c r="F1816" t="s">
        <v>4004</v>
      </c>
      <c r="G1816" t="s">
        <v>4417</v>
      </c>
      <c r="I1816" t="s">
        <v>3448</v>
      </c>
      <c r="J1816" t="s">
        <v>3783</v>
      </c>
      <c r="K1816" t="s">
        <v>4363</v>
      </c>
      <c r="L1816">
        <v>28</v>
      </c>
      <c r="M1816">
        <v>6</v>
      </c>
      <c r="N1816" t="s">
        <v>4005</v>
      </c>
      <c r="O1816" t="s">
        <v>4418</v>
      </c>
      <c r="P1816">
        <v>4</v>
      </c>
      <c r="Q1816">
        <v>1</v>
      </c>
      <c r="S1816">
        <v>122</v>
      </c>
      <c r="T1816">
        <v>122</v>
      </c>
      <c r="U1816">
        <v>122</v>
      </c>
    </row>
    <row r="1817" spans="1:21" x14ac:dyDescent="0.25">
      <c r="A1817" s="5" t="s">
        <v>4983</v>
      </c>
      <c r="B1817" s="5" t="s">
        <v>4984</v>
      </c>
      <c r="C1817" t="s">
        <v>3548</v>
      </c>
      <c r="D1817" t="s">
        <v>3782</v>
      </c>
      <c r="E1817" t="s">
        <v>4363</v>
      </c>
      <c r="F1817" t="s">
        <v>4004</v>
      </c>
      <c r="G1817" t="s">
        <v>4417</v>
      </c>
      <c r="I1817" t="s">
        <v>3448</v>
      </c>
      <c r="J1817" t="s">
        <v>3783</v>
      </c>
      <c r="K1817" t="s">
        <v>4363</v>
      </c>
      <c r="L1817">
        <v>28</v>
      </c>
      <c r="M1817">
        <v>8</v>
      </c>
      <c r="N1817" t="s">
        <v>4005</v>
      </c>
      <c r="O1817" t="s">
        <v>4418</v>
      </c>
      <c r="P1817">
        <v>4</v>
      </c>
      <c r="Q1817">
        <v>2</v>
      </c>
      <c r="S1817">
        <v>158</v>
      </c>
      <c r="T1817">
        <v>158</v>
      </c>
      <c r="U1817">
        <v>158</v>
      </c>
    </row>
    <row r="1818" spans="1:21" x14ac:dyDescent="0.25">
      <c r="A1818" s="5" t="s">
        <v>4989</v>
      </c>
      <c r="B1818" s="5" t="s">
        <v>4990</v>
      </c>
      <c r="C1818" t="s">
        <v>3548</v>
      </c>
      <c r="D1818" t="s">
        <v>3782</v>
      </c>
      <c r="E1818" t="s">
        <v>4363</v>
      </c>
      <c r="F1818" t="s">
        <v>4004</v>
      </c>
      <c r="G1818" t="s">
        <v>4417</v>
      </c>
      <c r="I1818" t="s">
        <v>3448</v>
      </c>
      <c r="J1818" t="s">
        <v>3783</v>
      </c>
      <c r="K1818" t="s">
        <v>4363</v>
      </c>
      <c r="L1818">
        <v>30</v>
      </c>
      <c r="M1818">
        <v>10</v>
      </c>
      <c r="N1818" t="s">
        <v>4005</v>
      </c>
      <c r="O1818" t="s">
        <v>4418</v>
      </c>
      <c r="P1818">
        <v>4</v>
      </c>
      <c r="Q1818">
        <v>3</v>
      </c>
      <c r="S1818">
        <v>215</v>
      </c>
      <c r="T1818">
        <v>215</v>
      </c>
      <c r="U1818">
        <v>215</v>
      </c>
    </row>
    <row r="1819" spans="1:21" x14ac:dyDescent="0.25">
      <c r="A1819" s="5" t="s">
        <v>4995</v>
      </c>
      <c r="B1819" s="5" t="s">
        <v>4996</v>
      </c>
      <c r="C1819" t="s">
        <v>3548</v>
      </c>
      <c r="D1819" t="s">
        <v>3782</v>
      </c>
      <c r="E1819" t="s">
        <v>4363</v>
      </c>
      <c r="F1819" t="s">
        <v>4004</v>
      </c>
      <c r="G1819" t="s">
        <v>4417</v>
      </c>
      <c r="I1819" t="s">
        <v>3448</v>
      </c>
      <c r="J1819" t="s">
        <v>3783</v>
      </c>
      <c r="K1819" t="s">
        <v>4363</v>
      </c>
      <c r="L1819">
        <v>30</v>
      </c>
      <c r="M1819">
        <v>12</v>
      </c>
      <c r="N1819" t="s">
        <v>4005</v>
      </c>
      <c r="O1819" t="s">
        <v>4418</v>
      </c>
      <c r="P1819">
        <v>4</v>
      </c>
      <c r="Q1819">
        <v>3</v>
      </c>
      <c r="S1819">
        <v>257</v>
      </c>
      <c r="T1819">
        <v>257</v>
      </c>
      <c r="U1819">
        <v>257</v>
      </c>
    </row>
    <row r="1820" spans="1:21" x14ac:dyDescent="0.25">
      <c r="A1820" s="5" t="s">
        <v>5023</v>
      </c>
      <c r="B1820" s="5" t="s">
        <v>5024</v>
      </c>
      <c r="C1820" t="s">
        <v>3548</v>
      </c>
      <c r="D1820" t="s">
        <v>3782</v>
      </c>
      <c r="E1820" t="s">
        <v>4363</v>
      </c>
      <c r="F1820" t="s">
        <v>4004</v>
      </c>
      <c r="G1820" t="s">
        <v>4417</v>
      </c>
      <c r="I1820" t="s">
        <v>3448</v>
      </c>
      <c r="J1820" t="s">
        <v>3783</v>
      </c>
      <c r="K1820" t="s">
        <v>4363</v>
      </c>
      <c r="L1820">
        <v>30</v>
      </c>
      <c r="M1820">
        <v>2</v>
      </c>
      <c r="N1820" t="s">
        <v>4005</v>
      </c>
      <c r="O1820" t="s">
        <v>4418</v>
      </c>
      <c r="P1820">
        <v>4</v>
      </c>
      <c r="Q1820">
        <v>1</v>
      </c>
      <c r="S1820">
        <v>44</v>
      </c>
      <c r="T1820">
        <v>44</v>
      </c>
      <c r="U1820">
        <v>44</v>
      </c>
    </row>
    <row r="1821" spans="1:21" x14ac:dyDescent="0.25">
      <c r="A1821" s="5" t="s">
        <v>5039</v>
      </c>
      <c r="B1821" s="5" t="s">
        <v>5040</v>
      </c>
      <c r="C1821" t="s">
        <v>3548</v>
      </c>
      <c r="D1821" t="s">
        <v>3782</v>
      </c>
      <c r="E1821" t="s">
        <v>4363</v>
      </c>
      <c r="F1821" t="s">
        <v>3584</v>
      </c>
      <c r="G1821" t="s">
        <v>4417</v>
      </c>
      <c r="I1821" t="s">
        <v>3448</v>
      </c>
      <c r="J1821" t="s">
        <v>3783</v>
      </c>
      <c r="K1821" t="s">
        <v>4363</v>
      </c>
      <c r="L1821">
        <v>30</v>
      </c>
      <c r="M1821">
        <v>3</v>
      </c>
      <c r="N1821" t="s">
        <v>3585</v>
      </c>
      <c r="O1821" t="s">
        <v>4418</v>
      </c>
      <c r="P1821">
        <v>4</v>
      </c>
      <c r="Q1821">
        <v>1</v>
      </c>
      <c r="S1821">
        <v>66</v>
      </c>
      <c r="T1821">
        <v>66</v>
      </c>
      <c r="U1821">
        <v>66</v>
      </c>
    </row>
    <row r="1822" spans="1:21" x14ac:dyDescent="0.25">
      <c r="A1822" s="5" t="s">
        <v>5051</v>
      </c>
      <c r="B1822" s="5" t="s">
        <v>5052</v>
      </c>
      <c r="C1822" t="s">
        <v>3548</v>
      </c>
      <c r="D1822" t="s">
        <v>3782</v>
      </c>
      <c r="E1822" t="s">
        <v>4363</v>
      </c>
      <c r="F1822" t="s">
        <v>4004</v>
      </c>
      <c r="G1822" t="s">
        <v>4417</v>
      </c>
      <c r="I1822" t="s">
        <v>3448</v>
      </c>
      <c r="J1822" t="s">
        <v>3783</v>
      </c>
      <c r="K1822" t="s">
        <v>4363</v>
      </c>
      <c r="L1822">
        <v>30</v>
      </c>
      <c r="M1822">
        <v>3</v>
      </c>
      <c r="N1822" t="s">
        <v>4005</v>
      </c>
      <c r="O1822" t="s">
        <v>4418</v>
      </c>
      <c r="P1822">
        <v>4</v>
      </c>
      <c r="Q1822">
        <v>1</v>
      </c>
      <c r="S1822">
        <v>65</v>
      </c>
      <c r="T1822">
        <v>65</v>
      </c>
      <c r="U1822">
        <v>65</v>
      </c>
    </row>
    <row r="1823" spans="1:21" x14ac:dyDescent="0.25">
      <c r="A1823" s="5" t="s">
        <v>5071</v>
      </c>
      <c r="B1823" s="5" t="s">
        <v>5072</v>
      </c>
      <c r="C1823" t="s">
        <v>3548</v>
      </c>
      <c r="D1823" t="s">
        <v>3782</v>
      </c>
      <c r="E1823" t="s">
        <v>4363</v>
      </c>
      <c r="F1823" t="s">
        <v>3584</v>
      </c>
      <c r="G1823" t="s">
        <v>4417</v>
      </c>
      <c r="I1823" t="s">
        <v>3448</v>
      </c>
      <c r="J1823" t="s">
        <v>3783</v>
      </c>
      <c r="K1823" t="s">
        <v>4363</v>
      </c>
      <c r="L1823">
        <v>30</v>
      </c>
      <c r="M1823">
        <v>1</v>
      </c>
      <c r="N1823" t="s">
        <v>3585</v>
      </c>
      <c r="O1823" t="s">
        <v>4418</v>
      </c>
      <c r="P1823">
        <v>4</v>
      </c>
      <c r="Q1823">
        <v>1</v>
      </c>
      <c r="S1823">
        <v>24</v>
      </c>
      <c r="T1823">
        <v>24</v>
      </c>
      <c r="U1823">
        <v>24</v>
      </c>
    </row>
    <row r="1824" spans="1:21" x14ac:dyDescent="0.25">
      <c r="A1824" s="5" t="s">
        <v>5101</v>
      </c>
      <c r="B1824" s="5" t="s">
        <v>5102</v>
      </c>
      <c r="C1824" t="s">
        <v>3548</v>
      </c>
      <c r="D1824" t="s">
        <v>3782</v>
      </c>
      <c r="E1824" t="s">
        <v>4363</v>
      </c>
      <c r="F1824" t="s">
        <v>4004</v>
      </c>
      <c r="G1824" t="s">
        <v>4417</v>
      </c>
      <c r="I1824" t="s">
        <v>3448</v>
      </c>
      <c r="J1824" t="s">
        <v>3783</v>
      </c>
      <c r="K1824" t="s">
        <v>4363</v>
      </c>
      <c r="L1824">
        <v>30</v>
      </c>
      <c r="M1824">
        <v>4</v>
      </c>
      <c r="N1824" t="s">
        <v>4005</v>
      </c>
      <c r="O1824" t="s">
        <v>4418</v>
      </c>
      <c r="P1824">
        <v>4</v>
      </c>
      <c r="Q1824">
        <v>1</v>
      </c>
      <c r="S1824">
        <v>86</v>
      </c>
      <c r="T1824">
        <v>86</v>
      </c>
      <c r="U1824">
        <v>86</v>
      </c>
    </row>
    <row r="1825" spans="1:21" x14ac:dyDescent="0.25">
      <c r="A1825" s="5" t="s">
        <v>5119</v>
      </c>
      <c r="B1825" s="5" t="s">
        <v>5120</v>
      </c>
      <c r="C1825" t="s">
        <v>3548</v>
      </c>
      <c r="D1825" t="s">
        <v>3782</v>
      </c>
      <c r="E1825" t="s">
        <v>4363</v>
      </c>
      <c r="F1825" t="s">
        <v>4004</v>
      </c>
      <c r="G1825" t="s">
        <v>4417</v>
      </c>
      <c r="I1825" t="s">
        <v>3448</v>
      </c>
      <c r="J1825" t="s">
        <v>3783</v>
      </c>
      <c r="K1825" t="s">
        <v>4363</v>
      </c>
      <c r="L1825">
        <v>30</v>
      </c>
      <c r="M1825">
        <v>1</v>
      </c>
      <c r="N1825" t="s">
        <v>4005</v>
      </c>
      <c r="O1825" t="s">
        <v>4418</v>
      </c>
      <c r="P1825">
        <v>4</v>
      </c>
      <c r="Q1825">
        <v>1</v>
      </c>
      <c r="S1825">
        <v>26</v>
      </c>
      <c r="T1825">
        <v>26</v>
      </c>
      <c r="U1825">
        <v>26</v>
      </c>
    </row>
    <row r="1826" spans="1:21" x14ac:dyDescent="0.25">
      <c r="A1826" s="5" t="s">
        <v>6079</v>
      </c>
      <c r="B1826" s="5" t="s">
        <v>6080</v>
      </c>
      <c r="C1826" t="s">
        <v>3548</v>
      </c>
      <c r="D1826" t="s">
        <v>5817</v>
      </c>
      <c r="E1826" t="s">
        <v>4363</v>
      </c>
      <c r="F1826" t="s">
        <v>3584</v>
      </c>
      <c r="G1826" t="s">
        <v>3493</v>
      </c>
      <c r="H1826" t="s">
        <v>3838</v>
      </c>
      <c r="I1826" t="s">
        <v>3448</v>
      </c>
      <c r="J1826" t="s">
        <v>5818</v>
      </c>
      <c r="K1826" t="s">
        <v>4363</v>
      </c>
      <c r="L1826">
        <v>28</v>
      </c>
      <c r="M1826">
        <v>2</v>
      </c>
      <c r="N1826" t="s">
        <v>3585</v>
      </c>
      <c r="O1826" t="s">
        <v>3494</v>
      </c>
      <c r="P1826">
        <v>2</v>
      </c>
      <c r="Q1826">
        <v>1</v>
      </c>
      <c r="R1826" t="s">
        <v>3839</v>
      </c>
      <c r="S1826">
        <v>47</v>
      </c>
      <c r="T1826">
        <v>47</v>
      </c>
      <c r="U1826">
        <v>47</v>
      </c>
    </row>
    <row r="1827" spans="1:21" x14ac:dyDescent="0.25">
      <c r="A1827" s="5" t="s">
        <v>5135</v>
      </c>
      <c r="B1827" s="5" t="s">
        <v>5136</v>
      </c>
      <c r="C1827" t="s">
        <v>3548</v>
      </c>
      <c r="D1827" t="s">
        <v>3782</v>
      </c>
      <c r="E1827" t="s">
        <v>4363</v>
      </c>
      <c r="F1827" t="s">
        <v>4004</v>
      </c>
      <c r="G1827" t="s">
        <v>4417</v>
      </c>
      <c r="I1827" t="s">
        <v>3448</v>
      </c>
      <c r="J1827" t="s">
        <v>3783</v>
      </c>
      <c r="K1827" t="s">
        <v>4363</v>
      </c>
      <c r="L1827">
        <v>30</v>
      </c>
      <c r="M1827">
        <v>6</v>
      </c>
      <c r="N1827" t="s">
        <v>4005</v>
      </c>
      <c r="O1827" t="s">
        <v>4418</v>
      </c>
      <c r="P1827">
        <v>4</v>
      </c>
      <c r="Q1827">
        <v>2</v>
      </c>
      <c r="S1827">
        <v>131</v>
      </c>
      <c r="T1827">
        <v>131</v>
      </c>
      <c r="U1827">
        <v>131</v>
      </c>
    </row>
    <row r="1828" spans="1:21" x14ac:dyDescent="0.25">
      <c r="A1828" s="5" t="s">
        <v>6083</v>
      </c>
      <c r="B1828" s="5" t="s">
        <v>6084</v>
      </c>
      <c r="C1828" t="s">
        <v>3548</v>
      </c>
      <c r="D1828" t="s">
        <v>5817</v>
      </c>
      <c r="E1828" t="s">
        <v>4363</v>
      </c>
      <c r="F1828" t="s">
        <v>3584</v>
      </c>
      <c r="G1828" t="s">
        <v>3826</v>
      </c>
      <c r="H1828" t="s">
        <v>3838</v>
      </c>
      <c r="I1828" t="s">
        <v>3448</v>
      </c>
      <c r="J1828" t="s">
        <v>5818</v>
      </c>
      <c r="K1828" t="s">
        <v>4363</v>
      </c>
      <c r="L1828">
        <v>28</v>
      </c>
      <c r="M1828">
        <v>2</v>
      </c>
      <c r="N1828" t="s">
        <v>3585</v>
      </c>
      <c r="O1828" t="s">
        <v>3827</v>
      </c>
      <c r="P1828">
        <v>2</v>
      </c>
      <c r="Q1828">
        <v>1</v>
      </c>
      <c r="R1828" t="s">
        <v>3839</v>
      </c>
      <c r="S1828">
        <v>41</v>
      </c>
      <c r="T1828">
        <v>41</v>
      </c>
      <c r="U1828">
        <v>41</v>
      </c>
    </row>
    <row r="1829" spans="1:21" x14ac:dyDescent="0.25">
      <c r="A1829" s="5" t="s">
        <v>5143</v>
      </c>
      <c r="B1829" s="5" t="s">
        <v>5144</v>
      </c>
      <c r="C1829" t="s">
        <v>3548</v>
      </c>
      <c r="D1829" t="s">
        <v>3782</v>
      </c>
      <c r="E1829" t="s">
        <v>4363</v>
      </c>
      <c r="F1829" t="s">
        <v>4004</v>
      </c>
      <c r="G1829" t="s">
        <v>4417</v>
      </c>
      <c r="I1829" t="s">
        <v>3448</v>
      </c>
      <c r="J1829" t="s">
        <v>3783</v>
      </c>
      <c r="K1829" t="s">
        <v>4363</v>
      </c>
      <c r="L1829">
        <v>30</v>
      </c>
      <c r="M1829">
        <v>6</v>
      </c>
      <c r="N1829" t="s">
        <v>4005</v>
      </c>
      <c r="O1829" t="s">
        <v>4418</v>
      </c>
      <c r="P1829">
        <v>4</v>
      </c>
      <c r="Q1829">
        <v>1</v>
      </c>
      <c r="S1829">
        <v>131</v>
      </c>
      <c r="T1829">
        <v>131</v>
      </c>
      <c r="U1829">
        <v>131</v>
      </c>
    </row>
    <row r="1830" spans="1:21" x14ac:dyDescent="0.25">
      <c r="A1830" s="5" t="s">
        <v>6089</v>
      </c>
      <c r="B1830" s="5" t="s">
        <v>6090</v>
      </c>
      <c r="C1830" t="s">
        <v>3548</v>
      </c>
      <c r="D1830" t="s">
        <v>5817</v>
      </c>
      <c r="E1830" t="s">
        <v>4363</v>
      </c>
      <c r="F1830" t="s">
        <v>4004</v>
      </c>
      <c r="G1830" t="s">
        <v>3493</v>
      </c>
      <c r="H1830" t="s">
        <v>3838</v>
      </c>
      <c r="I1830" t="s">
        <v>3448</v>
      </c>
      <c r="J1830" t="s">
        <v>5818</v>
      </c>
      <c r="K1830" t="s">
        <v>4363</v>
      </c>
      <c r="L1830">
        <v>28</v>
      </c>
      <c r="M1830">
        <v>2</v>
      </c>
      <c r="N1830" t="s">
        <v>4005</v>
      </c>
      <c r="O1830" t="s">
        <v>3494</v>
      </c>
      <c r="P1830">
        <v>2</v>
      </c>
      <c r="Q1830">
        <v>1</v>
      </c>
      <c r="R1830" t="s">
        <v>3839</v>
      </c>
      <c r="S1830">
        <v>47</v>
      </c>
      <c r="T1830">
        <v>47</v>
      </c>
      <c r="U1830">
        <v>47</v>
      </c>
    </row>
    <row r="1831" spans="1:21" x14ac:dyDescent="0.25">
      <c r="A1831" s="5" t="s">
        <v>5149</v>
      </c>
      <c r="B1831" s="5" t="s">
        <v>5150</v>
      </c>
      <c r="C1831" t="s">
        <v>3548</v>
      </c>
      <c r="D1831" t="s">
        <v>3782</v>
      </c>
      <c r="E1831" t="s">
        <v>4363</v>
      </c>
      <c r="F1831" t="s">
        <v>4004</v>
      </c>
      <c r="G1831" t="s">
        <v>4417</v>
      </c>
      <c r="I1831" t="s">
        <v>3448</v>
      </c>
      <c r="J1831" t="s">
        <v>3783</v>
      </c>
      <c r="K1831" t="s">
        <v>4363</v>
      </c>
      <c r="L1831">
        <v>30</v>
      </c>
      <c r="M1831">
        <v>8</v>
      </c>
      <c r="N1831" t="s">
        <v>4005</v>
      </c>
      <c r="O1831" t="s">
        <v>4418</v>
      </c>
      <c r="P1831">
        <v>4</v>
      </c>
      <c r="Q1831">
        <v>2</v>
      </c>
      <c r="S1831">
        <v>171</v>
      </c>
      <c r="T1831">
        <v>171</v>
      </c>
      <c r="U1831">
        <v>171</v>
      </c>
    </row>
    <row r="1832" spans="1:21" x14ac:dyDescent="0.25">
      <c r="A1832" s="5" t="s">
        <v>5155</v>
      </c>
      <c r="B1832" s="5" t="s">
        <v>5156</v>
      </c>
      <c r="C1832" t="s">
        <v>3548</v>
      </c>
      <c r="D1832" t="s">
        <v>3782</v>
      </c>
      <c r="E1832" t="s">
        <v>4363</v>
      </c>
      <c r="F1832" t="s">
        <v>4004</v>
      </c>
      <c r="G1832" t="s">
        <v>4417</v>
      </c>
      <c r="I1832" t="s">
        <v>3448</v>
      </c>
      <c r="J1832" t="s">
        <v>3783</v>
      </c>
      <c r="K1832" t="s">
        <v>4363</v>
      </c>
      <c r="L1832">
        <v>32</v>
      </c>
      <c r="M1832">
        <v>10</v>
      </c>
      <c r="N1832" t="s">
        <v>4005</v>
      </c>
      <c r="O1832" t="s">
        <v>4418</v>
      </c>
      <c r="P1832">
        <v>4</v>
      </c>
      <c r="Q1832">
        <v>3</v>
      </c>
      <c r="S1832">
        <v>228</v>
      </c>
      <c r="T1832">
        <v>228</v>
      </c>
      <c r="U1832">
        <v>228</v>
      </c>
    </row>
    <row r="1833" spans="1:21" x14ac:dyDescent="0.25">
      <c r="A1833" s="5" t="s">
        <v>6095</v>
      </c>
      <c r="B1833" s="5" t="s">
        <v>6096</v>
      </c>
      <c r="C1833" t="s">
        <v>3548</v>
      </c>
      <c r="D1833" t="s">
        <v>5817</v>
      </c>
      <c r="E1833" t="s">
        <v>4363</v>
      </c>
      <c r="F1833" t="s">
        <v>4004</v>
      </c>
      <c r="G1833" t="s">
        <v>4417</v>
      </c>
      <c r="H1833" t="s">
        <v>3838</v>
      </c>
      <c r="I1833" t="s">
        <v>3448</v>
      </c>
      <c r="J1833" t="s">
        <v>5818</v>
      </c>
      <c r="K1833" t="s">
        <v>4363</v>
      </c>
      <c r="L1833">
        <v>28</v>
      </c>
      <c r="M1833">
        <v>2</v>
      </c>
      <c r="N1833" t="s">
        <v>4005</v>
      </c>
      <c r="O1833" t="s">
        <v>4418</v>
      </c>
      <c r="P1833">
        <v>2</v>
      </c>
      <c r="Q1833">
        <v>1</v>
      </c>
      <c r="R1833" t="s">
        <v>3839</v>
      </c>
      <c r="S1833">
        <v>40</v>
      </c>
      <c r="T1833">
        <v>40</v>
      </c>
      <c r="U1833">
        <v>40</v>
      </c>
    </row>
    <row r="1834" spans="1:21" x14ac:dyDescent="0.25">
      <c r="A1834" s="5" t="s">
        <v>5161</v>
      </c>
      <c r="B1834" s="5" t="s">
        <v>5162</v>
      </c>
      <c r="C1834" t="s">
        <v>3548</v>
      </c>
      <c r="D1834" t="s">
        <v>3782</v>
      </c>
      <c r="E1834" t="s">
        <v>4363</v>
      </c>
      <c r="F1834" t="s">
        <v>4004</v>
      </c>
      <c r="G1834" t="s">
        <v>4417</v>
      </c>
      <c r="I1834" t="s">
        <v>3448</v>
      </c>
      <c r="J1834" t="s">
        <v>3783</v>
      </c>
      <c r="K1834" t="s">
        <v>4363</v>
      </c>
      <c r="L1834">
        <v>32</v>
      </c>
      <c r="M1834">
        <v>12</v>
      </c>
      <c r="N1834" t="s">
        <v>4005</v>
      </c>
      <c r="O1834" t="s">
        <v>4418</v>
      </c>
      <c r="P1834">
        <v>4</v>
      </c>
      <c r="Q1834">
        <v>3</v>
      </c>
      <c r="S1834">
        <v>272</v>
      </c>
      <c r="T1834">
        <v>272</v>
      </c>
      <c r="U1834">
        <v>272</v>
      </c>
    </row>
    <row r="1835" spans="1:21" x14ac:dyDescent="0.25">
      <c r="A1835" s="5" t="s">
        <v>5199</v>
      </c>
      <c r="B1835" s="5" t="s">
        <v>5200</v>
      </c>
      <c r="C1835" t="s">
        <v>3548</v>
      </c>
      <c r="D1835" t="s">
        <v>3782</v>
      </c>
      <c r="E1835" t="s">
        <v>4363</v>
      </c>
      <c r="F1835" t="s">
        <v>3584</v>
      </c>
      <c r="G1835" t="s">
        <v>4417</v>
      </c>
      <c r="I1835" t="s">
        <v>3448</v>
      </c>
      <c r="J1835" t="s">
        <v>3783</v>
      </c>
      <c r="K1835" t="s">
        <v>4363</v>
      </c>
      <c r="L1835">
        <v>32</v>
      </c>
      <c r="M1835">
        <v>2</v>
      </c>
      <c r="N1835" t="s">
        <v>3585</v>
      </c>
      <c r="O1835" t="s">
        <v>4418</v>
      </c>
      <c r="P1835">
        <v>4</v>
      </c>
      <c r="Q1835">
        <v>1</v>
      </c>
      <c r="S1835">
        <v>44</v>
      </c>
      <c r="T1835">
        <v>44</v>
      </c>
      <c r="U1835">
        <v>44</v>
      </c>
    </row>
    <row r="1836" spans="1:21" x14ac:dyDescent="0.25">
      <c r="A1836" s="5" t="s">
        <v>5233</v>
      </c>
      <c r="B1836" s="5" t="s">
        <v>5234</v>
      </c>
      <c r="C1836" t="s">
        <v>3548</v>
      </c>
      <c r="D1836" t="s">
        <v>3782</v>
      </c>
      <c r="E1836" t="s">
        <v>4363</v>
      </c>
      <c r="F1836" t="s">
        <v>4004</v>
      </c>
      <c r="G1836" t="s">
        <v>4417</v>
      </c>
      <c r="I1836" t="s">
        <v>3448</v>
      </c>
      <c r="J1836" t="s">
        <v>3783</v>
      </c>
      <c r="K1836" t="s">
        <v>4363</v>
      </c>
      <c r="L1836">
        <v>32</v>
      </c>
      <c r="M1836">
        <v>2</v>
      </c>
      <c r="N1836" t="s">
        <v>4005</v>
      </c>
      <c r="O1836" t="s">
        <v>4418</v>
      </c>
      <c r="P1836">
        <v>4</v>
      </c>
      <c r="Q1836">
        <v>1</v>
      </c>
      <c r="S1836">
        <v>46</v>
      </c>
      <c r="T1836">
        <v>46</v>
      </c>
      <c r="U1836">
        <v>46</v>
      </c>
    </row>
    <row r="1837" spans="1:21" x14ac:dyDescent="0.25">
      <c r="A1837" s="5" t="s">
        <v>5245</v>
      </c>
      <c r="B1837" s="5" t="s">
        <v>5246</v>
      </c>
      <c r="C1837" t="s">
        <v>3548</v>
      </c>
      <c r="D1837" t="s">
        <v>3782</v>
      </c>
      <c r="E1837" t="s">
        <v>4363</v>
      </c>
      <c r="F1837" t="s">
        <v>4421</v>
      </c>
      <c r="G1837" t="s">
        <v>4417</v>
      </c>
      <c r="I1837" t="s">
        <v>3448</v>
      </c>
      <c r="J1837" t="s">
        <v>3783</v>
      </c>
      <c r="K1837" t="s">
        <v>4363</v>
      </c>
      <c r="L1837">
        <v>32</v>
      </c>
      <c r="M1837">
        <v>2</v>
      </c>
      <c r="N1837" t="s">
        <v>4422</v>
      </c>
      <c r="O1837" t="s">
        <v>4418</v>
      </c>
      <c r="P1837">
        <v>4</v>
      </c>
      <c r="Q1837">
        <v>1</v>
      </c>
      <c r="S1837">
        <v>49</v>
      </c>
      <c r="T1837">
        <v>49</v>
      </c>
      <c r="U1837">
        <v>49</v>
      </c>
    </row>
    <row r="1838" spans="1:21" x14ac:dyDescent="0.25">
      <c r="A1838" s="5" t="s">
        <v>5265</v>
      </c>
      <c r="B1838" s="5" t="s">
        <v>5266</v>
      </c>
      <c r="C1838" t="s">
        <v>3548</v>
      </c>
      <c r="D1838" t="s">
        <v>3782</v>
      </c>
      <c r="E1838" t="s">
        <v>4363</v>
      </c>
      <c r="F1838" t="s">
        <v>5173</v>
      </c>
      <c r="G1838" t="s">
        <v>4417</v>
      </c>
      <c r="I1838" t="s">
        <v>3448</v>
      </c>
      <c r="J1838" t="s">
        <v>3783</v>
      </c>
      <c r="K1838" t="s">
        <v>4363</v>
      </c>
      <c r="L1838">
        <v>32</v>
      </c>
      <c r="M1838">
        <v>3</v>
      </c>
      <c r="N1838" t="s">
        <v>5174</v>
      </c>
      <c r="O1838" t="s">
        <v>4418</v>
      </c>
      <c r="P1838">
        <v>4</v>
      </c>
      <c r="Q1838">
        <v>1</v>
      </c>
      <c r="S1838">
        <v>72</v>
      </c>
      <c r="T1838">
        <v>72</v>
      </c>
      <c r="U1838">
        <v>72</v>
      </c>
    </row>
    <row r="1839" spans="1:21" x14ac:dyDescent="0.25">
      <c r="A1839" s="5" t="s">
        <v>5297</v>
      </c>
      <c r="B1839" s="5" t="s">
        <v>5298</v>
      </c>
      <c r="C1839" t="s">
        <v>3548</v>
      </c>
      <c r="D1839" t="s">
        <v>3782</v>
      </c>
      <c r="E1839" t="s">
        <v>4363</v>
      </c>
      <c r="F1839" t="s">
        <v>4004</v>
      </c>
      <c r="G1839" t="s">
        <v>4417</v>
      </c>
      <c r="I1839" t="s">
        <v>3448</v>
      </c>
      <c r="J1839" t="s">
        <v>3783</v>
      </c>
      <c r="K1839" t="s">
        <v>4363</v>
      </c>
      <c r="L1839">
        <v>32</v>
      </c>
      <c r="M1839">
        <v>3</v>
      </c>
      <c r="N1839" t="s">
        <v>4005</v>
      </c>
      <c r="O1839" t="s">
        <v>4418</v>
      </c>
      <c r="P1839">
        <v>4</v>
      </c>
      <c r="Q1839">
        <v>1</v>
      </c>
      <c r="S1839">
        <v>72</v>
      </c>
      <c r="T1839">
        <v>72</v>
      </c>
      <c r="U1839">
        <v>72</v>
      </c>
    </row>
    <row r="1840" spans="1:21" x14ac:dyDescent="0.25">
      <c r="A1840" s="5" t="s">
        <v>5305</v>
      </c>
      <c r="B1840" s="5" t="s">
        <v>5306</v>
      </c>
      <c r="C1840" t="s">
        <v>3548</v>
      </c>
      <c r="D1840" t="s">
        <v>3782</v>
      </c>
      <c r="E1840" t="s">
        <v>4363</v>
      </c>
      <c r="F1840" t="s">
        <v>4421</v>
      </c>
      <c r="G1840" t="s">
        <v>4417</v>
      </c>
      <c r="I1840" t="s">
        <v>3448</v>
      </c>
      <c r="J1840" t="s">
        <v>3783</v>
      </c>
      <c r="K1840" t="s">
        <v>4363</v>
      </c>
      <c r="L1840">
        <v>32</v>
      </c>
      <c r="M1840">
        <v>3</v>
      </c>
      <c r="N1840" t="s">
        <v>4422</v>
      </c>
      <c r="O1840" t="s">
        <v>4418</v>
      </c>
      <c r="P1840">
        <v>4</v>
      </c>
      <c r="Q1840">
        <v>1</v>
      </c>
      <c r="S1840">
        <v>71</v>
      </c>
      <c r="T1840">
        <v>71</v>
      </c>
      <c r="U1840">
        <v>71</v>
      </c>
    </row>
    <row r="1841" spans="1:21" x14ac:dyDescent="0.25">
      <c r="A1841" s="5" t="s">
        <v>5313</v>
      </c>
      <c r="B1841" s="5" t="s">
        <v>5314</v>
      </c>
      <c r="C1841" t="s">
        <v>3548</v>
      </c>
      <c r="D1841" t="s">
        <v>3782</v>
      </c>
      <c r="E1841" t="s">
        <v>4363</v>
      </c>
      <c r="F1841" t="s">
        <v>5173</v>
      </c>
      <c r="G1841" t="s">
        <v>4417</v>
      </c>
      <c r="I1841" t="s">
        <v>3448</v>
      </c>
      <c r="J1841" t="s">
        <v>3783</v>
      </c>
      <c r="K1841" t="s">
        <v>4363</v>
      </c>
      <c r="L1841">
        <v>32</v>
      </c>
      <c r="M1841">
        <v>1</v>
      </c>
      <c r="N1841" t="s">
        <v>5174</v>
      </c>
      <c r="O1841" t="s">
        <v>4418</v>
      </c>
      <c r="P1841">
        <v>4</v>
      </c>
      <c r="Q1841">
        <v>1</v>
      </c>
      <c r="S1841">
        <v>24</v>
      </c>
      <c r="T1841">
        <v>24</v>
      </c>
      <c r="U1841">
        <v>24</v>
      </c>
    </row>
    <row r="1842" spans="1:21" x14ac:dyDescent="0.25">
      <c r="A1842" s="5" t="s">
        <v>5343</v>
      </c>
      <c r="B1842" s="5" t="s">
        <v>5344</v>
      </c>
      <c r="C1842" t="s">
        <v>3548</v>
      </c>
      <c r="D1842" t="s">
        <v>3782</v>
      </c>
      <c r="E1842" t="s">
        <v>4363</v>
      </c>
      <c r="F1842" t="s">
        <v>3584</v>
      </c>
      <c r="G1842" t="s">
        <v>4417</v>
      </c>
      <c r="I1842" t="s">
        <v>3448</v>
      </c>
      <c r="J1842" t="s">
        <v>3783</v>
      </c>
      <c r="K1842" t="s">
        <v>4363</v>
      </c>
      <c r="L1842">
        <v>32</v>
      </c>
      <c r="M1842">
        <v>1</v>
      </c>
      <c r="N1842" t="s">
        <v>3585</v>
      </c>
      <c r="O1842" t="s">
        <v>4418</v>
      </c>
      <c r="P1842">
        <v>4</v>
      </c>
      <c r="Q1842">
        <v>1</v>
      </c>
      <c r="S1842">
        <v>25</v>
      </c>
      <c r="T1842">
        <v>25</v>
      </c>
      <c r="U1842">
        <v>25</v>
      </c>
    </row>
    <row r="1843" spans="1:21" x14ac:dyDescent="0.25">
      <c r="A1843" s="5" t="s">
        <v>5385</v>
      </c>
      <c r="B1843" s="5" t="s">
        <v>5386</v>
      </c>
      <c r="C1843" t="s">
        <v>3548</v>
      </c>
      <c r="D1843" t="s">
        <v>3782</v>
      </c>
      <c r="E1843" t="s">
        <v>4363</v>
      </c>
      <c r="F1843" t="s">
        <v>5173</v>
      </c>
      <c r="G1843" t="s">
        <v>4417</v>
      </c>
      <c r="I1843" t="s">
        <v>3448</v>
      </c>
      <c r="J1843" t="s">
        <v>3783</v>
      </c>
      <c r="K1843" t="s">
        <v>4363</v>
      </c>
      <c r="L1843">
        <v>32</v>
      </c>
      <c r="M1843">
        <v>4</v>
      </c>
      <c r="N1843" t="s">
        <v>5174</v>
      </c>
      <c r="O1843" t="s">
        <v>4418</v>
      </c>
      <c r="P1843">
        <v>4</v>
      </c>
      <c r="Q1843">
        <v>1</v>
      </c>
      <c r="S1843">
        <v>93</v>
      </c>
      <c r="T1843">
        <v>93</v>
      </c>
      <c r="U1843">
        <v>93</v>
      </c>
    </row>
    <row r="1844" spans="1:21" x14ac:dyDescent="0.25">
      <c r="A1844" s="5" t="s">
        <v>5395</v>
      </c>
      <c r="B1844" s="5" t="s">
        <v>5396</v>
      </c>
      <c r="C1844" t="s">
        <v>3548</v>
      </c>
      <c r="D1844" t="s">
        <v>3782</v>
      </c>
      <c r="E1844" t="s">
        <v>4363</v>
      </c>
      <c r="F1844" t="s">
        <v>3584</v>
      </c>
      <c r="G1844" t="s">
        <v>4417</v>
      </c>
      <c r="I1844" t="s">
        <v>3448</v>
      </c>
      <c r="J1844" t="s">
        <v>3783</v>
      </c>
      <c r="K1844" t="s">
        <v>4363</v>
      </c>
      <c r="L1844">
        <v>32</v>
      </c>
      <c r="M1844">
        <v>4</v>
      </c>
      <c r="N1844" t="s">
        <v>3585</v>
      </c>
      <c r="O1844" t="s">
        <v>4418</v>
      </c>
      <c r="P1844">
        <v>4</v>
      </c>
      <c r="Q1844">
        <v>1</v>
      </c>
      <c r="S1844">
        <v>90</v>
      </c>
      <c r="T1844">
        <v>90</v>
      </c>
      <c r="U1844">
        <v>90</v>
      </c>
    </row>
    <row r="1845" spans="1:21" x14ac:dyDescent="0.25">
      <c r="A1845" s="5" t="s">
        <v>5411</v>
      </c>
      <c r="B1845" s="5" t="s">
        <v>5412</v>
      </c>
      <c r="C1845" t="s">
        <v>3548</v>
      </c>
      <c r="D1845" t="s">
        <v>3782</v>
      </c>
      <c r="E1845" t="s">
        <v>4363</v>
      </c>
      <c r="F1845" t="s">
        <v>4004</v>
      </c>
      <c r="G1845" t="s">
        <v>4417</v>
      </c>
      <c r="I1845" t="s">
        <v>3448</v>
      </c>
      <c r="J1845" t="s">
        <v>3783</v>
      </c>
      <c r="K1845" t="s">
        <v>4363</v>
      </c>
      <c r="L1845">
        <v>32</v>
      </c>
      <c r="M1845">
        <v>4</v>
      </c>
      <c r="N1845" t="s">
        <v>4005</v>
      </c>
      <c r="O1845" t="s">
        <v>4418</v>
      </c>
      <c r="P1845">
        <v>4</v>
      </c>
      <c r="Q1845">
        <v>1</v>
      </c>
      <c r="S1845">
        <v>94</v>
      </c>
      <c r="T1845">
        <v>94</v>
      </c>
      <c r="U1845">
        <v>94</v>
      </c>
    </row>
    <row r="1846" spans="1:21" x14ac:dyDescent="0.25">
      <c r="A1846" s="5" t="s">
        <v>5415</v>
      </c>
      <c r="B1846" s="5" t="s">
        <v>5416</v>
      </c>
      <c r="C1846" t="s">
        <v>3548</v>
      </c>
      <c r="D1846" t="s">
        <v>3782</v>
      </c>
      <c r="E1846" t="s">
        <v>4363</v>
      </c>
      <c r="F1846" t="s">
        <v>4421</v>
      </c>
      <c r="G1846" t="s">
        <v>4417</v>
      </c>
      <c r="I1846" t="s">
        <v>3448</v>
      </c>
      <c r="J1846" t="s">
        <v>3783</v>
      </c>
      <c r="K1846" t="s">
        <v>4363</v>
      </c>
      <c r="L1846">
        <v>32</v>
      </c>
      <c r="M1846">
        <v>4</v>
      </c>
      <c r="N1846" t="s">
        <v>4422</v>
      </c>
      <c r="O1846" t="s">
        <v>4418</v>
      </c>
      <c r="P1846">
        <v>4</v>
      </c>
      <c r="Q1846">
        <v>1</v>
      </c>
      <c r="S1846">
        <v>92</v>
      </c>
      <c r="T1846">
        <v>92</v>
      </c>
      <c r="U1846">
        <v>92</v>
      </c>
    </row>
    <row r="1847" spans="1:21" x14ac:dyDescent="0.25">
      <c r="A1847" s="5" t="s">
        <v>5449</v>
      </c>
      <c r="B1847" s="5" t="s">
        <v>5450</v>
      </c>
      <c r="C1847" t="s">
        <v>3548</v>
      </c>
      <c r="D1847" t="s">
        <v>3782</v>
      </c>
      <c r="E1847" t="s">
        <v>4363</v>
      </c>
      <c r="F1847" t="s">
        <v>4004</v>
      </c>
      <c r="G1847" t="s">
        <v>4417</v>
      </c>
      <c r="I1847" t="s">
        <v>3448</v>
      </c>
      <c r="J1847" t="s">
        <v>3783</v>
      </c>
      <c r="K1847" t="s">
        <v>4363</v>
      </c>
      <c r="L1847">
        <v>32</v>
      </c>
      <c r="M1847">
        <v>1</v>
      </c>
      <c r="N1847" t="s">
        <v>4005</v>
      </c>
      <c r="O1847" t="s">
        <v>4418</v>
      </c>
      <c r="P1847">
        <v>4</v>
      </c>
      <c r="Q1847">
        <v>1</v>
      </c>
      <c r="S1847">
        <v>28</v>
      </c>
      <c r="T1847">
        <v>28</v>
      </c>
      <c r="U1847">
        <v>28</v>
      </c>
    </row>
    <row r="1848" spans="1:21" x14ac:dyDescent="0.25">
      <c r="A1848" s="5" t="s">
        <v>5471</v>
      </c>
      <c r="B1848" s="5" t="s">
        <v>5472</v>
      </c>
      <c r="C1848" t="s">
        <v>3548</v>
      </c>
      <c r="D1848" t="s">
        <v>3782</v>
      </c>
      <c r="E1848" t="s">
        <v>4363</v>
      </c>
      <c r="F1848" t="s">
        <v>4421</v>
      </c>
      <c r="G1848" t="s">
        <v>4417</v>
      </c>
      <c r="I1848" t="s">
        <v>3448</v>
      </c>
      <c r="J1848" t="s">
        <v>3783</v>
      </c>
      <c r="K1848" t="s">
        <v>4363</v>
      </c>
      <c r="L1848">
        <v>32</v>
      </c>
      <c r="M1848">
        <v>1</v>
      </c>
      <c r="N1848" t="s">
        <v>4422</v>
      </c>
      <c r="O1848" t="s">
        <v>4418</v>
      </c>
      <c r="P1848">
        <v>4</v>
      </c>
      <c r="Q1848">
        <v>1</v>
      </c>
      <c r="S1848">
        <v>24</v>
      </c>
      <c r="T1848">
        <v>24</v>
      </c>
      <c r="U1848">
        <v>24</v>
      </c>
    </row>
    <row r="1849" spans="1:21" x14ac:dyDescent="0.25">
      <c r="A1849" s="5" t="s">
        <v>5493</v>
      </c>
      <c r="B1849" s="5" t="s">
        <v>5494</v>
      </c>
      <c r="C1849" t="s">
        <v>3548</v>
      </c>
      <c r="D1849" t="s">
        <v>3782</v>
      </c>
      <c r="E1849" t="s">
        <v>4363</v>
      </c>
      <c r="F1849" t="s">
        <v>4004</v>
      </c>
      <c r="G1849" t="s">
        <v>4417</v>
      </c>
      <c r="I1849" t="s">
        <v>3448</v>
      </c>
      <c r="J1849" t="s">
        <v>3783</v>
      </c>
      <c r="K1849" t="s">
        <v>4363</v>
      </c>
      <c r="L1849">
        <v>32</v>
      </c>
      <c r="M1849">
        <v>6</v>
      </c>
      <c r="N1849" t="s">
        <v>4005</v>
      </c>
      <c r="O1849" t="s">
        <v>4418</v>
      </c>
      <c r="P1849">
        <v>4</v>
      </c>
      <c r="Q1849">
        <v>2</v>
      </c>
      <c r="S1849">
        <v>141</v>
      </c>
      <c r="T1849">
        <v>141</v>
      </c>
      <c r="U1849">
        <v>141</v>
      </c>
    </row>
    <row r="1850" spans="1:21" x14ac:dyDescent="0.25">
      <c r="A1850" s="5" t="s">
        <v>5503</v>
      </c>
      <c r="B1850" s="5" t="s">
        <v>5504</v>
      </c>
      <c r="C1850" t="s">
        <v>3548</v>
      </c>
      <c r="D1850" t="s">
        <v>3782</v>
      </c>
      <c r="E1850" t="s">
        <v>4363</v>
      </c>
      <c r="F1850" t="s">
        <v>4004</v>
      </c>
      <c r="G1850" t="s">
        <v>4417</v>
      </c>
      <c r="I1850" t="s">
        <v>3448</v>
      </c>
      <c r="J1850" t="s">
        <v>3783</v>
      </c>
      <c r="K1850" t="s">
        <v>4363</v>
      </c>
      <c r="L1850">
        <v>32</v>
      </c>
      <c r="M1850">
        <v>6</v>
      </c>
      <c r="N1850" t="s">
        <v>4005</v>
      </c>
      <c r="O1850" t="s">
        <v>4418</v>
      </c>
      <c r="P1850">
        <v>4</v>
      </c>
      <c r="Q1850">
        <v>1</v>
      </c>
      <c r="S1850">
        <v>141</v>
      </c>
      <c r="T1850">
        <v>141</v>
      </c>
      <c r="U1850">
        <v>141</v>
      </c>
    </row>
    <row r="1851" spans="1:21" x14ac:dyDescent="0.25">
      <c r="A1851" s="5" t="s">
        <v>5517</v>
      </c>
      <c r="B1851" s="5" t="s">
        <v>5518</v>
      </c>
      <c r="C1851" t="s">
        <v>3548</v>
      </c>
      <c r="D1851" t="s">
        <v>3782</v>
      </c>
      <c r="E1851" t="s">
        <v>4363</v>
      </c>
      <c r="F1851" t="s">
        <v>4004</v>
      </c>
      <c r="G1851" t="s">
        <v>4417</v>
      </c>
      <c r="I1851" t="s">
        <v>3448</v>
      </c>
      <c r="J1851" t="s">
        <v>3783</v>
      </c>
      <c r="K1851" t="s">
        <v>4363</v>
      </c>
      <c r="L1851">
        <v>32</v>
      </c>
      <c r="M1851">
        <v>8</v>
      </c>
      <c r="N1851" t="s">
        <v>4005</v>
      </c>
      <c r="O1851" t="s">
        <v>4418</v>
      </c>
      <c r="P1851">
        <v>4</v>
      </c>
      <c r="Q1851">
        <v>2</v>
      </c>
      <c r="S1851">
        <v>182</v>
      </c>
      <c r="T1851">
        <v>182</v>
      </c>
      <c r="U1851">
        <v>182</v>
      </c>
    </row>
    <row r="1852" spans="1:21" x14ac:dyDescent="0.25">
      <c r="A1852" s="5" t="s">
        <v>5561</v>
      </c>
      <c r="B1852" s="5" t="s">
        <v>5562</v>
      </c>
      <c r="C1852" t="s">
        <v>3548</v>
      </c>
      <c r="D1852" t="s">
        <v>3782</v>
      </c>
      <c r="E1852" t="s">
        <v>4363</v>
      </c>
      <c r="F1852" t="s">
        <v>3584</v>
      </c>
      <c r="G1852" t="s">
        <v>4417</v>
      </c>
      <c r="I1852" t="s">
        <v>3448</v>
      </c>
      <c r="J1852" t="s">
        <v>3783</v>
      </c>
      <c r="K1852" t="s">
        <v>4363</v>
      </c>
      <c r="L1852">
        <v>40</v>
      </c>
      <c r="M1852">
        <v>1</v>
      </c>
      <c r="N1852" t="s">
        <v>3585</v>
      </c>
      <c r="O1852" t="s">
        <v>4418</v>
      </c>
      <c r="P1852">
        <v>5</v>
      </c>
      <c r="Q1852">
        <v>1</v>
      </c>
      <c r="S1852">
        <v>29</v>
      </c>
      <c r="T1852">
        <v>29</v>
      </c>
      <c r="U1852">
        <v>29</v>
      </c>
    </row>
    <row r="1853" spans="1:21" x14ac:dyDescent="0.25">
      <c r="A1853" s="5" t="s">
        <v>5861</v>
      </c>
      <c r="B1853" s="5" t="s">
        <v>5862</v>
      </c>
      <c r="C1853" t="s">
        <v>3548</v>
      </c>
      <c r="D1853" t="s">
        <v>5817</v>
      </c>
      <c r="E1853" t="s">
        <v>4363</v>
      </c>
      <c r="F1853" t="s">
        <v>4004</v>
      </c>
      <c r="G1853" t="s">
        <v>4417</v>
      </c>
      <c r="I1853" t="s">
        <v>3448</v>
      </c>
      <c r="J1853" t="s">
        <v>5818</v>
      </c>
      <c r="K1853" t="s">
        <v>4363</v>
      </c>
      <c r="L1853">
        <v>17</v>
      </c>
      <c r="M1853">
        <v>1</v>
      </c>
      <c r="N1853" t="s">
        <v>4005</v>
      </c>
      <c r="O1853" t="s">
        <v>4418</v>
      </c>
      <c r="P1853">
        <v>1</v>
      </c>
      <c r="Q1853">
        <v>1</v>
      </c>
      <c r="S1853">
        <v>15</v>
      </c>
      <c r="T1853">
        <v>15</v>
      </c>
      <c r="U1853">
        <v>15</v>
      </c>
    </row>
    <row r="1854" spans="1:21" x14ac:dyDescent="0.25">
      <c r="A1854" s="5" t="s">
        <v>6183</v>
      </c>
      <c r="B1854" s="5" t="s">
        <v>6184</v>
      </c>
      <c r="C1854" t="s">
        <v>3548</v>
      </c>
      <c r="D1854" t="s">
        <v>5817</v>
      </c>
      <c r="E1854" t="s">
        <v>4363</v>
      </c>
      <c r="F1854" t="s">
        <v>3584</v>
      </c>
      <c r="G1854" t="s">
        <v>3493</v>
      </c>
      <c r="H1854" t="s">
        <v>3838</v>
      </c>
      <c r="I1854" t="s">
        <v>3448</v>
      </c>
      <c r="J1854" t="s">
        <v>5818</v>
      </c>
      <c r="K1854" t="s">
        <v>4363</v>
      </c>
      <c r="L1854">
        <v>32</v>
      </c>
      <c r="M1854">
        <v>2</v>
      </c>
      <c r="N1854" t="s">
        <v>3585</v>
      </c>
      <c r="O1854" t="s">
        <v>3494</v>
      </c>
      <c r="P1854">
        <v>2</v>
      </c>
      <c r="Q1854">
        <v>1</v>
      </c>
      <c r="R1854" t="s">
        <v>3839</v>
      </c>
      <c r="S1854">
        <v>59</v>
      </c>
      <c r="T1854">
        <v>59</v>
      </c>
      <c r="U1854">
        <v>59</v>
      </c>
    </row>
    <row r="1855" spans="1:21" x14ac:dyDescent="0.25">
      <c r="A1855" s="5" t="s">
        <v>6185</v>
      </c>
      <c r="B1855" s="5" t="s">
        <v>6186</v>
      </c>
      <c r="C1855" t="s">
        <v>3548</v>
      </c>
      <c r="D1855" t="s">
        <v>5817</v>
      </c>
      <c r="E1855" t="s">
        <v>4363</v>
      </c>
      <c r="F1855" t="s">
        <v>3584</v>
      </c>
      <c r="G1855" t="s">
        <v>3493</v>
      </c>
      <c r="H1855" t="s">
        <v>3816</v>
      </c>
      <c r="I1855" t="s">
        <v>3448</v>
      </c>
      <c r="J1855" t="s">
        <v>5818</v>
      </c>
      <c r="K1855" t="s">
        <v>4363</v>
      </c>
      <c r="L1855">
        <v>32</v>
      </c>
      <c r="M1855">
        <v>2</v>
      </c>
      <c r="N1855" t="s">
        <v>3585</v>
      </c>
      <c r="O1855" t="s">
        <v>3494</v>
      </c>
      <c r="P1855">
        <v>2</v>
      </c>
      <c r="Q1855">
        <v>1</v>
      </c>
      <c r="R1855" t="s">
        <v>3817</v>
      </c>
      <c r="S1855">
        <v>56</v>
      </c>
      <c r="T1855">
        <v>56</v>
      </c>
      <c r="U1855">
        <v>56</v>
      </c>
    </row>
    <row r="1856" spans="1:21" x14ac:dyDescent="0.25">
      <c r="A1856" s="5" t="s">
        <v>5929</v>
      </c>
      <c r="B1856" s="5" t="s">
        <v>5930</v>
      </c>
      <c r="C1856" t="s">
        <v>3548</v>
      </c>
      <c r="D1856" t="s">
        <v>5817</v>
      </c>
      <c r="E1856" t="s">
        <v>4363</v>
      </c>
      <c r="F1856" t="s">
        <v>4004</v>
      </c>
      <c r="G1856" t="s">
        <v>4417</v>
      </c>
      <c r="I1856" t="s">
        <v>3448</v>
      </c>
      <c r="J1856" t="s">
        <v>5818</v>
      </c>
      <c r="K1856" t="s">
        <v>4363</v>
      </c>
      <c r="L1856">
        <v>25</v>
      </c>
      <c r="M1856">
        <v>1</v>
      </c>
      <c r="N1856" t="s">
        <v>4005</v>
      </c>
      <c r="O1856" t="s">
        <v>4418</v>
      </c>
      <c r="P1856">
        <v>1.5</v>
      </c>
      <c r="Q1856">
        <v>1</v>
      </c>
      <c r="S1856">
        <v>20</v>
      </c>
      <c r="T1856">
        <v>20</v>
      </c>
      <c r="U1856">
        <v>20</v>
      </c>
    </row>
    <row r="1857" spans="1:21" x14ac:dyDescent="0.25">
      <c r="A1857" s="5" t="s">
        <v>6189</v>
      </c>
      <c r="B1857" s="5" t="s">
        <v>6190</v>
      </c>
      <c r="C1857" t="s">
        <v>3548</v>
      </c>
      <c r="D1857" t="s">
        <v>5817</v>
      </c>
      <c r="E1857" t="s">
        <v>4363</v>
      </c>
      <c r="F1857" t="s">
        <v>3584</v>
      </c>
      <c r="G1857" t="s">
        <v>3826</v>
      </c>
      <c r="H1857" t="s">
        <v>3816</v>
      </c>
      <c r="I1857" t="s">
        <v>3448</v>
      </c>
      <c r="J1857" t="s">
        <v>5818</v>
      </c>
      <c r="K1857" t="s">
        <v>4363</v>
      </c>
      <c r="L1857">
        <v>32</v>
      </c>
      <c r="M1857">
        <v>2</v>
      </c>
      <c r="N1857" t="s">
        <v>3585</v>
      </c>
      <c r="O1857" t="s">
        <v>3827</v>
      </c>
      <c r="P1857">
        <v>2</v>
      </c>
      <c r="Q1857">
        <v>1</v>
      </c>
      <c r="R1857" t="s">
        <v>3817</v>
      </c>
      <c r="S1857">
        <v>51</v>
      </c>
      <c r="T1857">
        <v>51</v>
      </c>
      <c r="U1857">
        <v>51</v>
      </c>
    </row>
    <row r="1858" spans="1:21" x14ac:dyDescent="0.25">
      <c r="A1858" s="5" t="s">
        <v>5963</v>
      </c>
      <c r="B1858" s="5" t="s">
        <v>5964</v>
      </c>
      <c r="C1858" t="s">
        <v>3548</v>
      </c>
      <c r="D1858" t="s">
        <v>5817</v>
      </c>
      <c r="E1858" t="s">
        <v>4363</v>
      </c>
      <c r="F1858" t="s">
        <v>4004</v>
      </c>
      <c r="G1858" t="s">
        <v>4417</v>
      </c>
      <c r="I1858" t="s">
        <v>3448</v>
      </c>
      <c r="J1858" t="s">
        <v>5818</v>
      </c>
      <c r="K1858" t="s">
        <v>4363</v>
      </c>
      <c r="L1858">
        <v>25</v>
      </c>
      <c r="M1858">
        <v>2</v>
      </c>
      <c r="N1858" t="s">
        <v>4005</v>
      </c>
      <c r="O1858" t="s">
        <v>4418</v>
      </c>
      <c r="P1858">
        <v>1.5</v>
      </c>
      <c r="Q1858">
        <v>1</v>
      </c>
      <c r="S1858">
        <v>36</v>
      </c>
      <c r="T1858">
        <v>36</v>
      </c>
      <c r="U1858">
        <v>36</v>
      </c>
    </row>
    <row r="1859" spans="1:21" x14ac:dyDescent="0.25">
      <c r="A1859" s="5" t="s">
        <v>5991</v>
      </c>
      <c r="B1859" s="5" t="s">
        <v>5992</v>
      </c>
      <c r="C1859" t="s">
        <v>3548</v>
      </c>
      <c r="D1859" t="s">
        <v>5817</v>
      </c>
      <c r="E1859" t="s">
        <v>4363</v>
      </c>
      <c r="F1859" t="s">
        <v>4004</v>
      </c>
      <c r="G1859" t="s">
        <v>4417</v>
      </c>
      <c r="I1859" t="s">
        <v>3448</v>
      </c>
      <c r="J1859" t="s">
        <v>5818</v>
      </c>
      <c r="K1859" t="s">
        <v>4363</v>
      </c>
      <c r="L1859">
        <v>25</v>
      </c>
      <c r="M1859">
        <v>2</v>
      </c>
      <c r="N1859" t="s">
        <v>4005</v>
      </c>
      <c r="O1859" t="s">
        <v>4418</v>
      </c>
      <c r="P1859">
        <v>2</v>
      </c>
      <c r="Q1859">
        <v>1</v>
      </c>
      <c r="S1859">
        <v>38</v>
      </c>
      <c r="T1859">
        <v>38</v>
      </c>
      <c r="U1859">
        <v>38</v>
      </c>
    </row>
    <row r="1860" spans="1:21" x14ac:dyDescent="0.25">
      <c r="A1860" s="5" t="s">
        <v>6005</v>
      </c>
      <c r="B1860" s="5" t="s">
        <v>6006</v>
      </c>
      <c r="C1860" t="s">
        <v>3548</v>
      </c>
      <c r="D1860" t="s">
        <v>5817</v>
      </c>
      <c r="E1860" t="s">
        <v>4363</v>
      </c>
      <c r="F1860" t="s">
        <v>4004</v>
      </c>
      <c r="G1860" t="s">
        <v>4417</v>
      </c>
      <c r="I1860" t="s">
        <v>3448</v>
      </c>
      <c r="J1860" t="s">
        <v>5818</v>
      </c>
      <c r="K1860" t="s">
        <v>4363</v>
      </c>
      <c r="L1860">
        <v>25</v>
      </c>
      <c r="M1860">
        <v>1</v>
      </c>
      <c r="N1860" t="s">
        <v>4005</v>
      </c>
      <c r="O1860" t="s">
        <v>4418</v>
      </c>
      <c r="P1860">
        <v>2</v>
      </c>
      <c r="Q1860">
        <v>1</v>
      </c>
      <c r="S1860">
        <v>21</v>
      </c>
      <c r="T1860">
        <v>21</v>
      </c>
      <c r="U1860">
        <v>21</v>
      </c>
    </row>
    <row r="1861" spans="1:21" x14ac:dyDescent="0.25">
      <c r="A1861" s="5" t="s">
        <v>6025</v>
      </c>
      <c r="B1861" s="5" t="s">
        <v>6026</v>
      </c>
      <c r="C1861" t="s">
        <v>3548</v>
      </c>
      <c r="D1861" t="s">
        <v>5817</v>
      </c>
      <c r="E1861" t="s">
        <v>4363</v>
      </c>
      <c r="F1861" t="s">
        <v>4004</v>
      </c>
      <c r="G1861" t="s">
        <v>4417</v>
      </c>
      <c r="I1861" t="s">
        <v>3448</v>
      </c>
      <c r="J1861" t="s">
        <v>5818</v>
      </c>
      <c r="K1861" t="s">
        <v>4363</v>
      </c>
      <c r="L1861">
        <v>25</v>
      </c>
      <c r="M1861">
        <v>3</v>
      </c>
      <c r="N1861" t="s">
        <v>4005</v>
      </c>
      <c r="O1861" t="s">
        <v>4418</v>
      </c>
      <c r="P1861">
        <v>1.5</v>
      </c>
      <c r="Q1861">
        <v>1</v>
      </c>
      <c r="S1861">
        <v>58</v>
      </c>
      <c r="T1861">
        <v>58</v>
      </c>
      <c r="U1861">
        <v>58</v>
      </c>
    </row>
    <row r="1862" spans="1:21" x14ac:dyDescent="0.25">
      <c r="A1862" s="5" t="s">
        <v>6039</v>
      </c>
      <c r="B1862" s="5" t="s">
        <v>6040</v>
      </c>
      <c r="C1862" t="s">
        <v>3548</v>
      </c>
      <c r="D1862" t="s">
        <v>5817</v>
      </c>
      <c r="E1862" t="s">
        <v>4363</v>
      </c>
      <c r="F1862" t="s">
        <v>4004</v>
      </c>
      <c r="G1862" t="s">
        <v>4417</v>
      </c>
      <c r="I1862" t="s">
        <v>3448</v>
      </c>
      <c r="J1862" t="s">
        <v>5818</v>
      </c>
      <c r="K1862" t="s">
        <v>4363</v>
      </c>
      <c r="L1862">
        <v>25</v>
      </c>
      <c r="M1862">
        <v>3</v>
      </c>
      <c r="N1862" t="s">
        <v>4005</v>
      </c>
      <c r="O1862" t="s">
        <v>4418</v>
      </c>
      <c r="P1862">
        <v>2</v>
      </c>
      <c r="Q1862">
        <v>1</v>
      </c>
      <c r="S1862">
        <v>58</v>
      </c>
      <c r="T1862">
        <v>58</v>
      </c>
      <c r="U1862">
        <v>58</v>
      </c>
    </row>
    <row r="1863" spans="1:21" x14ac:dyDescent="0.25">
      <c r="A1863" s="5" t="s">
        <v>6085</v>
      </c>
      <c r="B1863" s="5" t="s">
        <v>6086</v>
      </c>
      <c r="C1863" t="s">
        <v>3548</v>
      </c>
      <c r="D1863" t="s">
        <v>5817</v>
      </c>
      <c r="E1863" t="s">
        <v>4363</v>
      </c>
      <c r="F1863" t="s">
        <v>3584</v>
      </c>
      <c r="G1863" t="s">
        <v>4417</v>
      </c>
      <c r="I1863" t="s">
        <v>3448</v>
      </c>
      <c r="J1863" t="s">
        <v>5818</v>
      </c>
      <c r="K1863" t="s">
        <v>4363</v>
      </c>
      <c r="L1863">
        <v>28</v>
      </c>
      <c r="M1863">
        <v>2</v>
      </c>
      <c r="N1863" t="s">
        <v>3585</v>
      </c>
      <c r="O1863" t="s">
        <v>4418</v>
      </c>
      <c r="P1863">
        <v>2</v>
      </c>
      <c r="Q1863">
        <v>1</v>
      </c>
      <c r="S1863">
        <v>41</v>
      </c>
      <c r="T1863">
        <v>41</v>
      </c>
      <c r="U1863">
        <v>41</v>
      </c>
    </row>
    <row r="1864" spans="1:21" x14ac:dyDescent="0.25">
      <c r="A1864" s="5" t="s">
        <v>6093</v>
      </c>
      <c r="B1864" s="5" t="s">
        <v>6094</v>
      </c>
      <c r="C1864" t="s">
        <v>3548</v>
      </c>
      <c r="D1864" t="s">
        <v>5817</v>
      </c>
      <c r="E1864" t="s">
        <v>4363</v>
      </c>
      <c r="F1864" t="s">
        <v>4004</v>
      </c>
      <c r="G1864" t="s">
        <v>4417</v>
      </c>
      <c r="I1864" t="s">
        <v>3448</v>
      </c>
      <c r="J1864" t="s">
        <v>5818</v>
      </c>
      <c r="K1864" t="s">
        <v>4363</v>
      </c>
      <c r="L1864">
        <v>28</v>
      </c>
      <c r="M1864">
        <v>2</v>
      </c>
      <c r="N1864" t="s">
        <v>4005</v>
      </c>
      <c r="O1864" t="s">
        <v>4418</v>
      </c>
      <c r="P1864">
        <v>2</v>
      </c>
      <c r="Q1864">
        <v>1</v>
      </c>
      <c r="S1864">
        <v>41</v>
      </c>
      <c r="T1864">
        <v>41</v>
      </c>
      <c r="U1864">
        <v>41</v>
      </c>
    </row>
    <row r="1865" spans="1:21" x14ac:dyDescent="0.25">
      <c r="A1865" s="5" t="s">
        <v>6101</v>
      </c>
      <c r="B1865" s="5" t="s">
        <v>6102</v>
      </c>
      <c r="C1865" t="s">
        <v>3548</v>
      </c>
      <c r="D1865" t="s">
        <v>5817</v>
      </c>
      <c r="E1865" t="s">
        <v>4363</v>
      </c>
      <c r="F1865" t="s">
        <v>4004</v>
      </c>
      <c r="G1865" t="s">
        <v>4417</v>
      </c>
      <c r="I1865" t="s">
        <v>3448</v>
      </c>
      <c r="J1865" t="s">
        <v>5818</v>
      </c>
      <c r="K1865" t="s">
        <v>4363</v>
      </c>
      <c r="L1865">
        <v>28</v>
      </c>
      <c r="M1865">
        <v>1</v>
      </c>
      <c r="N1865" t="s">
        <v>4005</v>
      </c>
      <c r="O1865" t="s">
        <v>4418</v>
      </c>
      <c r="P1865">
        <v>2</v>
      </c>
      <c r="Q1865">
        <v>1</v>
      </c>
      <c r="S1865">
        <v>22</v>
      </c>
      <c r="T1865">
        <v>22</v>
      </c>
      <c r="U1865">
        <v>22</v>
      </c>
    </row>
    <row r="1866" spans="1:21" x14ac:dyDescent="0.25">
      <c r="A1866" s="5" t="s">
        <v>6115</v>
      </c>
      <c r="B1866" s="5" t="s">
        <v>6116</v>
      </c>
      <c r="C1866" t="s">
        <v>3548</v>
      </c>
      <c r="D1866" t="s">
        <v>5817</v>
      </c>
      <c r="E1866" t="s">
        <v>4363</v>
      </c>
      <c r="F1866" t="s">
        <v>4004</v>
      </c>
      <c r="G1866" t="s">
        <v>4417</v>
      </c>
      <c r="I1866" t="s">
        <v>3448</v>
      </c>
      <c r="J1866" t="s">
        <v>5818</v>
      </c>
      <c r="K1866" t="s">
        <v>4363</v>
      </c>
      <c r="L1866">
        <v>28</v>
      </c>
      <c r="M1866">
        <v>3</v>
      </c>
      <c r="N1866" t="s">
        <v>4005</v>
      </c>
      <c r="O1866" t="s">
        <v>4418</v>
      </c>
      <c r="P1866">
        <v>2</v>
      </c>
      <c r="Q1866">
        <v>1</v>
      </c>
      <c r="S1866">
        <v>58</v>
      </c>
      <c r="T1866">
        <v>58</v>
      </c>
      <c r="U1866">
        <v>58</v>
      </c>
    </row>
    <row r="1867" spans="1:21" x14ac:dyDescent="0.25">
      <c r="A1867" s="5" t="s">
        <v>6129</v>
      </c>
      <c r="B1867" s="5" t="s">
        <v>6130</v>
      </c>
      <c r="C1867" t="s">
        <v>3548</v>
      </c>
      <c r="D1867" t="s">
        <v>5817</v>
      </c>
      <c r="E1867" t="s">
        <v>4363</v>
      </c>
      <c r="F1867" t="s">
        <v>4004</v>
      </c>
      <c r="G1867" t="s">
        <v>4417</v>
      </c>
      <c r="I1867" t="s">
        <v>3448</v>
      </c>
      <c r="J1867" t="s">
        <v>5818</v>
      </c>
      <c r="K1867" t="s">
        <v>4363</v>
      </c>
      <c r="L1867">
        <v>28</v>
      </c>
      <c r="M1867">
        <v>4</v>
      </c>
      <c r="N1867" t="s">
        <v>4005</v>
      </c>
      <c r="O1867" t="s">
        <v>4418</v>
      </c>
      <c r="P1867">
        <v>2</v>
      </c>
      <c r="Q1867">
        <v>1</v>
      </c>
      <c r="S1867">
        <v>76</v>
      </c>
      <c r="T1867">
        <v>76</v>
      </c>
      <c r="U1867">
        <v>76</v>
      </c>
    </row>
    <row r="1868" spans="1:21" x14ac:dyDescent="0.25">
      <c r="A1868" s="5" t="s">
        <v>6193</v>
      </c>
      <c r="B1868" s="5" t="s">
        <v>6194</v>
      </c>
      <c r="C1868" t="s">
        <v>3548</v>
      </c>
      <c r="D1868" t="s">
        <v>5817</v>
      </c>
      <c r="E1868" t="s">
        <v>4363</v>
      </c>
      <c r="F1868" t="s">
        <v>3584</v>
      </c>
      <c r="G1868" t="s">
        <v>4417</v>
      </c>
      <c r="I1868" t="s">
        <v>3448</v>
      </c>
      <c r="J1868" t="s">
        <v>5818</v>
      </c>
      <c r="K1868" t="s">
        <v>4363</v>
      </c>
      <c r="L1868">
        <v>32</v>
      </c>
      <c r="M1868">
        <v>2</v>
      </c>
      <c r="N1868" t="s">
        <v>3585</v>
      </c>
      <c r="O1868" t="s">
        <v>4418</v>
      </c>
      <c r="P1868">
        <v>2</v>
      </c>
      <c r="Q1868">
        <v>1</v>
      </c>
      <c r="S1868">
        <v>48</v>
      </c>
      <c r="T1868">
        <v>48</v>
      </c>
      <c r="U1868">
        <v>48</v>
      </c>
    </row>
    <row r="1869" spans="1:21" x14ac:dyDescent="0.25">
      <c r="A1869" s="5" t="s">
        <v>6207</v>
      </c>
      <c r="B1869" s="5" t="s">
        <v>6208</v>
      </c>
      <c r="C1869" t="s">
        <v>3548</v>
      </c>
      <c r="D1869" t="s">
        <v>5817</v>
      </c>
      <c r="E1869" t="s">
        <v>4363</v>
      </c>
      <c r="F1869" t="s">
        <v>4004</v>
      </c>
      <c r="G1869" t="s">
        <v>4417</v>
      </c>
      <c r="I1869" t="s">
        <v>3448</v>
      </c>
      <c r="J1869" t="s">
        <v>5818</v>
      </c>
      <c r="K1869" t="s">
        <v>4363</v>
      </c>
      <c r="L1869">
        <v>32</v>
      </c>
      <c r="M1869">
        <v>2</v>
      </c>
      <c r="N1869" t="s">
        <v>4005</v>
      </c>
      <c r="O1869" t="s">
        <v>4418</v>
      </c>
      <c r="P1869">
        <v>2</v>
      </c>
      <c r="Q1869">
        <v>1</v>
      </c>
      <c r="S1869">
        <v>47</v>
      </c>
      <c r="T1869">
        <v>47</v>
      </c>
      <c r="U1869">
        <v>47</v>
      </c>
    </row>
    <row r="1870" spans="1:21" x14ac:dyDescent="0.25">
      <c r="A1870" s="5" t="s">
        <v>6217</v>
      </c>
      <c r="B1870" s="5" t="s">
        <v>6218</v>
      </c>
      <c r="C1870" t="s">
        <v>3548</v>
      </c>
      <c r="D1870" t="s">
        <v>5817</v>
      </c>
      <c r="E1870" t="s">
        <v>4363</v>
      </c>
      <c r="F1870" t="s">
        <v>4004</v>
      </c>
      <c r="G1870" t="s">
        <v>4417</v>
      </c>
      <c r="I1870" t="s">
        <v>3448</v>
      </c>
      <c r="J1870" t="s">
        <v>5818</v>
      </c>
      <c r="K1870" t="s">
        <v>4363</v>
      </c>
      <c r="L1870">
        <v>32</v>
      </c>
      <c r="M1870">
        <v>1</v>
      </c>
      <c r="N1870" t="s">
        <v>4005</v>
      </c>
      <c r="O1870" t="s">
        <v>4418</v>
      </c>
      <c r="P1870">
        <v>2</v>
      </c>
      <c r="Q1870">
        <v>1</v>
      </c>
      <c r="S1870">
        <v>25</v>
      </c>
      <c r="T1870">
        <v>25</v>
      </c>
      <c r="U1870">
        <v>25</v>
      </c>
    </row>
    <row r="1871" spans="1:21" x14ac:dyDescent="0.25">
      <c r="A1871" s="5" t="s">
        <v>6235</v>
      </c>
      <c r="B1871" s="5" t="s">
        <v>6236</v>
      </c>
      <c r="C1871" t="s">
        <v>3548</v>
      </c>
      <c r="D1871" t="s">
        <v>5817</v>
      </c>
      <c r="E1871" t="s">
        <v>4363</v>
      </c>
      <c r="F1871" t="s">
        <v>4004</v>
      </c>
      <c r="G1871" t="s">
        <v>4417</v>
      </c>
      <c r="I1871" t="s">
        <v>3448</v>
      </c>
      <c r="J1871" t="s">
        <v>5818</v>
      </c>
      <c r="K1871" t="s">
        <v>4363</v>
      </c>
      <c r="L1871">
        <v>32</v>
      </c>
      <c r="M1871">
        <v>3</v>
      </c>
      <c r="N1871" t="s">
        <v>4005</v>
      </c>
      <c r="O1871" t="s">
        <v>4418</v>
      </c>
      <c r="P1871">
        <v>2</v>
      </c>
      <c r="Q1871">
        <v>1</v>
      </c>
      <c r="S1871">
        <v>68</v>
      </c>
      <c r="T1871">
        <v>68</v>
      </c>
      <c r="U1871">
        <v>68</v>
      </c>
    </row>
    <row r="1872" spans="1:21" x14ac:dyDescent="0.25">
      <c r="A1872" s="5" t="s">
        <v>6249</v>
      </c>
      <c r="B1872" s="5" t="s">
        <v>6250</v>
      </c>
      <c r="C1872" t="s">
        <v>3548</v>
      </c>
      <c r="D1872" t="s">
        <v>5817</v>
      </c>
      <c r="E1872" t="s">
        <v>4363</v>
      </c>
      <c r="F1872" t="s">
        <v>4004</v>
      </c>
      <c r="G1872" t="s">
        <v>4417</v>
      </c>
      <c r="I1872" t="s">
        <v>3448</v>
      </c>
      <c r="J1872" t="s">
        <v>5818</v>
      </c>
      <c r="K1872" t="s">
        <v>4363</v>
      </c>
      <c r="L1872">
        <v>32</v>
      </c>
      <c r="M1872">
        <v>4</v>
      </c>
      <c r="N1872" t="s">
        <v>4005</v>
      </c>
      <c r="O1872" t="s">
        <v>4418</v>
      </c>
      <c r="P1872">
        <v>2</v>
      </c>
      <c r="Q1872">
        <v>1</v>
      </c>
      <c r="S1872">
        <v>88</v>
      </c>
      <c r="T1872">
        <v>88</v>
      </c>
      <c r="U1872">
        <v>88</v>
      </c>
    </row>
    <row r="1873" spans="1:21" x14ac:dyDescent="0.25">
      <c r="A1873" s="5" t="s">
        <v>6511</v>
      </c>
      <c r="B1873" s="5" t="s">
        <v>6512</v>
      </c>
      <c r="C1873" t="s">
        <v>3450</v>
      </c>
      <c r="D1873" t="s">
        <v>3563</v>
      </c>
      <c r="E1873" t="s">
        <v>6513</v>
      </c>
      <c r="I1873" t="s">
        <v>3450</v>
      </c>
      <c r="J1873" t="s">
        <v>6514</v>
      </c>
      <c r="K1873" t="s">
        <v>3372</v>
      </c>
      <c r="L1873">
        <v>102</v>
      </c>
      <c r="M1873">
        <v>1</v>
      </c>
      <c r="S1873">
        <v>105</v>
      </c>
      <c r="T1873">
        <v>105</v>
      </c>
      <c r="U1873">
        <v>105</v>
      </c>
    </row>
    <row r="1874" spans="1:21" x14ac:dyDescent="0.25">
      <c r="A1874" s="5" t="s">
        <v>6515</v>
      </c>
      <c r="B1874" s="5" t="s">
        <v>6516</v>
      </c>
      <c r="C1874" t="s">
        <v>3450</v>
      </c>
      <c r="D1874" t="s">
        <v>3563</v>
      </c>
      <c r="E1874" t="s">
        <v>6513</v>
      </c>
      <c r="I1874" t="s">
        <v>3450</v>
      </c>
      <c r="J1874" t="s">
        <v>6514</v>
      </c>
      <c r="K1874" t="s">
        <v>3372</v>
      </c>
      <c r="L1874">
        <v>103</v>
      </c>
      <c r="M1874">
        <v>1</v>
      </c>
      <c r="S1874">
        <v>92</v>
      </c>
      <c r="T1874">
        <v>92</v>
      </c>
      <c r="U1874">
        <v>92</v>
      </c>
    </row>
    <row r="1875" spans="1:21" x14ac:dyDescent="0.25">
      <c r="A1875" s="5" t="s">
        <v>6517</v>
      </c>
      <c r="B1875" s="5" t="s">
        <v>6518</v>
      </c>
      <c r="C1875" t="s">
        <v>3450</v>
      </c>
      <c r="D1875" t="s">
        <v>3563</v>
      </c>
      <c r="E1875" t="s">
        <v>6513</v>
      </c>
      <c r="I1875" t="s">
        <v>3450</v>
      </c>
      <c r="J1875" t="s">
        <v>6514</v>
      </c>
      <c r="K1875" t="s">
        <v>3372</v>
      </c>
      <c r="L1875">
        <v>177</v>
      </c>
      <c r="M1875">
        <v>1</v>
      </c>
      <c r="S1875">
        <v>177</v>
      </c>
      <c r="T1875">
        <v>177</v>
      </c>
      <c r="U1875">
        <v>177</v>
      </c>
    </row>
    <row r="1876" spans="1:21" x14ac:dyDescent="0.25">
      <c r="A1876" s="5" t="s">
        <v>6519</v>
      </c>
      <c r="B1876" s="5" t="s">
        <v>6520</v>
      </c>
      <c r="C1876" t="s">
        <v>3450</v>
      </c>
      <c r="D1876" t="s">
        <v>3563</v>
      </c>
      <c r="E1876" t="s">
        <v>6513</v>
      </c>
      <c r="I1876" t="s">
        <v>3450</v>
      </c>
      <c r="J1876" t="s">
        <v>6514</v>
      </c>
      <c r="K1876" t="s">
        <v>3372</v>
      </c>
      <c r="L1876">
        <v>26</v>
      </c>
      <c r="M1876">
        <v>1</v>
      </c>
      <c r="S1876">
        <v>26</v>
      </c>
      <c r="T1876">
        <v>26</v>
      </c>
      <c r="U1876">
        <v>26</v>
      </c>
    </row>
    <row r="1877" spans="1:21" x14ac:dyDescent="0.25">
      <c r="A1877" s="5" t="s">
        <v>6521</v>
      </c>
      <c r="B1877" s="5" t="s">
        <v>6522</v>
      </c>
      <c r="C1877" t="s">
        <v>3450</v>
      </c>
      <c r="D1877" t="s">
        <v>3563</v>
      </c>
      <c r="E1877" t="s">
        <v>6513</v>
      </c>
      <c r="I1877" t="s">
        <v>3450</v>
      </c>
      <c r="J1877" t="s">
        <v>6514</v>
      </c>
      <c r="K1877" t="s">
        <v>3372</v>
      </c>
      <c r="L1877">
        <v>53</v>
      </c>
      <c r="M1877">
        <v>1</v>
      </c>
      <c r="S1877">
        <v>53</v>
      </c>
      <c r="T1877">
        <v>53</v>
      </c>
      <c r="U1877">
        <v>53</v>
      </c>
    </row>
    <row r="1878" spans="1:21" x14ac:dyDescent="0.25">
      <c r="A1878" s="5" t="s">
        <v>6523</v>
      </c>
      <c r="B1878" s="5" t="s">
        <v>6524</v>
      </c>
      <c r="C1878" t="s">
        <v>3450</v>
      </c>
      <c r="D1878" t="s">
        <v>3563</v>
      </c>
      <c r="E1878" t="s">
        <v>6513</v>
      </c>
      <c r="I1878" t="s">
        <v>3450</v>
      </c>
      <c r="J1878" t="s">
        <v>6514</v>
      </c>
      <c r="K1878" t="s">
        <v>3372</v>
      </c>
      <c r="L1878">
        <v>54</v>
      </c>
      <c r="M1878">
        <v>1</v>
      </c>
      <c r="S1878">
        <v>55</v>
      </c>
      <c r="T1878">
        <v>55</v>
      </c>
      <c r="U1878">
        <v>55</v>
      </c>
    </row>
    <row r="1879" spans="1:21" x14ac:dyDescent="0.25">
      <c r="A1879" s="5" t="s">
        <v>6525</v>
      </c>
      <c r="B1879" s="5" t="s">
        <v>6526</v>
      </c>
      <c r="C1879" t="s">
        <v>3450</v>
      </c>
      <c r="D1879" t="s">
        <v>3563</v>
      </c>
      <c r="E1879" t="s">
        <v>6513</v>
      </c>
      <c r="I1879" t="s">
        <v>3450</v>
      </c>
      <c r="J1879" t="s">
        <v>6514</v>
      </c>
      <c r="K1879" t="s">
        <v>3372</v>
      </c>
      <c r="L1879">
        <v>72</v>
      </c>
      <c r="M1879">
        <v>1</v>
      </c>
      <c r="S1879">
        <v>59</v>
      </c>
      <c r="T1879">
        <v>59</v>
      </c>
      <c r="U1879">
        <v>59</v>
      </c>
    </row>
    <row r="1880" spans="1:21" x14ac:dyDescent="0.25">
      <c r="A1880" s="5" t="s">
        <v>6527</v>
      </c>
      <c r="B1880" s="5" t="s">
        <v>6528</v>
      </c>
      <c r="C1880" t="s">
        <v>3450</v>
      </c>
      <c r="D1880" t="s">
        <v>3563</v>
      </c>
      <c r="E1880" t="s">
        <v>6513</v>
      </c>
      <c r="I1880" t="s">
        <v>3450</v>
      </c>
      <c r="J1880" t="s">
        <v>6514</v>
      </c>
      <c r="K1880" t="s">
        <v>3372</v>
      </c>
      <c r="L1880">
        <v>80</v>
      </c>
      <c r="M1880">
        <v>1</v>
      </c>
      <c r="S1880">
        <v>75</v>
      </c>
      <c r="T1880">
        <v>75</v>
      </c>
      <c r="U1880">
        <v>75</v>
      </c>
    </row>
    <row r="1881" spans="1:21" x14ac:dyDescent="0.25">
      <c r="A1881" s="5" t="s">
        <v>7674</v>
      </c>
      <c r="B1881" s="5" t="s">
        <v>7675</v>
      </c>
      <c r="C1881" t="s">
        <v>3450</v>
      </c>
      <c r="D1881" t="s">
        <v>6616</v>
      </c>
      <c r="E1881" t="s">
        <v>6513</v>
      </c>
      <c r="I1881" t="s">
        <v>3450</v>
      </c>
      <c r="J1881" t="s">
        <v>6618</v>
      </c>
      <c r="K1881" t="s">
        <v>3372</v>
      </c>
      <c r="L1881">
        <v>102</v>
      </c>
      <c r="M1881">
        <v>1</v>
      </c>
      <c r="S1881">
        <v>105</v>
      </c>
      <c r="T1881">
        <v>105</v>
      </c>
      <c r="U1881">
        <v>105</v>
      </c>
    </row>
    <row r="1882" spans="1:21" x14ac:dyDescent="0.25">
      <c r="A1882" s="5" t="s">
        <v>7676</v>
      </c>
      <c r="B1882" s="5" t="s">
        <v>7677</v>
      </c>
      <c r="C1882" t="s">
        <v>3450</v>
      </c>
      <c r="D1882" t="s">
        <v>6616</v>
      </c>
      <c r="E1882" t="s">
        <v>6513</v>
      </c>
      <c r="I1882" t="s">
        <v>3450</v>
      </c>
      <c r="J1882" t="s">
        <v>6618</v>
      </c>
      <c r="K1882" t="s">
        <v>3372</v>
      </c>
      <c r="L1882">
        <v>103</v>
      </c>
      <c r="M1882">
        <v>1</v>
      </c>
      <c r="S1882">
        <v>92</v>
      </c>
      <c r="T1882">
        <v>92</v>
      </c>
      <c r="U1882">
        <v>92</v>
      </c>
    </row>
    <row r="1883" spans="1:21" x14ac:dyDescent="0.25">
      <c r="A1883" s="5" t="s">
        <v>7678</v>
      </c>
      <c r="B1883" s="5" t="s">
        <v>7679</v>
      </c>
      <c r="C1883" t="s">
        <v>3450</v>
      </c>
      <c r="D1883" t="s">
        <v>6616</v>
      </c>
      <c r="E1883" t="s">
        <v>6513</v>
      </c>
      <c r="I1883" t="s">
        <v>3450</v>
      </c>
      <c r="J1883" t="s">
        <v>6618</v>
      </c>
      <c r="K1883" t="s">
        <v>3372</v>
      </c>
      <c r="L1883">
        <v>177</v>
      </c>
      <c r="M1883">
        <v>1</v>
      </c>
      <c r="S1883">
        <v>177</v>
      </c>
      <c r="T1883">
        <v>177</v>
      </c>
      <c r="U1883">
        <v>177</v>
      </c>
    </row>
    <row r="1884" spans="1:21" x14ac:dyDescent="0.25">
      <c r="A1884" s="5" t="s">
        <v>7680</v>
      </c>
      <c r="B1884" s="5" t="s">
        <v>7681</v>
      </c>
      <c r="C1884" t="s">
        <v>3450</v>
      </c>
      <c r="D1884" t="s">
        <v>6616</v>
      </c>
      <c r="E1884" t="s">
        <v>6513</v>
      </c>
      <c r="I1884" t="s">
        <v>3450</v>
      </c>
      <c r="J1884" t="s">
        <v>6618</v>
      </c>
      <c r="K1884" t="s">
        <v>3372</v>
      </c>
      <c r="L1884">
        <v>26</v>
      </c>
      <c r="M1884">
        <v>1</v>
      </c>
      <c r="S1884">
        <v>26</v>
      </c>
      <c r="T1884">
        <v>26</v>
      </c>
      <c r="U1884">
        <v>26</v>
      </c>
    </row>
    <row r="1885" spans="1:21" x14ac:dyDescent="0.25">
      <c r="A1885" s="5" t="s">
        <v>7682</v>
      </c>
      <c r="B1885" s="5" t="s">
        <v>7683</v>
      </c>
      <c r="C1885" t="s">
        <v>3450</v>
      </c>
      <c r="D1885" t="s">
        <v>6616</v>
      </c>
      <c r="E1885" t="s">
        <v>6513</v>
      </c>
      <c r="I1885" t="s">
        <v>3450</v>
      </c>
      <c r="J1885" t="s">
        <v>6618</v>
      </c>
      <c r="K1885" t="s">
        <v>3372</v>
      </c>
      <c r="L1885">
        <v>53</v>
      </c>
      <c r="M1885">
        <v>1</v>
      </c>
      <c r="S1885">
        <v>53</v>
      </c>
      <c r="T1885">
        <v>53</v>
      </c>
      <c r="U1885">
        <v>53</v>
      </c>
    </row>
    <row r="1886" spans="1:21" x14ac:dyDescent="0.25">
      <c r="A1886" s="5" t="s">
        <v>7684</v>
      </c>
      <c r="B1886" s="5" t="s">
        <v>7685</v>
      </c>
      <c r="C1886" t="s">
        <v>3450</v>
      </c>
      <c r="D1886" t="s">
        <v>6616</v>
      </c>
      <c r="E1886" t="s">
        <v>6513</v>
      </c>
      <c r="I1886" t="s">
        <v>3450</v>
      </c>
      <c r="J1886" t="s">
        <v>6618</v>
      </c>
      <c r="K1886" t="s">
        <v>3372</v>
      </c>
      <c r="L1886">
        <v>54</v>
      </c>
      <c r="M1886">
        <v>1</v>
      </c>
      <c r="S1886">
        <v>55</v>
      </c>
      <c r="T1886">
        <v>55</v>
      </c>
      <c r="U1886">
        <v>55</v>
      </c>
    </row>
    <row r="1887" spans="1:21" x14ac:dyDescent="0.25">
      <c r="A1887" s="5" t="s">
        <v>7686</v>
      </c>
      <c r="B1887" s="5" t="s">
        <v>7687</v>
      </c>
      <c r="C1887" t="s">
        <v>3450</v>
      </c>
      <c r="D1887" t="s">
        <v>6616</v>
      </c>
      <c r="E1887" t="s">
        <v>6513</v>
      </c>
      <c r="I1887" t="s">
        <v>3450</v>
      </c>
      <c r="J1887" t="s">
        <v>6618</v>
      </c>
      <c r="K1887" t="s">
        <v>3372</v>
      </c>
      <c r="L1887">
        <v>72</v>
      </c>
      <c r="M1887">
        <v>1</v>
      </c>
      <c r="S1887">
        <v>59</v>
      </c>
      <c r="T1887">
        <v>59</v>
      </c>
      <c r="U1887">
        <v>59</v>
      </c>
    </row>
    <row r="1888" spans="1:21" x14ac:dyDescent="0.25">
      <c r="A1888" s="5" t="s">
        <v>7688</v>
      </c>
      <c r="B1888" s="5" t="s">
        <v>7689</v>
      </c>
      <c r="C1888" t="s">
        <v>3450</v>
      </c>
      <c r="D1888" t="s">
        <v>6616</v>
      </c>
      <c r="E1888" t="s">
        <v>6513</v>
      </c>
      <c r="I1888" t="s">
        <v>3450</v>
      </c>
      <c r="J1888" t="s">
        <v>6618</v>
      </c>
      <c r="K1888" t="s">
        <v>3372</v>
      </c>
      <c r="L1888">
        <v>80</v>
      </c>
      <c r="M1888">
        <v>1</v>
      </c>
      <c r="S1888">
        <v>75</v>
      </c>
      <c r="T1888">
        <v>75</v>
      </c>
      <c r="U1888">
        <v>75</v>
      </c>
    </row>
    <row r="1889" spans="1:21" x14ac:dyDescent="0.25">
      <c r="A1889" s="5" t="s">
        <v>6673</v>
      </c>
      <c r="B1889" s="5" t="s">
        <v>6674</v>
      </c>
      <c r="C1889" t="s">
        <v>3450</v>
      </c>
      <c r="D1889" t="s">
        <v>6616</v>
      </c>
      <c r="E1889" t="s">
        <v>6675</v>
      </c>
      <c r="I1889" t="s">
        <v>3450</v>
      </c>
      <c r="J1889" t="s">
        <v>6618</v>
      </c>
      <c r="K1889" t="s">
        <v>6676</v>
      </c>
      <c r="L1889">
        <v>15</v>
      </c>
      <c r="M1889">
        <v>1</v>
      </c>
      <c r="S1889">
        <v>15</v>
      </c>
      <c r="T1889">
        <v>15</v>
      </c>
      <c r="U1889">
        <v>15</v>
      </c>
    </row>
    <row r="1890" spans="1:21" x14ac:dyDescent="0.25">
      <c r="A1890" s="5" t="s">
        <v>6677</v>
      </c>
      <c r="B1890" s="5" t="s">
        <v>6678</v>
      </c>
      <c r="C1890" t="s">
        <v>3450</v>
      </c>
      <c r="D1890" t="s">
        <v>6616</v>
      </c>
      <c r="E1890" t="s">
        <v>6675</v>
      </c>
      <c r="I1890" t="s">
        <v>3450</v>
      </c>
      <c r="J1890" t="s">
        <v>6618</v>
      </c>
      <c r="K1890" t="s">
        <v>6676</v>
      </c>
      <c r="L1890">
        <v>20</v>
      </c>
      <c r="M1890">
        <v>1</v>
      </c>
      <c r="S1890">
        <v>22</v>
      </c>
      <c r="T1890">
        <v>22</v>
      </c>
      <c r="U1890">
        <v>22</v>
      </c>
    </row>
    <row r="1891" spans="1:21" x14ac:dyDescent="0.25">
      <c r="A1891" s="5" t="s">
        <v>6679</v>
      </c>
      <c r="B1891" s="5" t="s">
        <v>6680</v>
      </c>
      <c r="C1891" t="s">
        <v>3450</v>
      </c>
      <c r="D1891" t="s">
        <v>6616</v>
      </c>
      <c r="E1891" t="s">
        <v>6675</v>
      </c>
      <c r="I1891" t="s">
        <v>3450</v>
      </c>
      <c r="J1891" t="s">
        <v>6618</v>
      </c>
      <c r="K1891" t="s">
        <v>6676</v>
      </c>
      <c r="L1891">
        <v>22</v>
      </c>
      <c r="M1891">
        <v>1</v>
      </c>
      <c r="S1891">
        <v>22</v>
      </c>
      <c r="T1891">
        <v>22</v>
      </c>
      <c r="U1891">
        <v>22</v>
      </c>
    </row>
    <row r="1892" spans="1:21" x14ac:dyDescent="0.25">
      <c r="A1892" s="5" t="s">
        <v>6681</v>
      </c>
      <c r="B1892" s="5" t="s">
        <v>6682</v>
      </c>
      <c r="C1892" t="s">
        <v>3450</v>
      </c>
      <c r="D1892" t="s">
        <v>6616</v>
      </c>
      <c r="E1892" t="s">
        <v>6675</v>
      </c>
      <c r="I1892" t="s">
        <v>3450</v>
      </c>
      <c r="J1892" t="s">
        <v>6618</v>
      </c>
      <c r="K1892" t="s">
        <v>6676</v>
      </c>
      <c r="L1892">
        <v>53</v>
      </c>
      <c r="M1892">
        <v>1</v>
      </c>
      <c r="S1892">
        <v>53</v>
      </c>
      <c r="T1892">
        <v>53</v>
      </c>
      <c r="U1892">
        <v>53</v>
      </c>
    </row>
    <row r="1893" spans="1:21" x14ac:dyDescent="0.25">
      <c r="A1893" s="5" t="s">
        <v>6683</v>
      </c>
      <c r="B1893" s="5" t="s">
        <v>6684</v>
      </c>
      <c r="C1893" t="s">
        <v>3450</v>
      </c>
      <c r="D1893" t="s">
        <v>6616</v>
      </c>
      <c r="E1893" t="s">
        <v>6675</v>
      </c>
      <c r="I1893" t="s">
        <v>3450</v>
      </c>
      <c r="J1893" t="s">
        <v>6618</v>
      </c>
      <c r="K1893" t="s">
        <v>6676</v>
      </c>
      <c r="L1893">
        <v>71</v>
      </c>
      <c r="M1893">
        <v>1</v>
      </c>
      <c r="S1893">
        <v>69</v>
      </c>
      <c r="T1893">
        <v>69</v>
      </c>
      <c r="U1893">
        <v>69</v>
      </c>
    </row>
    <row r="1894" spans="1:21" x14ac:dyDescent="0.25">
      <c r="A1894" s="5" t="s">
        <v>6685</v>
      </c>
      <c r="B1894" s="5" t="s">
        <v>6686</v>
      </c>
      <c r="C1894" t="s">
        <v>3450</v>
      </c>
      <c r="D1894" t="s">
        <v>6616</v>
      </c>
      <c r="E1894" t="s">
        <v>6675</v>
      </c>
      <c r="I1894" t="s">
        <v>3450</v>
      </c>
      <c r="J1894" t="s">
        <v>6618</v>
      </c>
      <c r="K1894" t="s">
        <v>6676</v>
      </c>
      <c r="L1894">
        <v>88</v>
      </c>
      <c r="M1894">
        <v>1</v>
      </c>
      <c r="S1894">
        <v>85</v>
      </c>
      <c r="T1894">
        <v>85</v>
      </c>
      <c r="U1894">
        <v>85</v>
      </c>
    </row>
    <row r="1895" spans="1:21" x14ac:dyDescent="0.25">
      <c r="A1895" s="5" t="s">
        <v>7690</v>
      </c>
      <c r="B1895" s="5" t="s">
        <v>7367</v>
      </c>
      <c r="C1895" t="s">
        <v>3548</v>
      </c>
      <c r="D1895" t="s">
        <v>3782</v>
      </c>
      <c r="E1895" t="s">
        <v>7368</v>
      </c>
      <c r="F1895" t="s">
        <v>5618</v>
      </c>
      <c r="G1895" t="s">
        <v>3501</v>
      </c>
      <c r="H1895" t="s">
        <v>3838</v>
      </c>
      <c r="I1895" t="s">
        <v>3448</v>
      </c>
      <c r="J1895" t="s">
        <v>3783</v>
      </c>
      <c r="K1895" t="s">
        <v>7369</v>
      </c>
      <c r="L1895">
        <v>25</v>
      </c>
      <c r="M1895">
        <v>2</v>
      </c>
      <c r="N1895" t="s">
        <v>5620</v>
      </c>
      <c r="O1895" t="s">
        <v>5621</v>
      </c>
      <c r="P1895">
        <v>4</v>
      </c>
      <c r="Q1895">
        <v>1</v>
      </c>
      <c r="S1895">
        <v>56</v>
      </c>
      <c r="T1895">
        <v>56</v>
      </c>
      <c r="U1895">
        <v>56</v>
      </c>
    </row>
    <row r="1896" spans="1:21" x14ac:dyDescent="0.25">
      <c r="A1896" s="5" t="s">
        <v>7691</v>
      </c>
      <c r="B1896" s="5" t="s">
        <v>7383</v>
      </c>
      <c r="C1896" t="s">
        <v>3548</v>
      </c>
      <c r="D1896" t="s">
        <v>3782</v>
      </c>
      <c r="E1896" t="s">
        <v>7368</v>
      </c>
      <c r="F1896" t="s">
        <v>5618</v>
      </c>
      <c r="G1896" t="s">
        <v>3501</v>
      </c>
      <c r="H1896" t="s">
        <v>3838</v>
      </c>
      <c r="I1896" t="s">
        <v>3448</v>
      </c>
      <c r="J1896" t="s">
        <v>3783</v>
      </c>
      <c r="K1896" t="s">
        <v>7369</v>
      </c>
      <c r="L1896">
        <v>28</v>
      </c>
      <c r="M1896">
        <v>2</v>
      </c>
      <c r="N1896" t="s">
        <v>5620</v>
      </c>
      <c r="O1896" t="s">
        <v>5621</v>
      </c>
      <c r="P1896">
        <v>4</v>
      </c>
      <c r="Q1896">
        <v>1</v>
      </c>
      <c r="S1896">
        <v>62</v>
      </c>
      <c r="T1896">
        <v>62</v>
      </c>
      <c r="U1896">
        <v>62</v>
      </c>
    </row>
    <row r="1897" spans="1:21" x14ac:dyDescent="0.25">
      <c r="A1897" s="5" t="s">
        <v>7692</v>
      </c>
      <c r="B1897" s="5" t="s">
        <v>7397</v>
      </c>
      <c r="C1897" t="s">
        <v>3548</v>
      </c>
      <c r="D1897" t="s">
        <v>3782</v>
      </c>
      <c r="E1897" t="s">
        <v>7368</v>
      </c>
      <c r="F1897" t="s">
        <v>5618</v>
      </c>
      <c r="G1897" t="s">
        <v>5666</v>
      </c>
      <c r="H1897" t="s">
        <v>3838</v>
      </c>
      <c r="I1897" t="s">
        <v>3448</v>
      </c>
      <c r="J1897" t="s">
        <v>3783</v>
      </c>
      <c r="K1897" t="s">
        <v>7369</v>
      </c>
      <c r="L1897">
        <v>32</v>
      </c>
      <c r="M1897">
        <v>2</v>
      </c>
      <c r="N1897" t="s">
        <v>5620</v>
      </c>
      <c r="O1897" t="s">
        <v>5621</v>
      </c>
      <c r="P1897">
        <v>4</v>
      </c>
      <c r="Q1897">
        <v>1</v>
      </c>
      <c r="S1897">
        <v>71</v>
      </c>
      <c r="T1897">
        <v>71</v>
      </c>
      <c r="U1897">
        <v>71</v>
      </c>
    </row>
    <row r="1898" spans="1:21" x14ac:dyDescent="0.25">
      <c r="A1898" s="5" t="s">
        <v>7693</v>
      </c>
      <c r="B1898" s="5" t="s">
        <v>7401</v>
      </c>
      <c r="C1898" t="s">
        <v>3548</v>
      </c>
      <c r="D1898" t="s">
        <v>3782</v>
      </c>
      <c r="E1898" t="s">
        <v>7368</v>
      </c>
      <c r="F1898" t="s">
        <v>5709</v>
      </c>
      <c r="G1898" t="s">
        <v>5666</v>
      </c>
      <c r="H1898" t="s">
        <v>3838</v>
      </c>
      <c r="I1898" t="s">
        <v>3448</v>
      </c>
      <c r="J1898" t="s">
        <v>3783</v>
      </c>
      <c r="K1898" t="s">
        <v>7369</v>
      </c>
      <c r="L1898">
        <v>32</v>
      </c>
      <c r="M1898">
        <v>2</v>
      </c>
      <c r="N1898" t="s">
        <v>5710</v>
      </c>
      <c r="O1898" t="s">
        <v>5621</v>
      </c>
      <c r="P1898">
        <v>4</v>
      </c>
      <c r="Q1898">
        <v>1</v>
      </c>
      <c r="S1898">
        <v>72</v>
      </c>
      <c r="T1898">
        <v>72</v>
      </c>
      <c r="U1898">
        <v>72</v>
      </c>
    </row>
    <row r="1899" spans="1:21" x14ac:dyDescent="0.25">
      <c r="A1899" s="5" t="s">
        <v>7694</v>
      </c>
      <c r="B1899" s="5" t="s">
        <v>7695</v>
      </c>
      <c r="C1899" t="s">
        <v>3548</v>
      </c>
      <c r="D1899" t="s">
        <v>3782</v>
      </c>
      <c r="E1899" t="s">
        <v>7368</v>
      </c>
      <c r="F1899" t="s">
        <v>4835</v>
      </c>
      <c r="G1899" t="s">
        <v>5666</v>
      </c>
      <c r="H1899" t="s">
        <v>3838</v>
      </c>
      <c r="I1899" t="s">
        <v>3448</v>
      </c>
      <c r="J1899" t="s">
        <v>3783</v>
      </c>
      <c r="K1899" t="s">
        <v>7369</v>
      </c>
      <c r="L1899">
        <v>32</v>
      </c>
      <c r="M1899">
        <v>1</v>
      </c>
      <c r="N1899" t="s">
        <v>4836</v>
      </c>
      <c r="O1899" t="s">
        <v>5621</v>
      </c>
      <c r="P1899">
        <v>4</v>
      </c>
      <c r="Q1899">
        <v>1</v>
      </c>
      <c r="S1899">
        <v>37</v>
      </c>
      <c r="T1899">
        <v>37</v>
      </c>
      <c r="U1899">
        <v>37</v>
      </c>
    </row>
    <row r="1900" spans="1:21" x14ac:dyDescent="0.25">
      <c r="A1900" s="5" t="s">
        <v>7696</v>
      </c>
      <c r="B1900" s="5" t="s">
        <v>7695</v>
      </c>
      <c r="C1900" t="s">
        <v>3548</v>
      </c>
      <c r="D1900" t="s">
        <v>3782</v>
      </c>
      <c r="E1900" t="s">
        <v>7368</v>
      </c>
      <c r="F1900" t="s">
        <v>4835</v>
      </c>
      <c r="G1900" t="s">
        <v>5666</v>
      </c>
      <c r="H1900" t="s">
        <v>3848</v>
      </c>
      <c r="I1900" t="s">
        <v>3448</v>
      </c>
      <c r="J1900" t="s">
        <v>3783</v>
      </c>
      <c r="K1900" t="s">
        <v>7369</v>
      </c>
      <c r="L1900">
        <v>32</v>
      </c>
      <c r="M1900">
        <v>1</v>
      </c>
      <c r="N1900" t="s">
        <v>4836</v>
      </c>
      <c r="O1900" t="s">
        <v>5621</v>
      </c>
      <c r="P1900">
        <v>4</v>
      </c>
      <c r="Q1900">
        <v>1</v>
      </c>
      <c r="S1900">
        <v>36</v>
      </c>
      <c r="T1900">
        <v>36</v>
      </c>
      <c r="U1900">
        <v>36</v>
      </c>
    </row>
    <row r="1901" spans="1:21" x14ac:dyDescent="0.25">
      <c r="A1901" s="5" t="s">
        <v>7697</v>
      </c>
      <c r="B1901" s="5" t="s">
        <v>7695</v>
      </c>
      <c r="C1901" t="s">
        <v>3548</v>
      </c>
      <c r="D1901" t="s">
        <v>3782</v>
      </c>
      <c r="E1901" t="s">
        <v>7368</v>
      </c>
      <c r="F1901" t="s">
        <v>4835</v>
      </c>
      <c r="G1901" t="s">
        <v>5666</v>
      </c>
      <c r="H1901" t="s">
        <v>3816</v>
      </c>
      <c r="I1901" t="s">
        <v>3448</v>
      </c>
      <c r="J1901" t="s">
        <v>3783</v>
      </c>
      <c r="K1901" t="s">
        <v>7369</v>
      </c>
      <c r="L1901">
        <v>32</v>
      </c>
      <c r="M1901">
        <v>1</v>
      </c>
      <c r="N1901" t="s">
        <v>4836</v>
      </c>
      <c r="O1901" t="s">
        <v>5621</v>
      </c>
      <c r="P1901">
        <v>4</v>
      </c>
      <c r="Q1901">
        <v>1</v>
      </c>
      <c r="S1901">
        <v>36</v>
      </c>
      <c r="T1901">
        <v>36</v>
      </c>
      <c r="U1901">
        <v>36</v>
      </c>
    </row>
    <row r="1902" spans="1:21" x14ac:dyDescent="0.25">
      <c r="A1902" s="5" t="s">
        <v>7698</v>
      </c>
      <c r="B1902" s="5" t="s">
        <v>7411</v>
      </c>
      <c r="C1902" t="s">
        <v>3548</v>
      </c>
      <c r="D1902" t="s">
        <v>3782</v>
      </c>
      <c r="E1902" t="s">
        <v>7368</v>
      </c>
      <c r="F1902" t="s">
        <v>5173</v>
      </c>
      <c r="G1902" t="s">
        <v>5666</v>
      </c>
      <c r="H1902" t="s">
        <v>3838</v>
      </c>
      <c r="I1902" t="s">
        <v>3448</v>
      </c>
      <c r="J1902" t="s">
        <v>3783</v>
      </c>
      <c r="K1902" t="s">
        <v>7369</v>
      </c>
      <c r="L1902">
        <v>32</v>
      </c>
      <c r="M1902">
        <v>1</v>
      </c>
      <c r="N1902" t="s">
        <v>5174</v>
      </c>
      <c r="O1902" t="s">
        <v>5621</v>
      </c>
      <c r="P1902">
        <v>4</v>
      </c>
      <c r="Q1902">
        <v>1</v>
      </c>
      <c r="S1902">
        <v>37</v>
      </c>
      <c r="T1902">
        <v>37</v>
      </c>
      <c r="U1902">
        <v>37</v>
      </c>
    </row>
    <row r="1903" spans="1:21" x14ac:dyDescent="0.25">
      <c r="A1903" s="5" t="s">
        <v>7699</v>
      </c>
      <c r="B1903" s="5" t="s">
        <v>7411</v>
      </c>
      <c r="C1903" t="s">
        <v>3548</v>
      </c>
      <c r="D1903" t="s">
        <v>3782</v>
      </c>
      <c r="E1903" t="s">
        <v>7368</v>
      </c>
      <c r="F1903" t="s">
        <v>5173</v>
      </c>
      <c r="G1903" t="s">
        <v>5666</v>
      </c>
      <c r="H1903" t="s">
        <v>3848</v>
      </c>
      <c r="I1903" t="s">
        <v>3448</v>
      </c>
      <c r="J1903" t="s">
        <v>3783</v>
      </c>
      <c r="K1903" t="s">
        <v>7369</v>
      </c>
      <c r="L1903">
        <v>32</v>
      </c>
      <c r="M1903">
        <v>1</v>
      </c>
      <c r="N1903" t="s">
        <v>5174</v>
      </c>
      <c r="O1903" t="s">
        <v>5621</v>
      </c>
      <c r="P1903">
        <v>4</v>
      </c>
      <c r="Q1903">
        <v>1</v>
      </c>
      <c r="S1903">
        <v>37</v>
      </c>
      <c r="T1903">
        <v>37</v>
      </c>
      <c r="U1903">
        <v>37</v>
      </c>
    </row>
    <row r="1904" spans="1:21" x14ac:dyDescent="0.25">
      <c r="A1904" s="5" t="s">
        <v>7700</v>
      </c>
      <c r="B1904" s="5" t="s">
        <v>7411</v>
      </c>
      <c r="C1904" t="s">
        <v>3548</v>
      </c>
      <c r="D1904" t="s">
        <v>3782</v>
      </c>
      <c r="E1904" t="s">
        <v>7368</v>
      </c>
      <c r="F1904" t="s">
        <v>5173</v>
      </c>
      <c r="G1904" t="s">
        <v>5666</v>
      </c>
      <c r="H1904" t="s">
        <v>3816</v>
      </c>
      <c r="I1904" t="s">
        <v>3448</v>
      </c>
      <c r="J1904" t="s">
        <v>3783</v>
      </c>
      <c r="K1904" t="s">
        <v>7369</v>
      </c>
      <c r="L1904">
        <v>32</v>
      </c>
      <c r="M1904">
        <v>1</v>
      </c>
      <c r="N1904" t="s">
        <v>5174</v>
      </c>
      <c r="O1904" t="s">
        <v>5621</v>
      </c>
      <c r="P1904">
        <v>4</v>
      </c>
      <c r="Q1904">
        <v>1</v>
      </c>
      <c r="S1904">
        <v>36</v>
      </c>
      <c r="T1904">
        <v>36</v>
      </c>
      <c r="U1904">
        <v>36</v>
      </c>
    </row>
    <row r="1905" spans="1:21" x14ac:dyDescent="0.25">
      <c r="A1905" s="5" t="s">
        <v>7701</v>
      </c>
      <c r="B1905" s="5" t="s">
        <v>7702</v>
      </c>
      <c r="C1905" t="s">
        <v>660</v>
      </c>
      <c r="D1905" t="s">
        <v>3563</v>
      </c>
      <c r="E1905" t="s">
        <v>6500</v>
      </c>
      <c r="F1905" t="s">
        <v>6501</v>
      </c>
      <c r="G1905" t="s">
        <v>3501</v>
      </c>
      <c r="I1905" t="s">
        <v>6502</v>
      </c>
      <c r="J1905" t="s">
        <v>6514</v>
      </c>
      <c r="K1905" t="s">
        <v>6503</v>
      </c>
      <c r="L1905">
        <v>100</v>
      </c>
      <c r="M1905">
        <v>1</v>
      </c>
      <c r="N1905" t="s">
        <v>6504</v>
      </c>
      <c r="O1905" t="s">
        <v>3502</v>
      </c>
      <c r="Q1905">
        <v>1</v>
      </c>
      <c r="S1905">
        <v>107</v>
      </c>
      <c r="T1905">
        <v>107</v>
      </c>
      <c r="U1905">
        <v>107</v>
      </c>
    </row>
    <row r="1906" spans="1:21" x14ac:dyDescent="0.25">
      <c r="A1906" s="5" t="s">
        <v>7703</v>
      </c>
      <c r="B1906" s="5" t="s">
        <v>7704</v>
      </c>
      <c r="C1906" t="s">
        <v>660</v>
      </c>
      <c r="D1906" t="s">
        <v>3563</v>
      </c>
      <c r="E1906" t="s">
        <v>6500</v>
      </c>
      <c r="F1906" t="s">
        <v>6501</v>
      </c>
      <c r="G1906" t="s">
        <v>3501</v>
      </c>
      <c r="I1906" t="s">
        <v>6502</v>
      </c>
      <c r="J1906" t="s">
        <v>6514</v>
      </c>
      <c r="K1906" t="s">
        <v>6503</v>
      </c>
      <c r="L1906">
        <v>120</v>
      </c>
      <c r="M1906">
        <v>1</v>
      </c>
      <c r="N1906" t="s">
        <v>6504</v>
      </c>
      <c r="O1906" t="s">
        <v>3502</v>
      </c>
      <c r="Q1906">
        <v>1</v>
      </c>
      <c r="S1906">
        <v>127</v>
      </c>
      <c r="T1906">
        <v>127</v>
      </c>
      <c r="U1906">
        <v>127</v>
      </c>
    </row>
    <row r="1907" spans="1:21" x14ac:dyDescent="0.25">
      <c r="A1907" s="5" t="s">
        <v>7705</v>
      </c>
      <c r="B1907" s="5" t="s">
        <v>7706</v>
      </c>
      <c r="C1907" t="s">
        <v>660</v>
      </c>
      <c r="D1907" t="s">
        <v>3563</v>
      </c>
      <c r="E1907" t="s">
        <v>6500</v>
      </c>
      <c r="F1907" t="s">
        <v>6501</v>
      </c>
      <c r="G1907" t="s">
        <v>3501</v>
      </c>
      <c r="I1907" t="s">
        <v>6502</v>
      </c>
      <c r="J1907" t="s">
        <v>6514</v>
      </c>
      <c r="K1907" t="s">
        <v>6503</v>
      </c>
      <c r="L1907">
        <v>150</v>
      </c>
      <c r="M1907">
        <v>1</v>
      </c>
      <c r="N1907" t="s">
        <v>6504</v>
      </c>
      <c r="O1907" t="s">
        <v>3502</v>
      </c>
      <c r="Q1907">
        <v>1</v>
      </c>
      <c r="S1907">
        <v>160</v>
      </c>
      <c r="T1907">
        <v>160</v>
      </c>
      <c r="U1907">
        <v>160</v>
      </c>
    </row>
    <row r="1908" spans="1:21" x14ac:dyDescent="0.25">
      <c r="A1908" s="5" t="s">
        <v>7707</v>
      </c>
      <c r="B1908" s="5" t="s">
        <v>7708</v>
      </c>
      <c r="C1908" t="s">
        <v>660</v>
      </c>
      <c r="D1908" t="s">
        <v>3563</v>
      </c>
      <c r="E1908" t="s">
        <v>6500</v>
      </c>
      <c r="F1908" t="s">
        <v>6501</v>
      </c>
      <c r="G1908" t="s">
        <v>3501</v>
      </c>
      <c r="I1908" t="s">
        <v>6502</v>
      </c>
      <c r="J1908" t="s">
        <v>6514</v>
      </c>
      <c r="K1908" t="s">
        <v>6503</v>
      </c>
      <c r="L1908">
        <v>165</v>
      </c>
      <c r="M1908">
        <v>1</v>
      </c>
      <c r="N1908" t="s">
        <v>6504</v>
      </c>
      <c r="O1908" t="s">
        <v>3502</v>
      </c>
      <c r="Q1908">
        <v>1</v>
      </c>
      <c r="S1908">
        <v>173</v>
      </c>
      <c r="T1908">
        <v>173</v>
      </c>
      <c r="U1908">
        <v>173</v>
      </c>
    </row>
    <row r="1909" spans="1:21" x14ac:dyDescent="0.25">
      <c r="A1909" s="5" t="s">
        <v>7709</v>
      </c>
      <c r="B1909" s="5" t="s">
        <v>7710</v>
      </c>
      <c r="C1909" t="s">
        <v>660</v>
      </c>
      <c r="D1909" t="s">
        <v>3563</v>
      </c>
      <c r="E1909" t="s">
        <v>6500</v>
      </c>
      <c r="F1909" t="s">
        <v>6501</v>
      </c>
      <c r="G1909" t="s">
        <v>3501</v>
      </c>
      <c r="I1909" t="s">
        <v>6502</v>
      </c>
      <c r="J1909" t="s">
        <v>6514</v>
      </c>
      <c r="K1909" t="s">
        <v>6503</v>
      </c>
      <c r="L1909">
        <v>200</v>
      </c>
      <c r="M1909">
        <v>1</v>
      </c>
      <c r="N1909" t="s">
        <v>6504</v>
      </c>
      <c r="O1909" t="s">
        <v>3502</v>
      </c>
      <c r="Q1909">
        <v>1</v>
      </c>
      <c r="S1909">
        <v>210</v>
      </c>
      <c r="T1909">
        <v>210</v>
      </c>
      <c r="U1909">
        <v>210</v>
      </c>
    </row>
    <row r="1910" spans="1:21" x14ac:dyDescent="0.25">
      <c r="A1910" s="5" t="s">
        <v>7711</v>
      </c>
      <c r="B1910" s="5" t="s">
        <v>7712</v>
      </c>
      <c r="C1910" t="s">
        <v>660</v>
      </c>
      <c r="D1910" t="s">
        <v>3563</v>
      </c>
      <c r="E1910" t="s">
        <v>6500</v>
      </c>
      <c r="F1910" t="s">
        <v>6501</v>
      </c>
      <c r="G1910" t="s">
        <v>3501</v>
      </c>
      <c r="I1910" t="s">
        <v>6502</v>
      </c>
      <c r="J1910" t="s">
        <v>6514</v>
      </c>
      <c r="K1910" t="s">
        <v>6503</v>
      </c>
      <c r="L1910">
        <v>250</v>
      </c>
      <c r="M1910">
        <v>1</v>
      </c>
      <c r="N1910" t="s">
        <v>6504</v>
      </c>
      <c r="O1910" t="s">
        <v>3502</v>
      </c>
      <c r="Q1910">
        <v>1</v>
      </c>
      <c r="S1910">
        <v>263</v>
      </c>
      <c r="T1910">
        <v>263</v>
      </c>
      <c r="U1910">
        <v>263</v>
      </c>
    </row>
    <row r="1911" spans="1:21" x14ac:dyDescent="0.25">
      <c r="A1911" s="5" t="s">
        <v>7713</v>
      </c>
      <c r="B1911" s="5" t="s">
        <v>7714</v>
      </c>
      <c r="C1911" t="s">
        <v>660</v>
      </c>
      <c r="D1911" t="s">
        <v>3563</v>
      </c>
      <c r="E1911" t="s">
        <v>6500</v>
      </c>
      <c r="F1911" t="s">
        <v>6501</v>
      </c>
      <c r="G1911" t="s">
        <v>3501</v>
      </c>
      <c r="I1911" t="s">
        <v>6502</v>
      </c>
      <c r="J1911" t="s">
        <v>6514</v>
      </c>
      <c r="K1911" t="s">
        <v>6503</v>
      </c>
      <c r="L1911">
        <v>300</v>
      </c>
      <c r="M1911">
        <v>1</v>
      </c>
      <c r="N1911" t="s">
        <v>6504</v>
      </c>
      <c r="O1911" t="s">
        <v>3502</v>
      </c>
      <c r="Q1911">
        <v>1</v>
      </c>
      <c r="S1911">
        <v>315</v>
      </c>
      <c r="T1911">
        <v>315</v>
      </c>
      <c r="U1911">
        <v>315</v>
      </c>
    </row>
    <row r="1912" spans="1:21" x14ac:dyDescent="0.25">
      <c r="A1912" s="5" t="s">
        <v>7715</v>
      </c>
      <c r="B1912" s="5" t="s">
        <v>7716</v>
      </c>
      <c r="C1912" t="s">
        <v>660</v>
      </c>
      <c r="D1912" t="s">
        <v>3563</v>
      </c>
      <c r="E1912" t="s">
        <v>6500</v>
      </c>
      <c r="F1912" t="s">
        <v>6501</v>
      </c>
      <c r="G1912" t="s">
        <v>3501</v>
      </c>
      <c r="I1912" t="s">
        <v>6502</v>
      </c>
      <c r="J1912" t="s">
        <v>6514</v>
      </c>
      <c r="K1912" t="s">
        <v>6503</v>
      </c>
      <c r="L1912">
        <v>400</v>
      </c>
      <c r="M1912">
        <v>1</v>
      </c>
      <c r="N1912" t="s">
        <v>6504</v>
      </c>
      <c r="O1912" t="s">
        <v>3502</v>
      </c>
      <c r="Q1912">
        <v>1</v>
      </c>
      <c r="S1912">
        <v>420</v>
      </c>
      <c r="T1912">
        <v>420</v>
      </c>
      <c r="U1912">
        <v>420</v>
      </c>
    </row>
    <row r="1913" spans="1:21" x14ac:dyDescent="0.25">
      <c r="A1913" s="5" t="s">
        <v>7717</v>
      </c>
      <c r="B1913" s="5" t="s">
        <v>7718</v>
      </c>
      <c r="C1913" t="s">
        <v>660</v>
      </c>
      <c r="D1913" t="s">
        <v>3563</v>
      </c>
      <c r="E1913" t="s">
        <v>6500</v>
      </c>
      <c r="F1913" t="s">
        <v>6501</v>
      </c>
      <c r="G1913" t="s">
        <v>3501</v>
      </c>
      <c r="I1913" t="s">
        <v>6502</v>
      </c>
      <c r="J1913" t="s">
        <v>6514</v>
      </c>
      <c r="K1913" t="s">
        <v>6503</v>
      </c>
      <c r="L1913">
        <v>40</v>
      </c>
      <c r="M1913">
        <v>1</v>
      </c>
      <c r="N1913" t="s">
        <v>6504</v>
      </c>
      <c r="O1913" t="s">
        <v>3502</v>
      </c>
      <c r="Q1913">
        <v>1</v>
      </c>
      <c r="S1913">
        <v>45</v>
      </c>
      <c r="T1913">
        <v>45</v>
      </c>
      <c r="U1913">
        <v>45</v>
      </c>
    </row>
    <row r="1914" spans="1:21" x14ac:dyDescent="0.25">
      <c r="A1914" s="5" t="s">
        <v>7719</v>
      </c>
      <c r="B1914" s="5" t="s">
        <v>7720</v>
      </c>
      <c r="C1914" t="s">
        <v>660</v>
      </c>
      <c r="D1914" t="s">
        <v>3563</v>
      </c>
      <c r="E1914" t="s">
        <v>6500</v>
      </c>
      <c r="F1914" t="s">
        <v>6501</v>
      </c>
      <c r="G1914" t="s">
        <v>3501</v>
      </c>
      <c r="I1914" t="s">
        <v>6502</v>
      </c>
      <c r="J1914" t="s">
        <v>6514</v>
      </c>
      <c r="K1914" t="s">
        <v>6503</v>
      </c>
      <c r="L1914">
        <v>500</v>
      </c>
      <c r="M1914">
        <v>1</v>
      </c>
      <c r="N1914" t="s">
        <v>6504</v>
      </c>
      <c r="O1914" t="s">
        <v>3502</v>
      </c>
      <c r="Q1914">
        <v>1</v>
      </c>
      <c r="S1914">
        <v>525</v>
      </c>
      <c r="T1914">
        <v>525</v>
      </c>
      <c r="U1914">
        <v>525</v>
      </c>
    </row>
    <row r="1915" spans="1:21" x14ac:dyDescent="0.25">
      <c r="A1915" s="5" t="s">
        <v>7721</v>
      </c>
      <c r="B1915" s="5" t="s">
        <v>7722</v>
      </c>
      <c r="C1915" t="s">
        <v>660</v>
      </c>
      <c r="D1915" t="s">
        <v>3563</v>
      </c>
      <c r="E1915" t="s">
        <v>6500</v>
      </c>
      <c r="F1915" t="s">
        <v>6501</v>
      </c>
      <c r="G1915" t="s">
        <v>3501</v>
      </c>
      <c r="I1915" t="s">
        <v>6502</v>
      </c>
      <c r="J1915" t="s">
        <v>6514</v>
      </c>
      <c r="K1915" t="s">
        <v>6503</v>
      </c>
      <c r="L1915">
        <v>50</v>
      </c>
      <c r="M1915">
        <v>1</v>
      </c>
      <c r="N1915" t="s">
        <v>6504</v>
      </c>
      <c r="O1915" t="s">
        <v>3502</v>
      </c>
      <c r="Q1915">
        <v>1</v>
      </c>
      <c r="S1915">
        <v>55</v>
      </c>
      <c r="T1915">
        <v>55</v>
      </c>
      <c r="U1915">
        <v>55</v>
      </c>
    </row>
    <row r="1916" spans="1:21" x14ac:dyDescent="0.25">
      <c r="A1916" s="5" t="s">
        <v>7723</v>
      </c>
      <c r="B1916" s="5" t="s">
        <v>7724</v>
      </c>
      <c r="C1916" t="s">
        <v>660</v>
      </c>
      <c r="D1916" t="s">
        <v>3563</v>
      </c>
      <c r="E1916" t="s">
        <v>6500</v>
      </c>
      <c r="F1916" t="s">
        <v>6501</v>
      </c>
      <c r="G1916" t="s">
        <v>3501</v>
      </c>
      <c r="I1916" t="s">
        <v>6502</v>
      </c>
      <c r="J1916" t="s">
        <v>6514</v>
      </c>
      <c r="K1916" t="s">
        <v>6503</v>
      </c>
      <c r="L1916">
        <v>55</v>
      </c>
      <c r="M1916">
        <v>1</v>
      </c>
      <c r="N1916" t="s">
        <v>6504</v>
      </c>
      <c r="O1916" t="s">
        <v>3502</v>
      </c>
      <c r="Q1916">
        <v>1</v>
      </c>
      <c r="S1916">
        <v>61</v>
      </c>
      <c r="T1916">
        <v>61</v>
      </c>
      <c r="U1916">
        <v>61</v>
      </c>
    </row>
    <row r="1917" spans="1:21" x14ac:dyDescent="0.25">
      <c r="A1917" s="5" t="s">
        <v>7725</v>
      </c>
      <c r="B1917" s="5" t="s">
        <v>7726</v>
      </c>
      <c r="C1917" t="s">
        <v>660</v>
      </c>
      <c r="D1917" t="s">
        <v>3563</v>
      </c>
      <c r="E1917" t="s">
        <v>6500</v>
      </c>
      <c r="F1917" t="s">
        <v>6501</v>
      </c>
      <c r="G1917" t="s">
        <v>3501</v>
      </c>
      <c r="I1917" t="s">
        <v>6502</v>
      </c>
      <c r="J1917" t="s">
        <v>6514</v>
      </c>
      <c r="K1917" t="s">
        <v>6503</v>
      </c>
      <c r="L1917">
        <v>70</v>
      </c>
      <c r="M1917">
        <v>1</v>
      </c>
      <c r="N1917" t="s">
        <v>6504</v>
      </c>
      <c r="O1917" t="s">
        <v>3502</v>
      </c>
      <c r="Q1917">
        <v>1</v>
      </c>
      <c r="S1917">
        <v>77</v>
      </c>
      <c r="T1917">
        <v>77</v>
      </c>
      <c r="U1917">
        <v>77</v>
      </c>
    </row>
    <row r="1918" spans="1:21" x14ac:dyDescent="0.25">
      <c r="A1918" s="5" t="s">
        <v>7727</v>
      </c>
      <c r="B1918" s="5" t="s">
        <v>7728</v>
      </c>
      <c r="C1918" t="s">
        <v>660</v>
      </c>
      <c r="D1918" t="s">
        <v>3563</v>
      </c>
      <c r="E1918" t="s">
        <v>6500</v>
      </c>
      <c r="F1918" t="s">
        <v>6501</v>
      </c>
      <c r="G1918" t="s">
        <v>3501</v>
      </c>
      <c r="I1918" t="s">
        <v>6502</v>
      </c>
      <c r="J1918" t="s">
        <v>6514</v>
      </c>
      <c r="K1918" t="s">
        <v>6503</v>
      </c>
      <c r="L1918">
        <v>80</v>
      </c>
      <c r="M1918">
        <v>1</v>
      </c>
      <c r="N1918" t="s">
        <v>6504</v>
      </c>
      <c r="O1918" t="s">
        <v>3502</v>
      </c>
      <c r="Q1918">
        <v>1</v>
      </c>
      <c r="S1918">
        <v>86</v>
      </c>
      <c r="T1918">
        <v>86</v>
      </c>
      <c r="U1918">
        <v>86</v>
      </c>
    </row>
    <row r="1919" spans="1:21" x14ac:dyDescent="0.25">
      <c r="A1919" s="5" t="s">
        <v>7729</v>
      </c>
      <c r="B1919" s="5" t="s">
        <v>7730</v>
      </c>
      <c r="C1919" t="s">
        <v>660</v>
      </c>
      <c r="D1919" t="s">
        <v>3563</v>
      </c>
      <c r="E1919" t="s">
        <v>6506</v>
      </c>
      <c r="I1919" t="s">
        <v>6502</v>
      </c>
      <c r="J1919" t="s">
        <v>6514</v>
      </c>
      <c r="K1919" t="s">
        <v>6507</v>
      </c>
      <c r="L1919">
        <v>15</v>
      </c>
      <c r="M1919">
        <v>1</v>
      </c>
      <c r="S1919">
        <v>15</v>
      </c>
      <c r="T1919">
        <v>15</v>
      </c>
      <c r="U1919">
        <v>15</v>
      </c>
    </row>
    <row r="1920" spans="1:21" x14ac:dyDescent="0.25">
      <c r="A1920" s="5" t="s">
        <v>7731</v>
      </c>
      <c r="B1920" s="5" t="s">
        <v>7732</v>
      </c>
      <c r="C1920" t="s">
        <v>660</v>
      </c>
      <c r="D1920" t="s">
        <v>3563</v>
      </c>
      <c r="E1920" t="s">
        <v>6506</v>
      </c>
      <c r="I1920" t="s">
        <v>6502</v>
      </c>
      <c r="J1920" t="s">
        <v>6514</v>
      </c>
      <c r="K1920" t="s">
        <v>6507</v>
      </c>
      <c r="L1920">
        <v>23</v>
      </c>
      <c r="M1920">
        <v>1</v>
      </c>
      <c r="S1920">
        <v>23</v>
      </c>
      <c r="T1920">
        <v>23</v>
      </c>
      <c r="U1920">
        <v>23</v>
      </c>
    </row>
    <row r="1921" spans="1:21" x14ac:dyDescent="0.25">
      <c r="A1921" s="5" t="s">
        <v>7733</v>
      </c>
      <c r="B1921" s="5" t="s">
        <v>7734</v>
      </c>
      <c r="C1921" t="s">
        <v>660</v>
      </c>
      <c r="D1921" t="s">
        <v>3563</v>
      </c>
      <c r="E1921" t="s">
        <v>6506</v>
      </c>
      <c r="I1921" t="s">
        <v>6502</v>
      </c>
      <c r="J1921" t="s">
        <v>6514</v>
      </c>
      <c r="K1921" t="s">
        <v>6507</v>
      </c>
      <c r="L1921">
        <v>40</v>
      </c>
      <c r="M1921">
        <v>1</v>
      </c>
      <c r="S1921">
        <v>40</v>
      </c>
      <c r="T1921">
        <v>40</v>
      </c>
      <c r="U1921">
        <v>40</v>
      </c>
    </row>
    <row r="1922" spans="1:21" x14ac:dyDescent="0.25">
      <c r="A1922" s="5" t="s">
        <v>7735</v>
      </c>
      <c r="B1922" s="5" t="s">
        <v>7736</v>
      </c>
      <c r="C1922" t="s">
        <v>660</v>
      </c>
      <c r="D1922" t="s">
        <v>3563</v>
      </c>
      <c r="E1922" t="s">
        <v>6506</v>
      </c>
      <c r="I1922" t="s">
        <v>6502</v>
      </c>
      <c r="J1922" t="s">
        <v>6514</v>
      </c>
      <c r="K1922" t="s">
        <v>6507</v>
      </c>
      <c r="L1922">
        <v>50</v>
      </c>
      <c r="M1922">
        <v>1</v>
      </c>
      <c r="S1922">
        <v>50</v>
      </c>
      <c r="T1922">
        <v>50</v>
      </c>
      <c r="U1922">
        <v>50</v>
      </c>
    </row>
    <row r="1923" spans="1:21" x14ac:dyDescent="0.25">
      <c r="A1923" s="5" t="s">
        <v>6511</v>
      </c>
      <c r="B1923" s="5" t="s">
        <v>6512</v>
      </c>
      <c r="C1923" t="s">
        <v>3450</v>
      </c>
      <c r="D1923" t="s">
        <v>3563</v>
      </c>
      <c r="E1923" t="s">
        <v>6513</v>
      </c>
      <c r="I1923" t="s">
        <v>3450</v>
      </c>
      <c r="J1923" t="s">
        <v>6514</v>
      </c>
      <c r="K1923" t="s">
        <v>3372</v>
      </c>
      <c r="L1923">
        <v>102</v>
      </c>
      <c r="M1923">
        <v>1</v>
      </c>
      <c r="S1923">
        <v>105</v>
      </c>
      <c r="T1923">
        <v>105</v>
      </c>
      <c r="U1923">
        <v>105</v>
      </c>
    </row>
    <row r="1924" spans="1:21" x14ac:dyDescent="0.25">
      <c r="A1924" s="5" t="s">
        <v>6515</v>
      </c>
      <c r="B1924" s="5" t="s">
        <v>6516</v>
      </c>
      <c r="C1924" t="s">
        <v>3450</v>
      </c>
      <c r="D1924" t="s">
        <v>3563</v>
      </c>
      <c r="E1924" t="s">
        <v>6513</v>
      </c>
      <c r="I1924" t="s">
        <v>3450</v>
      </c>
      <c r="J1924" t="s">
        <v>6514</v>
      </c>
      <c r="K1924" t="s">
        <v>3372</v>
      </c>
      <c r="L1924">
        <v>103</v>
      </c>
      <c r="M1924">
        <v>1</v>
      </c>
      <c r="S1924">
        <v>92</v>
      </c>
      <c r="T1924">
        <v>92</v>
      </c>
      <c r="U1924">
        <v>92</v>
      </c>
    </row>
    <row r="1925" spans="1:21" x14ac:dyDescent="0.25">
      <c r="A1925" s="5" t="s">
        <v>6517</v>
      </c>
      <c r="B1925" s="5" t="s">
        <v>6518</v>
      </c>
      <c r="C1925" t="s">
        <v>3450</v>
      </c>
      <c r="D1925" t="s">
        <v>3563</v>
      </c>
      <c r="E1925" t="s">
        <v>6513</v>
      </c>
      <c r="I1925" t="s">
        <v>3450</v>
      </c>
      <c r="J1925" t="s">
        <v>6514</v>
      </c>
      <c r="K1925" t="s">
        <v>3372</v>
      </c>
      <c r="L1925">
        <v>177</v>
      </c>
      <c r="M1925">
        <v>1</v>
      </c>
      <c r="S1925">
        <v>177</v>
      </c>
      <c r="T1925">
        <v>177</v>
      </c>
      <c r="U1925">
        <v>177</v>
      </c>
    </row>
    <row r="1926" spans="1:21" x14ac:dyDescent="0.25">
      <c r="A1926" s="5" t="s">
        <v>6519</v>
      </c>
      <c r="B1926" s="5" t="s">
        <v>6520</v>
      </c>
      <c r="C1926" t="s">
        <v>3450</v>
      </c>
      <c r="D1926" t="s">
        <v>3563</v>
      </c>
      <c r="E1926" t="s">
        <v>6513</v>
      </c>
      <c r="I1926" t="s">
        <v>3450</v>
      </c>
      <c r="J1926" t="s">
        <v>6514</v>
      </c>
      <c r="K1926" t="s">
        <v>3372</v>
      </c>
      <c r="L1926">
        <v>26</v>
      </c>
      <c r="M1926">
        <v>1</v>
      </c>
      <c r="S1926">
        <v>26</v>
      </c>
      <c r="T1926">
        <v>26</v>
      </c>
      <c r="U1926">
        <v>26</v>
      </c>
    </row>
    <row r="1927" spans="1:21" x14ac:dyDescent="0.25">
      <c r="A1927" s="5" t="s">
        <v>6521</v>
      </c>
      <c r="B1927" s="5" t="s">
        <v>6522</v>
      </c>
      <c r="C1927" t="s">
        <v>3450</v>
      </c>
      <c r="D1927" t="s">
        <v>3563</v>
      </c>
      <c r="E1927" t="s">
        <v>6513</v>
      </c>
      <c r="I1927" t="s">
        <v>3450</v>
      </c>
      <c r="J1927" t="s">
        <v>6514</v>
      </c>
      <c r="K1927" t="s">
        <v>3372</v>
      </c>
      <c r="L1927">
        <v>53</v>
      </c>
      <c r="M1927">
        <v>1</v>
      </c>
      <c r="S1927">
        <v>53</v>
      </c>
      <c r="T1927">
        <v>53</v>
      </c>
      <c r="U1927">
        <v>53</v>
      </c>
    </row>
    <row r="1928" spans="1:21" x14ac:dyDescent="0.25">
      <c r="A1928" s="5" t="s">
        <v>6523</v>
      </c>
      <c r="B1928" s="5" t="s">
        <v>6524</v>
      </c>
      <c r="C1928" t="s">
        <v>3450</v>
      </c>
      <c r="D1928" t="s">
        <v>3563</v>
      </c>
      <c r="E1928" t="s">
        <v>6513</v>
      </c>
      <c r="I1928" t="s">
        <v>3450</v>
      </c>
      <c r="J1928" t="s">
        <v>6514</v>
      </c>
      <c r="K1928" t="s">
        <v>3372</v>
      </c>
      <c r="L1928">
        <v>54</v>
      </c>
      <c r="M1928">
        <v>1</v>
      </c>
      <c r="S1928">
        <v>55</v>
      </c>
      <c r="T1928">
        <v>55</v>
      </c>
      <c r="U1928">
        <v>55</v>
      </c>
    </row>
    <row r="1929" spans="1:21" x14ac:dyDescent="0.25">
      <c r="A1929" s="5" t="s">
        <v>6525</v>
      </c>
      <c r="B1929" s="5" t="s">
        <v>6526</v>
      </c>
      <c r="C1929" t="s">
        <v>3450</v>
      </c>
      <c r="D1929" t="s">
        <v>3563</v>
      </c>
      <c r="E1929" t="s">
        <v>6513</v>
      </c>
      <c r="I1929" t="s">
        <v>3450</v>
      </c>
      <c r="J1929" t="s">
        <v>6514</v>
      </c>
      <c r="K1929" t="s">
        <v>3372</v>
      </c>
      <c r="L1929">
        <v>72</v>
      </c>
      <c r="M1929">
        <v>1</v>
      </c>
      <c r="S1929">
        <v>59</v>
      </c>
      <c r="T1929">
        <v>59</v>
      </c>
      <c r="U1929">
        <v>59</v>
      </c>
    </row>
    <row r="1930" spans="1:21" x14ac:dyDescent="0.25">
      <c r="A1930" s="5" t="s">
        <v>6527</v>
      </c>
      <c r="B1930" s="5" t="s">
        <v>6528</v>
      </c>
      <c r="C1930" t="s">
        <v>3450</v>
      </c>
      <c r="D1930" t="s">
        <v>3563</v>
      </c>
      <c r="E1930" t="s">
        <v>6513</v>
      </c>
      <c r="I1930" t="s">
        <v>3450</v>
      </c>
      <c r="J1930" t="s">
        <v>6514</v>
      </c>
      <c r="K1930" t="s">
        <v>3372</v>
      </c>
      <c r="L1930">
        <v>80</v>
      </c>
      <c r="M1930">
        <v>1</v>
      </c>
      <c r="S1930">
        <v>75</v>
      </c>
      <c r="T1930">
        <v>75</v>
      </c>
      <c r="U1930">
        <v>75</v>
      </c>
    </row>
    <row r="1931" spans="1:21" x14ac:dyDescent="0.25">
      <c r="A1931" s="5" t="s">
        <v>7674</v>
      </c>
      <c r="B1931" s="5" t="s">
        <v>7675</v>
      </c>
      <c r="C1931" t="s">
        <v>3450</v>
      </c>
      <c r="D1931" t="s">
        <v>6616</v>
      </c>
      <c r="E1931" t="s">
        <v>6513</v>
      </c>
      <c r="I1931" t="s">
        <v>3450</v>
      </c>
      <c r="J1931" t="s">
        <v>6618</v>
      </c>
      <c r="K1931" t="s">
        <v>3372</v>
      </c>
      <c r="L1931">
        <v>102</v>
      </c>
      <c r="M1931">
        <v>1</v>
      </c>
      <c r="S1931">
        <v>105</v>
      </c>
      <c r="T1931">
        <v>105</v>
      </c>
      <c r="U1931">
        <v>105</v>
      </c>
    </row>
    <row r="1932" spans="1:21" x14ac:dyDescent="0.25">
      <c r="A1932" s="5" t="s">
        <v>7676</v>
      </c>
      <c r="B1932" s="5" t="s">
        <v>7677</v>
      </c>
      <c r="C1932" t="s">
        <v>3450</v>
      </c>
      <c r="D1932" t="s">
        <v>6616</v>
      </c>
      <c r="E1932" t="s">
        <v>6513</v>
      </c>
      <c r="I1932" t="s">
        <v>3450</v>
      </c>
      <c r="J1932" t="s">
        <v>6618</v>
      </c>
      <c r="K1932" t="s">
        <v>3372</v>
      </c>
      <c r="L1932">
        <v>103</v>
      </c>
      <c r="M1932">
        <v>1</v>
      </c>
      <c r="S1932">
        <v>92</v>
      </c>
      <c r="T1932">
        <v>92</v>
      </c>
      <c r="U1932">
        <v>92</v>
      </c>
    </row>
    <row r="1933" spans="1:21" x14ac:dyDescent="0.25">
      <c r="A1933" s="5" t="s">
        <v>7678</v>
      </c>
      <c r="B1933" s="5" t="s">
        <v>7679</v>
      </c>
      <c r="C1933" t="s">
        <v>3450</v>
      </c>
      <c r="D1933" t="s">
        <v>6616</v>
      </c>
      <c r="E1933" t="s">
        <v>6513</v>
      </c>
      <c r="I1933" t="s">
        <v>3450</v>
      </c>
      <c r="J1933" t="s">
        <v>6618</v>
      </c>
      <c r="K1933" t="s">
        <v>3372</v>
      </c>
      <c r="L1933">
        <v>177</v>
      </c>
      <c r="M1933">
        <v>1</v>
      </c>
      <c r="S1933">
        <v>177</v>
      </c>
      <c r="T1933">
        <v>177</v>
      </c>
      <c r="U1933">
        <v>177</v>
      </c>
    </row>
    <row r="1934" spans="1:21" x14ac:dyDescent="0.25">
      <c r="A1934" s="5" t="s">
        <v>7680</v>
      </c>
      <c r="B1934" s="5" t="s">
        <v>7681</v>
      </c>
      <c r="C1934" t="s">
        <v>3450</v>
      </c>
      <c r="D1934" t="s">
        <v>6616</v>
      </c>
      <c r="E1934" t="s">
        <v>6513</v>
      </c>
      <c r="I1934" t="s">
        <v>3450</v>
      </c>
      <c r="J1934" t="s">
        <v>6618</v>
      </c>
      <c r="K1934" t="s">
        <v>3372</v>
      </c>
      <c r="L1934">
        <v>26</v>
      </c>
      <c r="M1934">
        <v>1</v>
      </c>
      <c r="S1934">
        <v>26</v>
      </c>
      <c r="T1934">
        <v>26</v>
      </c>
      <c r="U1934">
        <v>26</v>
      </c>
    </row>
    <row r="1935" spans="1:21" x14ac:dyDescent="0.25">
      <c r="A1935" s="5" t="s">
        <v>7682</v>
      </c>
      <c r="B1935" s="5" t="s">
        <v>7683</v>
      </c>
      <c r="C1935" t="s">
        <v>3450</v>
      </c>
      <c r="D1935" t="s">
        <v>6616</v>
      </c>
      <c r="E1935" t="s">
        <v>6513</v>
      </c>
      <c r="I1935" t="s">
        <v>3450</v>
      </c>
      <c r="J1935" t="s">
        <v>6618</v>
      </c>
      <c r="K1935" t="s">
        <v>3372</v>
      </c>
      <c r="L1935">
        <v>53</v>
      </c>
      <c r="M1935">
        <v>1</v>
      </c>
      <c r="S1935">
        <v>53</v>
      </c>
      <c r="T1935">
        <v>53</v>
      </c>
      <c r="U1935">
        <v>53</v>
      </c>
    </row>
    <row r="1936" spans="1:21" x14ac:dyDescent="0.25">
      <c r="A1936" s="5" t="s">
        <v>7684</v>
      </c>
      <c r="B1936" s="5" t="s">
        <v>7685</v>
      </c>
      <c r="C1936" t="s">
        <v>3450</v>
      </c>
      <c r="D1936" t="s">
        <v>6616</v>
      </c>
      <c r="E1936" t="s">
        <v>6513</v>
      </c>
      <c r="I1936" t="s">
        <v>3450</v>
      </c>
      <c r="J1936" t="s">
        <v>6618</v>
      </c>
      <c r="K1936" t="s">
        <v>3372</v>
      </c>
      <c r="L1936">
        <v>54</v>
      </c>
      <c r="M1936">
        <v>1</v>
      </c>
      <c r="S1936">
        <v>55</v>
      </c>
      <c r="T1936">
        <v>55</v>
      </c>
      <c r="U1936">
        <v>55</v>
      </c>
    </row>
    <row r="1937" spans="1:21" x14ac:dyDescent="0.25">
      <c r="A1937" s="5" t="s">
        <v>7686</v>
      </c>
      <c r="B1937" s="5" t="s">
        <v>7687</v>
      </c>
      <c r="C1937" t="s">
        <v>3450</v>
      </c>
      <c r="D1937" t="s">
        <v>6616</v>
      </c>
      <c r="E1937" t="s">
        <v>6513</v>
      </c>
      <c r="I1937" t="s">
        <v>3450</v>
      </c>
      <c r="J1937" t="s">
        <v>6618</v>
      </c>
      <c r="K1937" t="s">
        <v>3372</v>
      </c>
      <c r="L1937">
        <v>72</v>
      </c>
      <c r="M1937">
        <v>1</v>
      </c>
      <c r="S1937">
        <v>59</v>
      </c>
      <c r="T1937">
        <v>59</v>
      </c>
      <c r="U1937">
        <v>59</v>
      </c>
    </row>
    <row r="1938" spans="1:21" x14ac:dyDescent="0.25">
      <c r="A1938" s="5" t="s">
        <v>7688</v>
      </c>
      <c r="B1938" s="5" t="s">
        <v>7689</v>
      </c>
      <c r="C1938" t="s">
        <v>3450</v>
      </c>
      <c r="D1938" t="s">
        <v>6616</v>
      </c>
      <c r="E1938" t="s">
        <v>6513</v>
      </c>
      <c r="I1938" t="s">
        <v>3450</v>
      </c>
      <c r="J1938" t="s">
        <v>6618</v>
      </c>
      <c r="K1938" t="s">
        <v>3372</v>
      </c>
      <c r="L1938">
        <v>80</v>
      </c>
      <c r="M1938">
        <v>1</v>
      </c>
      <c r="S1938">
        <v>75</v>
      </c>
      <c r="T1938">
        <v>75</v>
      </c>
      <c r="U1938">
        <v>75</v>
      </c>
    </row>
    <row r="1939" spans="1:21" x14ac:dyDescent="0.25">
      <c r="A1939" s="5" t="s">
        <v>6529</v>
      </c>
      <c r="B1939" s="5" t="s">
        <v>6530</v>
      </c>
      <c r="C1939" t="s">
        <v>3450</v>
      </c>
      <c r="D1939" t="s">
        <v>3563</v>
      </c>
      <c r="E1939" t="s">
        <v>6531</v>
      </c>
      <c r="I1939" t="s">
        <v>3450</v>
      </c>
      <c r="J1939" t="s">
        <v>6514</v>
      </c>
      <c r="K1939" t="s">
        <v>6532</v>
      </c>
      <c r="L1939">
        <v>101</v>
      </c>
      <c r="M1939">
        <v>1</v>
      </c>
      <c r="S1939">
        <v>101</v>
      </c>
      <c r="T1939">
        <v>101</v>
      </c>
      <c r="U1939">
        <v>101</v>
      </c>
    </row>
    <row r="1940" spans="1:21" x14ac:dyDescent="0.25">
      <c r="A1940" s="5" t="s">
        <v>6533</v>
      </c>
      <c r="B1940" s="5" t="s">
        <v>6534</v>
      </c>
      <c r="C1940" t="s">
        <v>3450</v>
      </c>
      <c r="D1940" t="s">
        <v>3563</v>
      </c>
      <c r="E1940" t="s">
        <v>6531</v>
      </c>
      <c r="I1940" t="s">
        <v>3450</v>
      </c>
      <c r="J1940" t="s">
        <v>6514</v>
      </c>
      <c r="K1940" t="s">
        <v>6532</v>
      </c>
      <c r="L1940">
        <v>102</v>
      </c>
      <c r="M1940">
        <v>1</v>
      </c>
      <c r="S1940">
        <v>102</v>
      </c>
      <c r="T1940">
        <v>102</v>
      </c>
      <c r="U1940">
        <v>102</v>
      </c>
    </row>
    <row r="1941" spans="1:21" x14ac:dyDescent="0.25">
      <c r="A1941" s="5" t="s">
        <v>6535</v>
      </c>
      <c r="B1941" s="5" t="s">
        <v>6536</v>
      </c>
      <c r="C1941" t="s">
        <v>3450</v>
      </c>
      <c r="D1941" t="s">
        <v>3563</v>
      </c>
      <c r="E1941" t="s">
        <v>6531</v>
      </c>
      <c r="I1941" t="s">
        <v>3450</v>
      </c>
      <c r="J1941" t="s">
        <v>6514</v>
      </c>
      <c r="K1941" t="s">
        <v>6532</v>
      </c>
      <c r="L1941">
        <v>106</v>
      </c>
      <c r="M1941">
        <v>1</v>
      </c>
      <c r="S1941">
        <v>112</v>
      </c>
      <c r="T1941">
        <v>112</v>
      </c>
      <c r="U1941">
        <v>112</v>
      </c>
    </row>
    <row r="1942" spans="1:21" x14ac:dyDescent="0.25">
      <c r="A1942" s="5" t="s">
        <v>6537</v>
      </c>
      <c r="B1942" s="5" t="s">
        <v>6538</v>
      </c>
      <c r="C1942" t="s">
        <v>3450</v>
      </c>
      <c r="D1942" t="s">
        <v>3563</v>
      </c>
      <c r="E1942" t="s">
        <v>6531</v>
      </c>
      <c r="I1942" t="s">
        <v>3450</v>
      </c>
      <c r="J1942" t="s">
        <v>6514</v>
      </c>
      <c r="K1942" t="s">
        <v>6532</v>
      </c>
      <c r="L1942">
        <v>108</v>
      </c>
      <c r="M1942">
        <v>1</v>
      </c>
      <c r="S1942">
        <v>108</v>
      </c>
      <c r="T1942">
        <v>108</v>
      </c>
      <c r="U1942">
        <v>108</v>
      </c>
    </row>
    <row r="1943" spans="1:21" x14ac:dyDescent="0.25">
      <c r="A1943" s="5" t="s">
        <v>6539</v>
      </c>
      <c r="B1943" s="5" t="s">
        <v>6540</v>
      </c>
      <c r="C1943" t="s">
        <v>3450</v>
      </c>
      <c r="D1943" t="s">
        <v>3563</v>
      </c>
      <c r="E1943" t="s">
        <v>6531</v>
      </c>
      <c r="I1943" t="s">
        <v>3450</v>
      </c>
      <c r="J1943" t="s">
        <v>6514</v>
      </c>
      <c r="K1943" t="s">
        <v>6532</v>
      </c>
      <c r="L1943">
        <v>112</v>
      </c>
      <c r="M1943">
        <v>1</v>
      </c>
      <c r="S1943">
        <v>112</v>
      </c>
      <c r="T1943">
        <v>112</v>
      </c>
      <c r="U1943">
        <v>112</v>
      </c>
    </row>
    <row r="1944" spans="1:21" x14ac:dyDescent="0.25">
      <c r="A1944" s="5" t="s">
        <v>3455</v>
      </c>
      <c r="B1944" s="5" t="s">
        <v>6541</v>
      </c>
      <c r="C1944" t="s">
        <v>3450</v>
      </c>
      <c r="D1944" t="s">
        <v>3563</v>
      </c>
      <c r="E1944" t="s">
        <v>6531</v>
      </c>
      <c r="I1944" t="s">
        <v>3450</v>
      </c>
      <c r="J1944" t="s">
        <v>6514</v>
      </c>
      <c r="K1944" t="s">
        <v>6532</v>
      </c>
      <c r="L1944">
        <v>124</v>
      </c>
      <c r="M1944">
        <v>1</v>
      </c>
      <c r="S1944">
        <v>120</v>
      </c>
      <c r="T1944">
        <v>120</v>
      </c>
      <c r="U1944">
        <v>120</v>
      </c>
    </row>
    <row r="1945" spans="1:21" x14ac:dyDescent="0.25">
      <c r="A1945" s="5" t="s">
        <v>6542</v>
      </c>
      <c r="B1945" s="5" t="s">
        <v>6543</v>
      </c>
      <c r="C1945" t="s">
        <v>3450</v>
      </c>
      <c r="D1945" t="s">
        <v>3563</v>
      </c>
      <c r="E1945" t="s">
        <v>6531</v>
      </c>
      <c r="I1945" t="s">
        <v>3450</v>
      </c>
      <c r="J1945" t="s">
        <v>6514</v>
      </c>
      <c r="K1945" t="s">
        <v>6532</v>
      </c>
      <c r="L1945">
        <v>131</v>
      </c>
      <c r="M1945">
        <v>1</v>
      </c>
      <c r="S1945">
        <v>119</v>
      </c>
      <c r="T1945">
        <v>119</v>
      </c>
      <c r="U1945">
        <v>119</v>
      </c>
    </row>
    <row r="1946" spans="1:21" x14ac:dyDescent="0.25">
      <c r="A1946" s="5" t="s">
        <v>6544</v>
      </c>
      <c r="B1946" s="5" t="s">
        <v>6545</v>
      </c>
      <c r="C1946" t="s">
        <v>3450</v>
      </c>
      <c r="D1946" t="s">
        <v>3563</v>
      </c>
      <c r="E1946" t="s">
        <v>6531</v>
      </c>
      <c r="I1946" t="s">
        <v>3450</v>
      </c>
      <c r="J1946" t="s">
        <v>6514</v>
      </c>
      <c r="K1946" t="s">
        <v>6532</v>
      </c>
      <c r="L1946">
        <v>138</v>
      </c>
      <c r="M1946">
        <v>1</v>
      </c>
      <c r="S1946">
        <v>138</v>
      </c>
      <c r="T1946">
        <v>138</v>
      </c>
      <c r="U1946">
        <v>138</v>
      </c>
    </row>
    <row r="1947" spans="1:21" x14ac:dyDescent="0.25">
      <c r="A1947" s="5" t="s">
        <v>6546</v>
      </c>
      <c r="B1947" s="5" t="s">
        <v>6547</v>
      </c>
      <c r="C1947" t="s">
        <v>3450</v>
      </c>
      <c r="D1947" t="s">
        <v>3563</v>
      </c>
      <c r="E1947" t="s">
        <v>6531</v>
      </c>
      <c r="I1947" t="s">
        <v>3450</v>
      </c>
      <c r="J1947" t="s">
        <v>6514</v>
      </c>
      <c r="K1947" t="s">
        <v>6532</v>
      </c>
      <c r="L1947">
        <v>139</v>
      </c>
      <c r="M1947">
        <v>1</v>
      </c>
      <c r="S1947">
        <v>139</v>
      </c>
      <c r="T1947">
        <v>139</v>
      </c>
      <c r="U1947">
        <v>139</v>
      </c>
    </row>
    <row r="1948" spans="1:21" x14ac:dyDescent="0.25">
      <c r="A1948" s="5" t="s">
        <v>6548</v>
      </c>
      <c r="B1948" s="5" t="s">
        <v>6549</v>
      </c>
      <c r="C1948" t="s">
        <v>3450</v>
      </c>
      <c r="D1948" t="s">
        <v>3563</v>
      </c>
      <c r="E1948" t="s">
        <v>6531</v>
      </c>
      <c r="I1948" t="s">
        <v>3450</v>
      </c>
      <c r="J1948" t="s">
        <v>6514</v>
      </c>
      <c r="K1948" t="s">
        <v>6532</v>
      </c>
      <c r="L1948">
        <v>143</v>
      </c>
      <c r="M1948">
        <v>1</v>
      </c>
      <c r="S1948">
        <v>201</v>
      </c>
      <c r="T1948">
        <v>201</v>
      </c>
      <c r="U1948">
        <v>201</v>
      </c>
    </row>
    <row r="1949" spans="1:21" x14ac:dyDescent="0.25">
      <c r="A1949" s="5" t="s">
        <v>6550</v>
      </c>
      <c r="B1949" s="5" t="s">
        <v>6551</v>
      </c>
      <c r="C1949" t="s">
        <v>3450</v>
      </c>
      <c r="D1949" t="s">
        <v>3563</v>
      </c>
      <c r="E1949" t="s">
        <v>6531</v>
      </c>
      <c r="I1949" t="s">
        <v>3450</v>
      </c>
      <c r="J1949" t="s">
        <v>6514</v>
      </c>
      <c r="K1949" t="s">
        <v>6532</v>
      </c>
      <c r="L1949">
        <v>146</v>
      </c>
      <c r="M1949">
        <v>1</v>
      </c>
      <c r="S1949">
        <v>146</v>
      </c>
      <c r="T1949">
        <v>146</v>
      </c>
      <c r="U1949">
        <v>146</v>
      </c>
    </row>
    <row r="1950" spans="1:21" x14ac:dyDescent="0.25">
      <c r="A1950" s="5" t="s">
        <v>6552</v>
      </c>
      <c r="B1950" s="5" t="s">
        <v>6553</v>
      </c>
      <c r="C1950" t="s">
        <v>3450</v>
      </c>
      <c r="D1950" t="s">
        <v>3563</v>
      </c>
      <c r="E1950" t="s">
        <v>6531</v>
      </c>
      <c r="I1950" t="s">
        <v>3450</v>
      </c>
      <c r="J1950" t="s">
        <v>6514</v>
      </c>
      <c r="K1950" t="s">
        <v>6532</v>
      </c>
      <c r="L1950">
        <v>151</v>
      </c>
      <c r="M1950">
        <v>1</v>
      </c>
      <c r="S1950">
        <v>108</v>
      </c>
      <c r="T1950">
        <v>108</v>
      </c>
      <c r="U1950">
        <v>108</v>
      </c>
    </row>
    <row r="1951" spans="1:21" x14ac:dyDescent="0.25">
      <c r="A1951" s="5" t="s">
        <v>6554</v>
      </c>
      <c r="B1951" s="5" t="s">
        <v>6555</v>
      </c>
      <c r="C1951" t="s">
        <v>3450</v>
      </c>
      <c r="D1951" t="s">
        <v>3563</v>
      </c>
      <c r="E1951" t="s">
        <v>6531</v>
      </c>
      <c r="I1951" t="s">
        <v>3450</v>
      </c>
      <c r="J1951" t="s">
        <v>6514</v>
      </c>
      <c r="K1951" t="s">
        <v>6532</v>
      </c>
      <c r="L1951">
        <v>15</v>
      </c>
      <c r="M1951">
        <v>1</v>
      </c>
      <c r="S1951">
        <v>15</v>
      </c>
      <c r="T1951">
        <v>15</v>
      </c>
      <c r="U1951">
        <v>15</v>
      </c>
    </row>
    <row r="1952" spans="1:21" x14ac:dyDescent="0.25">
      <c r="A1952" s="5" t="s">
        <v>6556</v>
      </c>
      <c r="B1952" s="5" t="s">
        <v>6557</v>
      </c>
      <c r="C1952" t="s">
        <v>3450</v>
      </c>
      <c r="D1952" t="s">
        <v>3563</v>
      </c>
      <c r="E1952" t="s">
        <v>6531</v>
      </c>
      <c r="I1952" t="s">
        <v>3450</v>
      </c>
      <c r="J1952" t="s">
        <v>6514</v>
      </c>
      <c r="K1952" t="s">
        <v>6532</v>
      </c>
      <c r="L1952">
        <v>164</v>
      </c>
      <c r="M1952">
        <v>1</v>
      </c>
      <c r="S1952">
        <v>164</v>
      </c>
      <c r="T1952">
        <v>164</v>
      </c>
      <c r="U1952">
        <v>164</v>
      </c>
    </row>
    <row r="1953" spans="1:21" x14ac:dyDescent="0.25">
      <c r="A1953" s="5" t="s">
        <v>6558</v>
      </c>
      <c r="B1953" s="5" t="s">
        <v>6559</v>
      </c>
      <c r="C1953" t="s">
        <v>3450</v>
      </c>
      <c r="D1953" t="s">
        <v>3563</v>
      </c>
      <c r="E1953" t="s">
        <v>6531</v>
      </c>
      <c r="I1953" t="s">
        <v>3450</v>
      </c>
      <c r="J1953" t="s">
        <v>6514</v>
      </c>
      <c r="K1953" t="s">
        <v>6532</v>
      </c>
      <c r="L1953">
        <v>175</v>
      </c>
      <c r="M1953">
        <v>1</v>
      </c>
      <c r="S1953">
        <v>201</v>
      </c>
      <c r="T1953">
        <v>201</v>
      </c>
      <c r="U1953">
        <v>201</v>
      </c>
    </row>
    <row r="1954" spans="1:21" x14ac:dyDescent="0.25">
      <c r="A1954" s="5" t="s">
        <v>6560</v>
      </c>
      <c r="B1954" s="5" t="s">
        <v>6561</v>
      </c>
      <c r="C1954" t="s">
        <v>3450</v>
      </c>
      <c r="D1954" t="s">
        <v>3563</v>
      </c>
      <c r="E1954" t="s">
        <v>6531</v>
      </c>
      <c r="I1954" t="s">
        <v>3450</v>
      </c>
      <c r="J1954" t="s">
        <v>6514</v>
      </c>
      <c r="K1954" t="s">
        <v>6532</v>
      </c>
      <c r="L1954">
        <v>180</v>
      </c>
      <c r="M1954">
        <v>1</v>
      </c>
      <c r="S1954">
        <v>180</v>
      </c>
      <c r="T1954">
        <v>180</v>
      </c>
      <c r="U1954">
        <v>180</v>
      </c>
    </row>
    <row r="1955" spans="1:21" x14ac:dyDescent="0.25">
      <c r="A1955" s="5" t="s">
        <v>6562</v>
      </c>
      <c r="B1955" s="5" t="s">
        <v>6563</v>
      </c>
      <c r="C1955" t="s">
        <v>3450</v>
      </c>
      <c r="D1955" t="s">
        <v>3563</v>
      </c>
      <c r="E1955" t="s">
        <v>6531</v>
      </c>
      <c r="I1955" t="s">
        <v>3450</v>
      </c>
      <c r="J1955" t="s">
        <v>6514</v>
      </c>
      <c r="K1955" t="s">
        <v>6532</v>
      </c>
      <c r="L1955">
        <v>186</v>
      </c>
      <c r="M1955">
        <v>1</v>
      </c>
      <c r="S1955">
        <v>186</v>
      </c>
      <c r="T1955">
        <v>186</v>
      </c>
      <c r="U1955">
        <v>186</v>
      </c>
    </row>
    <row r="1956" spans="1:21" x14ac:dyDescent="0.25">
      <c r="A1956" s="5" t="s">
        <v>6564</v>
      </c>
      <c r="B1956" s="5" t="s">
        <v>6565</v>
      </c>
      <c r="C1956" t="s">
        <v>3450</v>
      </c>
      <c r="D1956" t="s">
        <v>3563</v>
      </c>
      <c r="E1956" t="s">
        <v>6531</v>
      </c>
      <c r="I1956" t="s">
        <v>3450</v>
      </c>
      <c r="J1956" t="s">
        <v>6514</v>
      </c>
      <c r="K1956" t="s">
        <v>6532</v>
      </c>
      <c r="L1956">
        <v>199</v>
      </c>
      <c r="M1956">
        <v>1</v>
      </c>
      <c r="S1956">
        <v>199</v>
      </c>
      <c r="T1956">
        <v>199</v>
      </c>
      <c r="U1956">
        <v>199</v>
      </c>
    </row>
    <row r="1957" spans="1:21" x14ac:dyDescent="0.25">
      <c r="A1957" s="5" t="s">
        <v>6566</v>
      </c>
      <c r="B1957" s="5" t="s">
        <v>6567</v>
      </c>
      <c r="C1957" t="s">
        <v>3450</v>
      </c>
      <c r="D1957" t="s">
        <v>3563</v>
      </c>
      <c r="E1957" t="s">
        <v>6531</v>
      </c>
      <c r="I1957" t="s">
        <v>3450</v>
      </c>
      <c r="J1957" t="s">
        <v>6514</v>
      </c>
      <c r="K1957" t="s">
        <v>6532</v>
      </c>
      <c r="L1957">
        <v>201</v>
      </c>
      <c r="M1957">
        <v>1</v>
      </c>
      <c r="S1957">
        <v>201</v>
      </c>
      <c r="T1957">
        <v>201</v>
      </c>
      <c r="U1957">
        <v>201</v>
      </c>
    </row>
    <row r="1958" spans="1:21" x14ac:dyDescent="0.25">
      <c r="A1958" s="5" t="s">
        <v>6568</v>
      </c>
      <c r="B1958" s="5" t="s">
        <v>6569</v>
      </c>
      <c r="C1958" t="s">
        <v>3450</v>
      </c>
      <c r="D1958" t="s">
        <v>3563</v>
      </c>
      <c r="E1958" t="s">
        <v>6531</v>
      </c>
      <c r="I1958" t="s">
        <v>3450</v>
      </c>
      <c r="J1958" t="s">
        <v>6514</v>
      </c>
      <c r="K1958" t="s">
        <v>6532</v>
      </c>
      <c r="L1958">
        <v>204</v>
      </c>
      <c r="M1958">
        <v>1</v>
      </c>
      <c r="S1958">
        <v>205</v>
      </c>
      <c r="T1958">
        <v>205</v>
      </c>
      <c r="U1958">
        <v>205</v>
      </c>
    </row>
    <row r="1959" spans="1:21" x14ac:dyDescent="0.25">
      <c r="A1959" s="5" t="s">
        <v>6570</v>
      </c>
      <c r="B1959" s="5" t="s">
        <v>6571</v>
      </c>
      <c r="C1959" t="s">
        <v>3450</v>
      </c>
      <c r="D1959" t="s">
        <v>3563</v>
      </c>
      <c r="E1959" t="s">
        <v>6531</v>
      </c>
      <c r="I1959" t="s">
        <v>3450</v>
      </c>
      <c r="J1959" t="s">
        <v>6514</v>
      </c>
      <c r="K1959" t="s">
        <v>6532</v>
      </c>
      <c r="L1959">
        <v>205</v>
      </c>
      <c r="M1959">
        <v>1</v>
      </c>
      <c r="S1959">
        <v>205</v>
      </c>
      <c r="T1959">
        <v>205</v>
      </c>
      <c r="U1959">
        <v>205</v>
      </c>
    </row>
    <row r="1960" spans="1:21" x14ac:dyDescent="0.25">
      <c r="A1960" s="5" t="s">
        <v>6572</v>
      </c>
      <c r="B1960" s="5" t="s">
        <v>6573</v>
      </c>
      <c r="C1960" t="s">
        <v>3450</v>
      </c>
      <c r="D1960" t="s">
        <v>3563</v>
      </c>
      <c r="E1960" t="s">
        <v>6531</v>
      </c>
      <c r="I1960" t="s">
        <v>3450</v>
      </c>
      <c r="J1960" t="s">
        <v>6514</v>
      </c>
      <c r="K1960" t="s">
        <v>6532</v>
      </c>
      <c r="L1960">
        <v>217</v>
      </c>
      <c r="M1960">
        <v>1</v>
      </c>
      <c r="S1960">
        <v>210</v>
      </c>
      <c r="T1960">
        <v>210</v>
      </c>
      <c r="U1960">
        <v>210</v>
      </c>
    </row>
    <row r="1961" spans="1:21" x14ac:dyDescent="0.25">
      <c r="A1961" s="5" t="s">
        <v>6574</v>
      </c>
      <c r="B1961" s="5" t="s">
        <v>6575</v>
      </c>
      <c r="C1961" t="s">
        <v>3450</v>
      </c>
      <c r="D1961" t="s">
        <v>3563</v>
      </c>
      <c r="E1961" t="s">
        <v>6531</v>
      </c>
      <c r="I1961" t="s">
        <v>3450</v>
      </c>
      <c r="J1961" t="s">
        <v>6514</v>
      </c>
      <c r="K1961" t="s">
        <v>6532</v>
      </c>
      <c r="L1961">
        <v>22</v>
      </c>
      <c r="M1961">
        <v>1</v>
      </c>
      <c r="S1961">
        <v>22</v>
      </c>
      <c r="T1961">
        <v>22</v>
      </c>
      <c r="U1961">
        <v>22</v>
      </c>
    </row>
    <row r="1962" spans="1:21" x14ac:dyDescent="0.25">
      <c r="A1962" s="5" t="s">
        <v>6576</v>
      </c>
      <c r="B1962" s="5" t="s">
        <v>6577</v>
      </c>
      <c r="C1962" t="s">
        <v>3450</v>
      </c>
      <c r="D1962" t="s">
        <v>3563</v>
      </c>
      <c r="E1962" t="s">
        <v>6531</v>
      </c>
      <c r="I1962" t="s">
        <v>3450</v>
      </c>
      <c r="J1962" t="s">
        <v>6514</v>
      </c>
      <c r="K1962" t="s">
        <v>6532</v>
      </c>
      <c r="L1962">
        <v>232</v>
      </c>
      <c r="M1962">
        <v>1</v>
      </c>
      <c r="S1962">
        <v>235</v>
      </c>
      <c r="T1962">
        <v>235</v>
      </c>
      <c r="U1962">
        <v>235</v>
      </c>
    </row>
    <row r="1963" spans="1:21" x14ac:dyDescent="0.25">
      <c r="A1963" s="5" t="s">
        <v>6578</v>
      </c>
      <c r="B1963" s="5" t="s">
        <v>6579</v>
      </c>
      <c r="C1963" t="s">
        <v>3450</v>
      </c>
      <c r="D1963" t="s">
        <v>3563</v>
      </c>
      <c r="E1963" t="s">
        <v>6531</v>
      </c>
      <c r="I1963" t="s">
        <v>3450</v>
      </c>
      <c r="J1963" t="s">
        <v>6514</v>
      </c>
      <c r="K1963" t="s">
        <v>6532</v>
      </c>
      <c r="L1963">
        <v>24</v>
      </c>
      <c r="M1963">
        <v>1</v>
      </c>
      <c r="S1963">
        <v>24</v>
      </c>
      <c r="T1963">
        <v>24</v>
      </c>
      <c r="U1963">
        <v>24</v>
      </c>
    </row>
    <row r="1964" spans="1:21" x14ac:dyDescent="0.25">
      <c r="A1964" s="5" t="s">
        <v>6580</v>
      </c>
      <c r="B1964" s="5" t="s">
        <v>6581</v>
      </c>
      <c r="C1964" t="s">
        <v>3450</v>
      </c>
      <c r="D1964" t="s">
        <v>3563</v>
      </c>
      <c r="E1964" t="s">
        <v>6531</v>
      </c>
      <c r="I1964" t="s">
        <v>3450</v>
      </c>
      <c r="J1964" t="s">
        <v>6514</v>
      </c>
      <c r="K1964" t="s">
        <v>6532</v>
      </c>
      <c r="L1964">
        <v>38</v>
      </c>
      <c r="M1964">
        <v>1</v>
      </c>
      <c r="S1964">
        <v>39</v>
      </c>
      <c r="T1964">
        <v>39</v>
      </c>
      <c r="U1964">
        <v>39</v>
      </c>
    </row>
    <row r="1965" spans="1:21" x14ac:dyDescent="0.25">
      <c r="A1965" s="5" t="s">
        <v>3458</v>
      </c>
      <c r="B1965" s="5" t="s">
        <v>6582</v>
      </c>
      <c r="C1965" t="s">
        <v>3450</v>
      </c>
      <c r="D1965" t="s">
        <v>3563</v>
      </c>
      <c r="E1965" t="s">
        <v>6531</v>
      </c>
      <c r="I1965" t="s">
        <v>3450</v>
      </c>
      <c r="J1965" t="s">
        <v>6514</v>
      </c>
      <c r="K1965" t="s">
        <v>6532</v>
      </c>
      <c r="L1965">
        <v>50</v>
      </c>
      <c r="M1965">
        <v>1</v>
      </c>
      <c r="S1965">
        <v>50</v>
      </c>
      <c r="T1965">
        <v>50</v>
      </c>
      <c r="U1965">
        <v>50</v>
      </c>
    </row>
    <row r="1966" spans="1:21" x14ac:dyDescent="0.25">
      <c r="A1966" s="5" t="s">
        <v>6583</v>
      </c>
      <c r="B1966" s="5" t="s">
        <v>6584</v>
      </c>
      <c r="C1966" t="s">
        <v>3450</v>
      </c>
      <c r="D1966" t="s">
        <v>3563</v>
      </c>
      <c r="E1966" t="s">
        <v>6531</v>
      </c>
      <c r="I1966" t="s">
        <v>3450</v>
      </c>
      <c r="J1966" t="s">
        <v>6514</v>
      </c>
      <c r="K1966" t="s">
        <v>6532</v>
      </c>
      <c r="L1966">
        <v>54</v>
      </c>
      <c r="M1966">
        <v>1</v>
      </c>
      <c r="S1966">
        <v>56</v>
      </c>
      <c r="T1966">
        <v>56</v>
      </c>
      <c r="U1966">
        <v>56</v>
      </c>
    </row>
    <row r="1967" spans="1:21" x14ac:dyDescent="0.25">
      <c r="A1967" s="5" t="s">
        <v>6585</v>
      </c>
      <c r="B1967" s="5" t="s">
        <v>6586</v>
      </c>
      <c r="C1967" t="s">
        <v>3450</v>
      </c>
      <c r="D1967" t="s">
        <v>3563</v>
      </c>
      <c r="E1967" t="s">
        <v>6531</v>
      </c>
      <c r="I1967" t="s">
        <v>3450</v>
      </c>
      <c r="J1967" t="s">
        <v>6514</v>
      </c>
      <c r="K1967" t="s">
        <v>6532</v>
      </c>
      <c r="L1967">
        <v>59</v>
      </c>
      <c r="M1967">
        <v>1</v>
      </c>
      <c r="S1967">
        <v>60</v>
      </c>
      <c r="T1967">
        <v>60</v>
      </c>
      <c r="U1967">
        <v>60</v>
      </c>
    </row>
    <row r="1968" spans="1:21" x14ac:dyDescent="0.25">
      <c r="A1968" s="5" t="s">
        <v>6587</v>
      </c>
      <c r="B1968" s="5" t="s">
        <v>6588</v>
      </c>
      <c r="C1968" t="s">
        <v>3450</v>
      </c>
      <c r="D1968" t="s">
        <v>3563</v>
      </c>
      <c r="E1968" t="s">
        <v>6531</v>
      </c>
      <c r="I1968" t="s">
        <v>3450</v>
      </c>
      <c r="J1968" t="s">
        <v>6514</v>
      </c>
      <c r="K1968" t="s">
        <v>6532</v>
      </c>
      <c r="L1968">
        <v>60</v>
      </c>
      <c r="M1968">
        <v>1</v>
      </c>
      <c r="S1968">
        <v>63</v>
      </c>
      <c r="T1968">
        <v>63</v>
      </c>
      <c r="U1968">
        <v>63</v>
      </c>
    </row>
    <row r="1969" spans="1:21" x14ac:dyDescent="0.25">
      <c r="A1969" s="5" t="s">
        <v>6589</v>
      </c>
      <c r="B1969" s="5" t="s">
        <v>6590</v>
      </c>
      <c r="C1969" t="s">
        <v>3450</v>
      </c>
      <c r="D1969" t="s">
        <v>3563</v>
      </c>
      <c r="E1969" t="s">
        <v>6531</v>
      </c>
      <c r="I1969" t="s">
        <v>3450</v>
      </c>
      <c r="J1969" t="s">
        <v>6514</v>
      </c>
      <c r="K1969" t="s">
        <v>6532</v>
      </c>
      <c r="L1969">
        <v>65</v>
      </c>
      <c r="M1969">
        <v>1</v>
      </c>
      <c r="S1969">
        <v>66</v>
      </c>
      <c r="T1969">
        <v>66</v>
      </c>
      <c r="U1969">
        <v>66</v>
      </c>
    </row>
    <row r="1970" spans="1:21" x14ac:dyDescent="0.25">
      <c r="A1970" s="5" t="s">
        <v>6591</v>
      </c>
      <c r="B1970" s="5" t="s">
        <v>6592</v>
      </c>
      <c r="C1970" t="s">
        <v>3450</v>
      </c>
      <c r="D1970" t="s">
        <v>3563</v>
      </c>
      <c r="E1970" t="s">
        <v>6531</v>
      </c>
      <c r="I1970" t="s">
        <v>3450</v>
      </c>
      <c r="J1970" t="s">
        <v>6514</v>
      </c>
      <c r="K1970" t="s">
        <v>6532</v>
      </c>
      <c r="L1970">
        <v>70</v>
      </c>
      <c r="M1970">
        <v>1</v>
      </c>
      <c r="S1970">
        <v>70</v>
      </c>
      <c r="T1970">
        <v>70</v>
      </c>
      <c r="U1970">
        <v>70</v>
      </c>
    </row>
    <row r="1971" spans="1:21" x14ac:dyDescent="0.25">
      <c r="A1971" s="5" t="s">
        <v>6593</v>
      </c>
      <c r="B1971" s="5" t="s">
        <v>6594</v>
      </c>
      <c r="C1971" t="s">
        <v>3450</v>
      </c>
      <c r="D1971" t="s">
        <v>3563</v>
      </c>
      <c r="E1971" t="s">
        <v>6531</v>
      </c>
      <c r="I1971" t="s">
        <v>3450</v>
      </c>
      <c r="J1971" t="s">
        <v>6514</v>
      </c>
      <c r="K1971" t="s">
        <v>6532</v>
      </c>
      <c r="L1971">
        <v>71</v>
      </c>
      <c r="M1971">
        <v>1</v>
      </c>
      <c r="S1971">
        <v>71</v>
      </c>
      <c r="T1971">
        <v>71</v>
      </c>
      <c r="U1971">
        <v>71</v>
      </c>
    </row>
    <row r="1972" spans="1:21" x14ac:dyDescent="0.25">
      <c r="A1972" s="5" t="s">
        <v>6595</v>
      </c>
      <c r="B1972" s="5" t="s">
        <v>6596</v>
      </c>
      <c r="C1972" t="s">
        <v>3450</v>
      </c>
      <c r="D1972" t="s">
        <v>3563</v>
      </c>
      <c r="E1972" t="s">
        <v>6531</v>
      </c>
      <c r="I1972" t="s">
        <v>3450</v>
      </c>
      <c r="J1972" t="s">
        <v>6514</v>
      </c>
      <c r="K1972" t="s">
        <v>6532</v>
      </c>
      <c r="L1972">
        <v>72</v>
      </c>
      <c r="M1972">
        <v>1</v>
      </c>
      <c r="S1972">
        <v>72</v>
      </c>
      <c r="T1972">
        <v>72</v>
      </c>
      <c r="U1972">
        <v>72</v>
      </c>
    </row>
    <row r="1973" spans="1:21" x14ac:dyDescent="0.25">
      <c r="A1973" s="5" t="s">
        <v>6597</v>
      </c>
      <c r="B1973" s="5" t="s">
        <v>6598</v>
      </c>
      <c r="C1973" t="s">
        <v>3450</v>
      </c>
      <c r="D1973" t="s">
        <v>3563</v>
      </c>
      <c r="E1973" t="s">
        <v>6531</v>
      </c>
      <c r="I1973" t="s">
        <v>3450</v>
      </c>
      <c r="J1973" t="s">
        <v>6514</v>
      </c>
      <c r="K1973" t="s">
        <v>6532</v>
      </c>
      <c r="L1973">
        <v>74</v>
      </c>
      <c r="M1973">
        <v>1</v>
      </c>
      <c r="S1973">
        <v>75</v>
      </c>
      <c r="T1973">
        <v>75</v>
      </c>
      <c r="U1973">
        <v>75</v>
      </c>
    </row>
    <row r="1974" spans="1:21" x14ac:dyDescent="0.25">
      <c r="A1974" s="5" t="s">
        <v>6599</v>
      </c>
      <c r="B1974" s="5" t="s">
        <v>6600</v>
      </c>
      <c r="C1974" t="s">
        <v>3450</v>
      </c>
      <c r="D1974" t="s">
        <v>3563</v>
      </c>
      <c r="E1974" t="s">
        <v>6531</v>
      </c>
      <c r="I1974" t="s">
        <v>3450</v>
      </c>
      <c r="J1974" t="s">
        <v>6514</v>
      </c>
      <c r="K1974" t="s">
        <v>6532</v>
      </c>
      <c r="L1974">
        <v>85</v>
      </c>
      <c r="M1974">
        <v>1</v>
      </c>
      <c r="S1974">
        <v>85</v>
      </c>
      <c r="T1974">
        <v>85</v>
      </c>
      <c r="U1974">
        <v>85</v>
      </c>
    </row>
    <row r="1975" spans="1:21" x14ac:dyDescent="0.25">
      <c r="A1975" s="5" t="s">
        <v>6601</v>
      </c>
      <c r="B1975" s="5" t="s">
        <v>6602</v>
      </c>
      <c r="C1975" t="s">
        <v>3450</v>
      </c>
      <c r="D1975" t="s">
        <v>3563</v>
      </c>
      <c r="E1975" t="s">
        <v>6531</v>
      </c>
      <c r="I1975" t="s">
        <v>3450</v>
      </c>
      <c r="J1975" t="s">
        <v>6514</v>
      </c>
      <c r="K1975" t="s">
        <v>6532</v>
      </c>
      <c r="L1975">
        <v>87</v>
      </c>
      <c r="M1975">
        <v>1</v>
      </c>
      <c r="S1975">
        <v>93</v>
      </c>
      <c r="T1975">
        <v>93</v>
      </c>
      <c r="U1975">
        <v>93</v>
      </c>
    </row>
    <row r="1976" spans="1:21" x14ac:dyDescent="0.25">
      <c r="A1976" s="5" t="s">
        <v>6603</v>
      </c>
      <c r="B1976" s="5" t="s">
        <v>6604</v>
      </c>
      <c r="C1976" t="s">
        <v>3450</v>
      </c>
      <c r="D1976" t="s">
        <v>3563</v>
      </c>
      <c r="E1976" t="s">
        <v>6531</v>
      </c>
      <c r="I1976" t="s">
        <v>3450</v>
      </c>
      <c r="J1976" t="s">
        <v>6514</v>
      </c>
      <c r="K1976" t="s">
        <v>6532</v>
      </c>
      <c r="L1976">
        <v>88</v>
      </c>
      <c r="M1976">
        <v>1</v>
      </c>
      <c r="S1976">
        <v>85</v>
      </c>
      <c r="T1976">
        <v>85</v>
      </c>
      <c r="U1976">
        <v>85</v>
      </c>
    </row>
    <row r="1977" spans="1:21" x14ac:dyDescent="0.25">
      <c r="A1977" s="5" t="s">
        <v>6605</v>
      </c>
      <c r="B1977" s="5" t="s">
        <v>6606</v>
      </c>
      <c r="C1977" t="s">
        <v>3450</v>
      </c>
      <c r="D1977" t="s">
        <v>3563</v>
      </c>
      <c r="E1977" t="s">
        <v>6531</v>
      </c>
      <c r="I1977" t="s">
        <v>3450</v>
      </c>
      <c r="J1977" t="s">
        <v>6514</v>
      </c>
      <c r="K1977" t="s">
        <v>6532</v>
      </c>
      <c r="L1977">
        <v>91</v>
      </c>
      <c r="M1977">
        <v>1</v>
      </c>
      <c r="S1977">
        <v>91</v>
      </c>
      <c r="T1977">
        <v>91</v>
      </c>
      <c r="U1977">
        <v>91</v>
      </c>
    </row>
    <row r="1978" spans="1:21" x14ac:dyDescent="0.25">
      <c r="A1978" s="5" t="s">
        <v>6607</v>
      </c>
      <c r="B1978" s="5" t="s">
        <v>6608</v>
      </c>
      <c r="C1978" t="s">
        <v>3450</v>
      </c>
      <c r="D1978" t="s">
        <v>3563</v>
      </c>
      <c r="E1978" t="s">
        <v>6609</v>
      </c>
      <c r="I1978" t="s">
        <v>3450</v>
      </c>
      <c r="J1978" t="s">
        <v>6514</v>
      </c>
      <c r="K1978" t="s">
        <v>6610</v>
      </c>
      <c r="L1978">
        <v>156</v>
      </c>
      <c r="M1978">
        <v>1</v>
      </c>
      <c r="S1978">
        <v>157</v>
      </c>
      <c r="T1978">
        <v>157</v>
      </c>
      <c r="U1978">
        <v>157</v>
      </c>
    </row>
    <row r="1979" spans="1:21" x14ac:dyDescent="0.25">
      <c r="A1979" s="5" t="s">
        <v>6611</v>
      </c>
      <c r="B1979" s="5" t="s">
        <v>6612</v>
      </c>
      <c r="C1979" t="s">
        <v>3450</v>
      </c>
      <c r="D1979" t="s">
        <v>3563</v>
      </c>
      <c r="E1979" t="s">
        <v>6609</v>
      </c>
      <c r="I1979" t="s">
        <v>3450</v>
      </c>
      <c r="J1979" t="s">
        <v>6514</v>
      </c>
      <c r="K1979" t="s">
        <v>6610</v>
      </c>
      <c r="L1979">
        <v>193</v>
      </c>
      <c r="M1979">
        <v>1</v>
      </c>
      <c r="S1979">
        <v>193</v>
      </c>
      <c r="T1979">
        <v>193</v>
      </c>
      <c r="U1979">
        <v>193</v>
      </c>
    </row>
    <row r="1980" spans="1:21" x14ac:dyDescent="0.25">
      <c r="A1980" s="5" t="s">
        <v>6613</v>
      </c>
      <c r="B1980" s="5" t="s">
        <v>6614</v>
      </c>
      <c r="C1980" t="s">
        <v>3450</v>
      </c>
      <c r="D1980" t="s">
        <v>3563</v>
      </c>
      <c r="E1980" t="s">
        <v>6609</v>
      </c>
      <c r="I1980" t="s">
        <v>3450</v>
      </c>
      <c r="J1980" t="s">
        <v>6514</v>
      </c>
      <c r="K1980" t="s">
        <v>6610</v>
      </c>
      <c r="L1980">
        <v>73</v>
      </c>
      <c r="M1980">
        <v>1</v>
      </c>
      <c r="S1980">
        <v>73</v>
      </c>
      <c r="T1980">
        <v>73</v>
      </c>
      <c r="U1980">
        <v>73</v>
      </c>
    </row>
    <row r="1981" spans="1:21" x14ac:dyDescent="0.25">
      <c r="A1981" s="5" t="s">
        <v>7737</v>
      </c>
      <c r="B1981" s="5" t="s">
        <v>7738</v>
      </c>
      <c r="C1981" t="s">
        <v>3450</v>
      </c>
      <c r="D1981" t="s">
        <v>3563</v>
      </c>
      <c r="E1981" t="s">
        <v>6675</v>
      </c>
      <c r="I1981" t="s">
        <v>3450</v>
      </c>
      <c r="J1981" t="s">
        <v>6514</v>
      </c>
      <c r="K1981" t="s">
        <v>6676</v>
      </c>
      <c r="L1981">
        <v>15</v>
      </c>
      <c r="M1981">
        <v>1</v>
      </c>
      <c r="S1981">
        <v>15</v>
      </c>
      <c r="T1981">
        <v>15</v>
      </c>
      <c r="U1981">
        <v>15</v>
      </c>
    </row>
    <row r="1982" spans="1:21" x14ac:dyDescent="0.25">
      <c r="A1982" s="5" t="s">
        <v>7739</v>
      </c>
      <c r="B1982" s="5" t="s">
        <v>7740</v>
      </c>
      <c r="C1982" t="s">
        <v>3450</v>
      </c>
      <c r="D1982" t="s">
        <v>3563</v>
      </c>
      <c r="E1982" t="s">
        <v>6675</v>
      </c>
      <c r="I1982" t="s">
        <v>3450</v>
      </c>
      <c r="J1982" t="s">
        <v>6514</v>
      </c>
      <c r="K1982" t="s">
        <v>6676</v>
      </c>
      <c r="L1982">
        <v>20</v>
      </c>
      <c r="M1982">
        <v>1</v>
      </c>
      <c r="S1982">
        <v>22</v>
      </c>
      <c r="T1982">
        <v>22</v>
      </c>
      <c r="U1982">
        <v>22</v>
      </c>
    </row>
    <row r="1983" spans="1:21" x14ac:dyDescent="0.25">
      <c r="A1983" s="5" t="s">
        <v>7741</v>
      </c>
      <c r="B1983" s="5" t="s">
        <v>7742</v>
      </c>
      <c r="C1983" t="s">
        <v>3450</v>
      </c>
      <c r="D1983" t="s">
        <v>3563</v>
      </c>
      <c r="E1983" t="s">
        <v>6675</v>
      </c>
      <c r="I1983" t="s">
        <v>3450</v>
      </c>
      <c r="J1983" t="s">
        <v>6514</v>
      </c>
      <c r="K1983" t="s">
        <v>6676</v>
      </c>
      <c r="L1983">
        <v>22</v>
      </c>
      <c r="M1983">
        <v>1</v>
      </c>
      <c r="S1983">
        <v>22</v>
      </c>
      <c r="T1983">
        <v>22</v>
      </c>
      <c r="U1983">
        <v>22</v>
      </c>
    </row>
    <row r="1984" spans="1:21" x14ac:dyDescent="0.25">
      <c r="A1984" s="5" t="s">
        <v>7743</v>
      </c>
      <c r="B1984" s="5" t="s">
        <v>7744</v>
      </c>
      <c r="C1984" t="s">
        <v>3450</v>
      </c>
      <c r="D1984" t="s">
        <v>3563</v>
      </c>
      <c r="E1984" t="s">
        <v>6675</v>
      </c>
      <c r="I1984" t="s">
        <v>3450</v>
      </c>
      <c r="J1984" t="s">
        <v>6514</v>
      </c>
      <c r="K1984" t="s">
        <v>6676</v>
      </c>
      <c r="L1984">
        <v>53</v>
      </c>
      <c r="M1984">
        <v>1</v>
      </c>
      <c r="S1984">
        <v>53</v>
      </c>
      <c r="T1984">
        <v>53</v>
      </c>
      <c r="U1984">
        <v>53</v>
      </c>
    </row>
    <row r="1985" spans="1:21" x14ac:dyDescent="0.25">
      <c r="A1985" s="5" t="s">
        <v>7745</v>
      </c>
      <c r="B1985" s="5" t="s">
        <v>7746</v>
      </c>
      <c r="C1985" t="s">
        <v>3450</v>
      </c>
      <c r="D1985" t="s">
        <v>3563</v>
      </c>
      <c r="E1985" t="s">
        <v>6675</v>
      </c>
      <c r="I1985" t="s">
        <v>3450</v>
      </c>
      <c r="J1985" t="s">
        <v>6514</v>
      </c>
      <c r="K1985" t="s">
        <v>6676</v>
      </c>
      <c r="L1985">
        <v>71</v>
      </c>
      <c r="M1985">
        <v>1</v>
      </c>
      <c r="S1985">
        <v>69</v>
      </c>
      <c r="T1985">
        <v>69</v>
      </c>
      <c r="U1985">
        <v>69</v>
      </c>
    </row>
    <row r="1986" spans="1:21" x14ac:dyDescent="0.25">
      <c r="A1986" s="5" t="s">
        <v>7747</v>
      </c>
      <c r="B1986" s="5" t="s">
        <v>7748</v>
      </c>
      <c r="C1986" t="s">
        <v>3450</v>
      </c>
      <c r="D1986" t="s">
        <v>3563</v>
      </c>
      <c r="E1986" t="s">
        <v>6675</v>
      </c>
      <c r="I1986" t="s">
        <v>3450</v>
      </c>
      <c r="J1986" t="s">
        <v>6514</v>
      </c>
      <c r="K1986" t="s">
        <v>6676</v>
      </c>
      <c r="L1986">
        <v>88</v>
      </c>
      <c r="M1986">
        <v>1</v>
      </c>
      <c r="S1986">
        <v>85</v>
      </c>
      <c r="T1986">
        <v>85</v>
      </c>
      <c r="U1986">
        <v>85</v>
      </c>
    </row>
    <row r="1987" spans="1:21" x14ac:dyDescent="0.25">
      <c r="A1987" s="5" t="s">
        <v>6615</v>
      </c>
      <c r="B1987" s="5" t="s">
        <v>7749</v>
      </c>
      <c r="C1987" t="s">
        <v>3450</v>
      </c>
      <c r="D1987" t="s">
        <v>6616</v>
      </c>
      <c r="E1987" t="s">
        <v>6617</v>
      </c>
      <c r="I1987" t="s">
        <v>3450</v>
      </c>
      <c r="J1987" t="s">
        <v>6618</v>
      </c>
      <c r="K1987" t="s">
        <v>7264</v>
      </c>
      <c r="L1987">
        <v>107</v>
      </c>
      <c r="M1987">
        <v>1</v>
      </c>
      <c r="S1987">
        <v>107</v>
      </c>
      <c r="T1987">
        <v>107</v>
      </c>
      <c r="U1987">
        <v>107</v>
      </c>
    </row>
    <row r="1988" spans="1:21" x14ac:dyDescent="0.25">
      <c r="A1988" s="5" t="s">
        <v>6619</v>
      </c>
      <c r="B1988" s="5" t="s">
        <v>7750</v>
      </c>
      <c r="C1988" t="s">
        <v>3450</v>
      </c>
      <c r="D1988" t="s">
        <v>6616</v>
      </c>
      <c r="E1988" t="s">
        <v>6617</v>
      </c>
      <c r="I1988" t="s">
        <v>3450</v>
      </c>
      <c r="J1988" t="s">
        <v>6618</v>
      </c>
      <c r="K1988" t="s">
        <v>7264</v>
      </c>
      <c r="L1988">
        <v>10</v>
      </c>
      <c r="M1988">
        <v>1</v>
      </c>
      <c r="S1988">
        <v>10</v>
      </c>
      <c r="T1988">
        <v>10</v>
      </c>
      <c r="U1988">
        <v>10</v>
      </c>
    </row>
    <row r="1989" spans="1:21" x14ac:dyDescent="0.25">
      <c r="A1989" s="5" t="s">
        <v>6620</v>
      </c>
      <c r="B1989" s="5" t="s">
        <v>7751</v>
      </c>
      <c r="C1989" t="s">
        <v>3450</v>
      </c>
      <c r="D1989" t="s">
        <v>6616</v>
      </c>
      <c r="E1989" t="s">
        <v>6617</v>
      </c>
      <c r="I1989" t="s">
        <v>3450</v>
      </c>
      <c r="J1989" t="s">
        <v>6618</v>
      </c>
      <c r="K1989" t="s">
        <v>7264</v>
      </c>
      <c r="L1989">
        <v>11</v>
      </c>
      <c r="M1989">
        <v>1</v>
      </c>
      <c r="S1989">
        <v>11</v>
      </c>
      <c r="T1989">
        <v>11</v>
      </c>
      <c r="U1989">
        <v>11</v>
      </c>
    </row>
    <row r="1990" spans="1:21" x14ac:dyDescent="0.25">
      <c r="A1990" s="5" t="s">
        <v>6621</v>
      </c>
      <c r="B1990" s="5" t="s">
        <v>7752</v>
      </c>
      <c r="C1990" t="s">
        <v>3450</v>
      </c>
      <c r="D1990" t="s">
        <v>6616</v>
      </c>
      <c r="E1990" t="s">
        <v>6617</v>
      </c>
      <c r="I1990" t="s">
        <v>3450</v>
      </c>
      <c r="J1990" t="s">
        <v>6618</v>
      </c>
      <c r="K1990" t="s">
        <v>7264</v>
      </c>
      <c r="L1990">
        <v>12</v>
      </c>
      <c r="M1990">
        <v>1</v>
      </c>
      <c r="S1990">
        <v>12</v>
      </c>
      <c r="T1990">
        <v>12</v>
      </c>
      <c r="U1990">
        <v>12</v>
      </c>
    </row>
    <row r="1991" spans="1:21" x14ac:dyDescent="0.25">
      <c r="A1991" s="5" t="s">
        <v>6622</v>
      </c>
      <c r="B1991" s="5" t="s">
        <v>7753</v>
      </c>
      <c r="C1991" t="s">
        <v>3450</v>
      </c>
      <c r="D1991" t="s">
        <v>6616</v>
      </c>
      <c r="E1991" t="s">
        <v>6617</v>
      </c>
      <c r="I1991" t="s">
        <v>3450</v>
      </c>
      <c r="J1991" t="s">
        <v>6618</v>
      </c>
      <c r="K1991" t="s">
        <v>7264</v>
      </c>
      <c r="L1991">
        <v>13</v>
      </c>
      <c r="M1991">
        <v>1</v>
      </c>
      <c r="S1991">
        <v>13</v>
      </c>
      <c r="T1991">
        <v>13</v>
      </c>
      <c r="U1991">
        <v>13</v>
      </c>
    </row>
    <row r="1992" spans="1:21" x14ac:dyDescent="0.25">
      <c r="A1992" s="5" t="s">
        <v>6623</v>
      </c>
      <c r="B1992" s="5" t="s">
        <v>7754</v>
      </c>
      <c r="C1992" t="s">
        <v>3450</v>
      </c>
      <c r="D1992" t="s">
        <v>6616</v>
      </c>
      <c r="E1992" t="s">
        <v>6617</v>
      </c>
      <c r="I1992" t="s">
        <v>3450</v>
      </c>
      <c r="J1992" t="s">
        <v>6618</v>
      </c>
      <c r="K1992" t="s">
        <v>7264</v>
      </c>
      <c r="L1992">
        <v>14</v>
      </c>
      <c r="M1992">
        <v>1</v>
      </c>
      <c r="S1992">
        <v>14</v>
      </c>
      <c r="T1992">
        <v>14</v>
      </c>
      <c r="U1992">
        <v>14</v>
      </c>
    </row>
    <row r="1993" spans="1:21" x14ac:dyDescent="0.25">
      <c r="A1993" s="5" t="s">
        <v>6624</v>
      </c>
      <c r="B1993" s="5" t="s">
        <v>7755</v>
      </c>
      <c r="C1993" t="s">
        <v>3450</v>
      </c>
      <c r="D1993" t="s">
        <v>6616</v>
      </c>
      <c r="E1993" t="s">
        <v>6617</v>
      </c>
      <c r="I1993" t="s">
        <v>3450</v>
      </c>
      <c r="J1993" t="s">
        <v>6618</v>
      </c>
      <c r="K1993" t="s">
        <v>7264</v>
      </c>
      <c r="L1993">
        <v>15</v>
      </c>
      <c r="M1993">
        <v>1</v>
      </c>
      <c r="S1993">
        <v>15</v>
      </c>
      <c r="T1993">
        <v>15</v>
      </c>
      <c r="U1993">
        <v>15</v>
      </c>
    </row>
    <row r="1994" spans="1:21" x14ac:dyDescent="0.25">
      <c r="A1994" s="5" t="s">
        <v>6625</v>
      </c>
      <c r="B1994" s="5" t="s">
        <v>7756</v>
      </c>
      <c r="C1994" t="s">
        <v>3450</v>
      </c>
      <c r="D1994" t="s">
        <v>6616</v>
      </c>
      <c r="E1994" t="s">
        <v>6617</v>
      </c>
      <c r="I1994" t="s">
        <v>3450</v>
      </c>
      <c r="J1994" t="s">
        <v>6618</v>
      </c>
      <c r="K1994" t="s">
        <v>7264</v>
      </c>
      <c r="L1994">
        <v>16</v>
      </c>
      <c r="M1994">
        <v>1</v>
      </c>
      <c r="S1994">
        <v>16</v>
      </c>
      <c r="T1994">
        <v>16</v>
      </c>
      <c r="U1994">
        <v>16</v>
      </c>
    </row>
    <row r="1995" spans="1:21" x14ac:dyDescent="0.25">
      <c r="A1995" s="5" t="s">
        <v>6626</v>
      </c>
      <c r="B1995" s="5" t="s">
        <v>7757</v>
      </c>
      <c r="C1995" t="s">
        <v>3450</v>
      </c>
      <c r="D1995" t="s">
        <v>6616</v>
      </c>
      <c r="E1995" t="s">
        <v>6617</v>
      </c>
      <c r="I1995" t="s">
        <v>3450</v>
      </c>
      <c r="J1995" t="s">
        <v>6618</v>
      </c>
      <c r="K1995" t="s">
        <v>7264</v>
      </c>
      <c r="L1995">
        <v>17</v>
      </c>
      <c r="M1995">
        <v>1</v>
      </c>
      <c r="S1995">
        <v>17</v>
      </c>
      <c r="T1995">
        <v>17</v>
      </c>
      <c r="U1995">
        <v>17</v>
      </c>
    </row>
    <row r="1996" spans="1:21" x14ac:dyDescent="0.25">
      <c r="A1996" s="5" t="s">
        <v>6627</v>
      </c>
      <c r="B1996" s="5" t="s">
        <v>7758</v>
      </c>
      <c r="C1996" t="s">
        <v>3450</v>
      </c>
      <c r="D1996" t="s">
        <v>6616</v>
      </c>
      <c r="E1996" t="s">
        <v>6617</v>
      </c>
      <c r="I1996" t="s">
        <v>3450</v>
      </c>
      <c r="J1996" t="s">
        <v>6618</v>
      </c>
      <c r="K1996" t="s">
        <v>7264</v>
      </c>
      <c r="L1996">
        <v>18</v>
      </c>
      <c r="M1996">
        <v>1</v>
      </c>
      <c r="S1996">
        <v>18</v>
      </c>
      <c r="T1996">
        <v>18</v>
      </c>
      <c r="U1996">
        <v>18</v>
      </c>
    </row>
    <row r="1997" spans="1:21" x14ac:dyDescent="0.25">
      <c r="A1997" s="5" t="s">
        <v>6628</v>
      </c>
      <c r="B1997" s="5" t="s">
        <v>7759</v>
      </c>
      <c r="C1997" t="s">
        <v>3450</v>
      </c>
      <c r="D1997" t="s">
        <v>6616</v>
      </c>
      <c r="E1997" t="s">
        <v>6617</v>
      </c>
      <c r="I1997" t="s">
        <v>3450</v>
      </c>
      <c r="J1997" t="s">
        <v>6618</v>
      </c>
      <c r="K1997" t="s">
        <v>7264</v>
      </c>
      <c r="L1997">
        <v>19</v>
      </c>
      <c r="M1997">
        <v>1</v>
      </c>
      <c r="S1997">
        <v>19</v>
      </c>
      <c r="T1997">
        <v>19</v>
      </c>
      <c r="U1997">
        <v>19</v>
      </c>
    </row>
    <row r="1998" spans="1:21" x14ac:dyDescent="0.25">
      <c r="A1998" s="5" t="s">
        <v>6629</v>
      </c>
      <c r="B1998" s="5" t="s">
        <v>7760</v>
      </c>
      <c r="C1998" t="s">
        <v>3450</v>
      </c>
      <c r="D1998" t="s">
        <v>6616</v>
      </c>
      <c r="E1998" t="s">
        <v>6617</v>
      </c>
      <c r="I1998" t="s">
        <v>3450</v>
      </c>
      <c r="J1998" t="s">
        <v>6618</v>
      </c>
      <c r="K1998" t="s">
        <v>7264</v>
      </c>
      <c r="L1998">
        <v>20</v>
      </c>
      <c r="M1998">
        <v>1</v>
      </c>
      <c r="S1998">
        <v>20</v>
      </c>
      <c r="T1998">
        <v>20</v>
      </c>
      <c r="U1998">
        <v>20</v>
      </c>
    </row>
    <row r="1999" spans="1:21" x14ac:dyDescent="0.25">
      <c r="A1999" s="5" t="s">
        <v>6630</v>
      </c>
      <c r="B1999" s="5" t="s">
        <v>7761</v>
      </c>
      <c r="C1999" t="s">
        <v>3450</v>
      </c>
      <c r="D1999" t="s">
        <v>6616</v>
      </c>
      <c r="E1999" t="s">
        <v>6617</v>
      </c>
      <c r="I1999" t="s">
        <v>3450</v>
      </c>
      <c r="J1999" t="s">
        <v>6618</v>
      </c>
      <c r="K1999" t="s">
        <v>7264</v>
      </c>
      <c r="L1999">
        <v>21</v>
      </c>
      <c r="M1999">
        <v>1</v>
      </c>
      <c r="S1999">
        <v>21</v>
      </c>
      <c r="T1999">
        <v>21</v>
      </c>
      <c r="U1999">
        <v>21</v>
      </c>
    </row>
    <row r="2000" spans="1:21" x14ac:dyDescent="0.25">
      <c r="A2000" s="5" t="s">
        <v>6631</v>
      </c>
      <c r="B2000" s="5" t="s">
        <v>7762</v>
      </c>
      <c r="C2000" t="s">
        <v>3450</v>
      </c>
      <c r="D2000" t="s">
        <v>6616</v>
      </c>
      <c r="E2000" t="s">
        <v>6617</v>
      </c>
      <c r="I2000" t="s">
        <v>3450</v>
      </c>
      <c r="J2000" t="s">
        <v>6618</v>
      </c>
      <c r="K2000" t="s">
        <v>7264</v>
      </c>
      <c r="L2000">
        <v>22</v>
      </c>
      <c r="M2000">
        <v>1</v>
      </c>
      <c r="S2000">
        <v>22</v>
      </c>
      <c r="T2000">
        <v>22</v>
      </c>
      <c r="U2000">
        <v>22</v>
      </c>
    </row>
    <row r="2001" spans="1:21" x14ac:dyDescent="0.25">
      <c r="A2001" s="5" t="s">
        <v>6632</v>
      </c>
      <c r="B2001" s="5" t="s">
        <v>7763</v>
      </c>
      <c r="C2001" t="s">
        <v>3450</v>
      </c>
      <c r="D2001" t="s">
        <v>6616</v>
      </c>
      <c r="E2001" t="s">
        <v>6617</v>
      </c>
      <c r="I2001" t="s">
        <v>3450</v>
      </c>
      <c r="J2001" t="s">
        <v>6618</v>
      </c>
      <c r="K2001" t="s">
        <v>7264</v>
      </c>
      <c r="L2001">
        <v>23</v>
      </c>
      <c r="M2001">
        <v>1</v>
      </c>
      <c r="S2001">
        <v>23</v>
      </c>
      <c r="T2001">
        <v>23</v>
      </c>
      <c r="U2001">
        <v>23</v>
      </c>
    </row>
    <row r="2002" spans="1:21" x14ac:dyDescent="0.25">
      <c r="A2002" s="5" t="s">
        <v>6633</v>
      </c>
      <c r="B2002" s="5" t="s">
        <v>7764</v>
      </c>
      <c r="C2002" t="s">
        <v>3450</v>
      </c>
      <c r="D2002" t="s">
        <v>6616</v>
      </c>
      <c r="E2002" t="s">
        <v>6617</v>
      </c>
      <c r="I2002" t="s">
        <v>3450</v>
      </c>
      <c r="J2002" t="s">
        <v>6618</v>
      </c>
      <c r="K2002" t="s">
        <v>7264</v>
      </c>
      <c r="L2002">
        <v>24</v>
      </c>
      <c r="M2002">
        <v>1</v>
      </c>
      <c r="S2002">
        <v>24</v>
      </c>
      <c r="T2002">
        <v>24</v>
      </c>
      <c r="U2002">
        <v>24</v>
      </c>
    </row>
    <row r="2003" spans="1:21" x14ac:dyDescent="0.25">
      <c r="A2003" s="5" t="s">
        <v>6634</v>
      </c>
      <c r="B2003" s="5" t="s">
        <v>7765</v>
      </c>
      <c r="C2003" t="s">
        <v>3450</v>
      </c>
      <c r="D2003" t="s">
        <v>6616</v>
      </c>
      <c r="E2003" t="s">
        <v>6617</v>
      </c>
      <c r="I2003" t="s">
        <v>3450</v>
      </c>
      <c r="J2003" t="s">
        <v>6618</v>
      </c>
      <c r="K2003" t="s">
        <v>7264</v>
      </c>
      <c r="L2003">
        <v>25</v>
      </c>
      <c r="M2003">
        <v>1</v>
      </c>
      <c r="S2003">
        <v>25</v>
      </c>
      <c r="T2003">
        <v>25</v>
      </c>
      <c r="U2003">
        <v>25</v>
      </c>
    </row>
    <row r="2004" spans="1:21" x14ac:dyDescent="0.25">
      <c r="A2004" s="5" t="s">
        <v>6635</v>
      </c>
      <c r="B2004" s="5" t="s">
        <v>7766</v>
      </c>
      <c r="C2004" t="s">
        <v>3450</v>
      </c>
      <c r="D2004" t="s">
        <v>6616</v>
      </c>
      <c r="E2004" t="s">
        <v>6617</v>
      </c>
      <c r="I2004" t="s">
        <v>3450</v>
      </c>
      <c r="J2004" t="s">
        <v>6618</v>
      </c>
      <c r="K2004" t="s">
        <v>7264</v>
      </c>
      <c r="L2004">
        <v>26</v>
      </c>
      <c r="M2004">
        <v>1</v>
      </c>
      <c r="S2004">
        <v>26</v>
      </c>
      <c r="T2004">
        <v>26</v>
      </c>
      <c r="U2004">
        <v>26</v>
      </c>
    </row>
    <row r="2005" spans="1:21" x14ac:dyDescent="0.25">
      <c r="A2005" s="5" t="s">
        <v>6636</v>
      </c>
      <c r="B2005" s="5" t="s">
        <v>7767</v>
      </c>
      <c r="C2005" t="s">
        <v>3450</v>
      </c>
      <c r="D2005" t="s">
        <v>6616</v>
      </c>
      <c r="E2005" t="s">
        <v>6617</v>
      </c>
      <c r="I2005" t="s">
        <v>3450</v>
      </c>
      <c r="J2005" t="s">
        <v>6618</v>
      </c>
      <c r="K2005" t="s">
        <v>7264</v>
      </c>
      <c r="L2005">
        <v>28</v>
      </c>
      <c r="M2005">
        <v>1</v>
      </c>
      <c r="S2005">
        <v>28</v>
      </c>
      <c r="T2005">
        <v>28</v>
      </c>
      <c r="U2005">
        <v>28</v>
      </c>
    </row>
    <row r="2006" spans="1:21" x14ac:dyDescent="0.25">
      <c r="A2006" s="5" t="s">
        <v>6637</v>
      </c>
      <c r="B2006" s="5" t="s">
        <v>7768</v>
      </c>
      <c r="C2006" t="s">
        <v>3450</v>
      </c>
      <c r="D2006" t="s">
        <v>6616</v>
      </c>
      <c r="E2006" t="s">
        <v>6617</v>
      </c>
      <c r="I2006" t="s">
        <v>3450</v>
      </c>
      <c r="J2006" t="s">
        <v>6618</v>
      </c>
      <c r="K2006" t="s">
        <v>7264</v>
      </c>
      <c r="L2006">
        <v>29</v>
      </c>
      <c r="M2006">
        <v>1</v>
      </c>
      <c r="S2006">
        <v>29</v>
      </c>
      <c r="T2006">
        <v>29</v>
      </c>
      <c r="U2006">
        <v>29</v>
      </c>
    </row>
    <row r="2007" spans="1:21" x14ac:dyDescent="0.25">
      <c r="A2007" s="5" t="s">
        <v>6638</v>
      </c>
      <c r="B2007" s="5" t="s">
        <v>7769</v>
      </c>
      <c r="C2007" t="s">
        <v>3450</v>
      </c>
      <c r="D2007" t="s">
        <v>6616</v>
      </c>
      <c r="E2007" t="s">
        <v>6617</v>
      </c>
      <c r="I2007" t="s">
        <v>3450</v>
      </c>
      <c r="J2007" t="s">
        <v>6618</v>
      </c>
      <c r="K2007" t="s">
        <v>7264</v>
      </c>
      <c r="L2007">
        <v>30</v>
      </c>
      <c r="M2007">
        <v>1</v>
      </c>
      <c r="S2007">
        <v>30</v>
      </c>
      <c r="T2007">
        <v>30</v>
      </c>
      <c r="U2007">
        <v>30</v>
      </c>
    </row>
    <row r="2008" spans="1:21" x14ac:dyDescent="0.25">
      <c r="A2008" s="5" t="s">
        <v>6639</v>
      </c>
      <c r="B2008" s="5" t="s">
        <v>7770</v>
      </c>
      <c r="C2008" t="s">
        <v>3450</v>
      </c>
      <c r="D2008" t="s">
        <v>6616</v>
      </c>
      <c r="E2008" t="s">
        <v>6617</v>
      </c>
      <c r="I2008" t="s">
        <v>3450</v>
      </c>
      <c r="J2008" t="s">
        <v>6618</v>
      </c>
      <c r="K2008" t="s">
        <v>7264</v>
      </c>
      <c r="L2008">
        <v>33</v>
      </c>
      <c r="M2008">
        <v>1</v>
      </c>
      <c r="S2008">
        <v>33</v>
      </c>
      <c r="T2008">
        <v>33</v>
      </c>
      <c r="U2008">
        <v>33</v>
      </c>
    </row>
    <row r="2009" spans="1:21" x14ac:dyDescent="0.25">
      <c r="A2009" s="5" t="s">
        <v>6640</v>
      </c>
      <c r="B2009" s="5" t="s">
        <v>7771</v>
      </c>
      <c r="C2009" t="s">
        <v>3450</v>
      </c>
      <c r="D2009" t="s">
        <v>6616</v>
      </c>
      <c r="E2009" t="s">
        <v>6617</v>
      </c>
      <c r="I2009" t="s">
        <v>3450</v>
      </c>
      <c r="J2009" t="s">
        <v>6618</v>
      </c>
      <c r="K2009" t="s">
        <v>7264</v>
      </c>
      <c r="L2009">
        <v>35</v>
      </c>
      <c r="M2009">
        <v>1</v>
      </c>
      <c r="S2009">
        <v>35</v>
      </c>
      <c r="T2009">
        <v>35</v>
      </c>
      <c r="U2009">
        <v>35</v>
      </c>
    </row>
    <row r="2010" spans="1:21" x14ac:dyDescent="0.25">
      <c r="A2010" s="5" t="s">
        <v>6641</v>
      </c>
      <c r="B2010" s="5" t="s">
        <v>7772</v>
      </c>
      <c r="C2010" t="s">
        <v>3450</v>
      </c>
      <c r="D2010" t="s">
        <v>6616</v>
      </c>
      <c r="E2010" t="s">
        <v>6617</v>
      </c>
      <c r="I2010" t="s">
        <v>3450</v>
      </c>
      <c r="J2010" t="s">
        <v>6618</v>
      </c>
      <c r="K2010" t="s">
        <v>7264</v>
      </c>
      <c r="L2010">
        <v>36</v>
      </c>
      <c r="M2010">
        <v>1</v>
      </c>
      <c r="S2010">
        <v>36</v>
      </c>
      <c r="T2010">
        <v>36</v>
      </c>
      <c r="U2010">
        <v>36</v>
      </c>
    </row>
    <row r="2011" spans="1:21" x14ac:dyDescent="0.25">
      <c r="A2011" s="5" t="s">
        <v>6642</v>
      </c>
      <c r="B2011" s="5" t="s">
        <v>7773</v>
      </c>
      <c r="C2011" t="s">
        <v>3450</v>
      </c>
      <c r="D2011" t="s">
        <v>6616</v>
      </c>
      <c r="E2011" t="s">
        <v>6617</v>
      </c>
      <c r="I2011" t="s">
        <v>3450</v>
      </c>
      <c r="J2011" t="s">
        <v>6618</v>
      </c>
      <c r="K2011" t="s">
        <v>7264</v>
      </c>
      <c r="L2011">
        <v>40</v>
      </c>
      <c r="M2011">
        <v>1</v>
      </c>
      <c r="S2011">
        <v>40</v>
      </c>
      <c r="T2011">
        <v>40</v>
      </c>
      <c r="U2011">
        <v>40</v>
      </c>
    </row>
    <row r="2012" spans="1:21" x14ac:dyDescent="0.25">
      <c r="A2012" s="5" t="s">
        <v>6643</v>
      </c>
      <c r="B2012" s="5" t="s">
        <v>7774</v>
      </c>
      <c r="C2012" t="s">
        <v>3450</v>
      </c>
      <c r="D2012" t="s">
        <v>6616</v>
      </c>
      <c r="E2012" t="s">
        <v>6617</v>
      </c>
      <c r="I2012" t="s">
        <v>3450</v>
      </c>
      <c r="J2012" t="s">
        <v>6618</v>
      </c>
      <c r="K2012" t="s">
        <v>7264</v>
      </c>
      <c r="L2012">
        <v>43</v>
      </c>
      <c r="M2012">
        <v>1</v>
      </c>
      <c r="S2012">
        <v>43</v>
      </c>
      <c r="T2012">
        <v>43</v>
      </c>
      <c r="U2012">
        <v>43</v>
      </c>
    </row>
    <row r="2013" spans="1:21" x14ac:dyDescent="0.25">
      <c r="A2013" s="5" t="s">
        <v>6644</v>
      </c>
      <c r="B2013" s="5" t="s">
        <v>7775</v>
      </c>
      <c r="C2013" t="s">
        <v>3450</v>
      </c>
      <c r="D2013" t="s">
        <v>6616</v>
      </c>
      <c r="E2013" t="s">
        <v>6617</v>
      </c>
      <c r="I2013" t="s">
        <v>3450</v>
      </c>
      <c r="J2013" t="s">
        <v>6618</v>
      </c>
      <c r="K2013" t="s">
        <v>7264</v>
      </c>
      <c r="L2013">
        <v>53</v>
      </c>
      <c r="M2013">
        <v>1</v>
      </c>
      <c r="S2013">
        <v>53</v>
      </c>
      <c r="T2013">
        <v>53</v>
      </c>
      <c r="U2013">
        <v>53</v>
      </c>
    </row>
    <row r="2014" spans="1:21" x14ac:dyDescent="0.25">
      <c r="A2014" s="5" t="s">
        <v>6645</v>
      </c>
      <c r="B2014" s="5" t="s">
        <v>7776</v>
      </c>
      <c r="C2014" t="s">
        <v>3450</v>
      </c>
      <c r="D2014" t="s">
        <v>6616</v>
      </c>
      <c r="E2014" t="s">
        <v>6617</v>
      </c>
      <c r="I2014" t="s">
        <v>3450</v>
      </c>
      <c r="J2014" t="s">
        <v>6618</v>
      </c>
      <c r="K2014" t="s">
        <v>7264</v>
      </c>
      <c r="L2014">
        <v>54</v>
      </c>
      <c r="M2014">
        <v>1</v>
      </c>
      <c r="S2014">
        <v>54</v>
      </c>
      <c r="T2014">
        <v>54</v>
      </c>
      <c r="U2014">
        <v>54</v>
      </c>
    </row>
    <row r="2015" spans="1:21" x14ac:dyDescent="0.25">
      <c r="A2015" s="5" t="s">
        <v>6646</v>
      </c>
      <c r="B2015" s="5" t="s">
        <v>7777</v>
      </c>
      <c r="C2015" t="s">
        <v>3450</v>
      </c>
      <c r="D2015" t="s">
        <v>6616</v>
      </c>
      <c r="E2015" t="s">
        <v>6617</v>
      </c>
      <c r="I2015" t="s">
        <v>3450</v>
      </c>
      <c r="J2015" t="s">
        <v>6618</v>
      </c>
      <c r="K2015" t="s">
        <v>7264</v>
      </c>
      <c r="L2015">
        <v>6</v>
      </c>
      <c r="M2015">
        <v>1</v>
      </c>
      <c r="S2015">
        <v>6</v>
      </c>
      <c r="T2015">
        <v>6</v>
      </c>
      <c r="U2015">
        <v>6</v>
      </c>
    </row>
    <row r="2016" spans="1:21" x14ac:dyDescent="0.25">
      <c r="A2016" s="5" t="s">
        <v>6647</v>
      </c>
      <c r="B2016" s="5" t="s">
        <v>7778</v>
      </c>
      <c r="C2016" t="s">
        <v>3450</v>
      </c>
      <c r="D2016" t="s">
        <v>6616</v>
      </c>
      <c r="E2016" t="s">
        <v>6617</v>
      </c>
      <c r="I2016" t="s">
        <v>3450</v>
      </c>
      <c r="J2016" t="s">
        <v>6618</v>
      </c>
      <c r="K2016" t="s">
        <v>7264</v>
      </c>
      <c r="L2016">
        <v>8</v>
      </c>
      <c r="M2016">
        <v>1</v>
      </c>
      <c r="S2016">
        <v>8</v>
      </c>
      <c r="T2016">
        <v>8</v>
      </c>
      <c r="U2016">
        <v>8</v>
      </c>
    </row>
    <row r="2017" spans="1:21" x14ac:dyDescent="0.25">
      <c r="A2017" s="5" t="s">
        <v>6648</v>
      </c>
      <c r="B2017" s="5" t="s">
        <v>7779</v>
      </c>
      <c r="C2017" t="s">
        <v>3450</v>
      </c>
      <c r="D2017" t="s">
        <v>6616</v>
      </c>
      <c r="E2017" t="s">
        <v>6617</v>
      </c>
      <c r="I2017" t="s">
        <v>3450</v>
      </c>
      <c r="J2017" t="s">
        <v>6618</v>
      </c>
      <c r="K2017" t="s">
        <v>7264</v>
      </c>
      <c r="L2017">
        <v>9</v>
      </c>
      <c r="M2017">
        <v>1</v>
      </c>
      <c r="S2017">
        <v>9</v>
      </c>
      <c r="T2017">
        <v>9</v>
      </c>
      <c r="U2017">
        <v>9</v>
      </c>
    </row>
    <row r="2018" spans="1:21" x14ac:dyDescent="0.25">
      <c r="A2018" s="5" t="s">
        <v>6649</v>
      </c>
      <c r="B2018" s="5" t="s">
        <v>6650</v>
      </c>
      <c r="C2018" t="s">
        <v>3450</v>
      </c>
      <c r="D2018" t="s">
        <v>6616</v>
      </c>
      <c r="E2018" t="s">
        <v>3563</v>
      </c>
      <c r="I2018" t="s">
        <v>3450</v>
      </c>
      <c r="J2018" t="s">
        <v>6618</v>
      </c>
      <c r="K2018" t="s">
        <v>3565</v>
      </c>
      <c r="L2018">
        <v>2</v>
      </c>
      <c r="M2018">
        <v>1</v>
      </c>
      <c r="S2018">
        <v>2</v>
      </c>
      <c r="T2018">
        <v>2</v>
      </c>
      <c r="U2018">
        <v>2</v>
      </c>
    </row>
    <row r="2019" spans="1:21" x14ac:dyDescent="0.25">
      <c r="A2019" s="5" t="s">
        <v>6651</v>
      </c>
      <c r="B2019" s="5" t="s">
        <v>6652</v>
      </c>
      <c r="C2019" t="s">
        <v>3450</v>
      </c>
      <c r="D2019" t="s">
        <v>6616</v>
      </c>
      <c r="E2019" t="s">
        <v>3563</v>
      </c>
      <c r="I2019" t="s">
        <v>3450</v>
      </c>
      <c r="J2019" t="s">
        <v>6618</v>
      </c>
      <c r="K2019" t="s">
        <v>3565</v>
      </c>
      <c r="L2019">
        <v>3</v>
      </c>
      <c r="M2019">
        <v>1</v>
      </c>
      <c r="S2019">
        <v>3</v>
      </c>
      <c r="T2019">
        <v>3</v>
      </c>
      <c r="U2019">
        <v>3</v>
      </c>
    </row>
    <row r="2020" spans="1:21" x14ac:dyDescent="0.25">
      <c r="A2020" s="5" t="s">
        <v>6653</v>
      </c>
      <c r="B2020" s="5" t="s">
        <v>7780</v>
      </c>
      <c r="C2020" t="s">
        <v>3450</v>
      </c>
      <c r="D2020" t="s">
        <v>6616</v>
      </c>
      <c r="E2020" t="s">
        <v>6654</v>
      </c>
      <c r="I2020" t="s">
        <v>3450</v>
      </c>
      <c r="J2020" t="s">
        <v>6618</v>
      </c>
      <c r="K2020" t="s">
        <v>7331</v>
      </c>
      <c r="L2020">
        <v>150</v>
      </c>
      <c r="M2020">
        <v>1</v>
      </c>
      <c r="S2020">
        <v>144</v>
      </c>
      <c r="T2020">
        <v>144</v>
      </c>
      <c r="U2020">
        <v>144</v>
      </c>
    </row>
    <row r="2021" spans="1:21" x14ac:dyDescent="0.25">
      <c r="A2021" s="5" t="s">
        <v>6655</v>
      </c>
      <c r="B2021" s="5" t="s">
        <v>7781</v>
      </c>
      <c r="C2021" t="s">
        <v>3450</v>
      </c>
      <c r="D2021" t="s">
        <v>6616</v>
      </c>
      <c r="E2021" t="s">
        <v>6654</v>
      </c>
      <c r="I2021" t="s">
        <v>3450</v>
      </c>
      <c r="J2021" t="s">
        <v>6618</v>
      </c>
      <c r="K2021" t="s">
        <v>7331</v>
      </c>
      <c r="L2021">
        <v>160</v>
      </c>
      <c r="M2021">
        <v>1</v>
      </c>
      <c r="S2021">
        <v>160</v>
      </c>
      <c r="T2021">
        <v>160</v>
      </c>
      <c r="U2021">
        <v>160</v>
      </c>
    </row>
    <row r="2022" spans="1:21" x14ac:dyDescent="0.25">
      <c r="A2022" s="5" t="s">
        <v>6656</v>
      </c>
      <c r="B2022" s="5" t="s">
        <v>6657</v>
      </c>
      <c r="C2022" t="s">
        <v>3450</v>
      </c>
      <c r="D2022" t="s">
        <v>6616</v>
      </c>
      <c r="E2022" t="s">
        <v>6658</v>
      </c>
      <c r="I2022" t="s">
        <v>3450</v>
      </c>
      <c r="J2022" t="s">
        <v>6618</v>
      </c>
      <c r="K2022" t="s">
        <v>3551</v>
      </c>
      <c r="L2022">
        <v>13</v>
      </c>
      <c r="M2022">
        <v>1</v>
      </c>
      <c r="S2022">
        <v>13</v>
      </c>
      <c r="T2022">
        <v>13</v>
      </c>
      <c r="U2022">
        <v>13</v>
      </c>
    </row>
    <row r="2023" spans="1:21" x14ac:dyDescent="0.25">
      <c r="A2023" s="5" t="s">
        <v>6659</v>
      </c>
      <c r="B2023" s="5" t="s">
        <v>6660</v>
      </c>
      <c r="C2023" t="s">
        <v>3450</v>
      </c>
      <c r="D2023" t="s">
        <v>6616</v>
      </c>
      <c r="E2023" t="s">
        <v>6658</v>
      </c>
      <c r="I2023" t="s">
        <v>3450</v>
      </c>
      <c r="J2023" t="s">
        <v>6618</v>
      </c>
      <c r="K2023" t="s">
        <v>3551</v>
      </c>
      <c r="L2023">
        <v>15</v>
      </c>
      <c r="M2023">
        <v>1</v>
      </c>
      <c r="S2023">
        <v>15</v>
      </c>
      <c r="T2023">
        <v>15</v>
      </c>
      <c r="U2023">
        <v>15</v>
      </c>
    </row>
    <row r="2024" spans="1:21" x14ac:dyDescent="0.25">
      <c r="A2024" s="5" t="s">
        <v>6661</v>
      </c>
      <c r="B2024" s="5" t="s">
        <v>6662</v>
      </c>
      <c r="C2024" t="s">
        <v>3450</v>
      </c>
      <c r="D2024" t="s">
        <v>6616</v>
      </c>
      <c r="E2024" t="s">
        <v>6658</v>
      </c>
      <c r="I2024" t="s">
        <v>3450</v>
      </c>
      <c r="J2024" t="s">
        <v>6618</v>
      </c>
      <c r="K2024" t="s">
        <v>3551</v>
      </c>
      <c r="L2024">
        <v>18</v>
      </c>
      <c r="M2024">
        <v>1</v>
      </c>
      <c r="S2024">
        <v>18</v>
      </c>
      <c r="T2024">
        <v>18</v>
      </c>
      <c r="U2024">
        <v>18</v>
      </c>
    </row>
    <row r="2025" spans="1:21" x14ac:dyDescent="0.25">
      <c r="A2025" s="5" t="s">
        <v>6663</v>
      </c>
      <c r="B2025" s="5" t="s">
        <v>6664</v>
      </c>
      <c r="C2025" t="s">
        <v>3450</v>
      </c>
      <c r="D2025" t="s">
        <v>6616</v>
      </c>
      <c r="E2025" t="s">
        <v>6658</v>
      </c>
      <c r="I2025" t="s">
        <v>3450</v>
      </c>
      <c r="J2025" t="s">
        <v>6618</v>
      </c>
      <c r="K2025" t="s">
        <v>3551</v>
      </c>
      <c r="L2025">
        <v>19</v>
      </c>
      <c r="M2025">
        <v>1</v>
      </c>
      <c r="S2025">
        <v>19</v>
      </c>
      <c r="T2025">
        <v>19</v>
      </c>
      <c r="U2025">
        <v>19</v>
      </c>
    </row>
    <row r="2026" spans="1:21" x14ac:dyDescent="0.25">
      <c r="A2026" s="5" t="s">
        <v>6665</v>
      </c>
      <c r="B2026" s="5" t="s">
        <v>6666</v>
      </c>
      <c r="C2026" t="s">
        <v>3450</v>
      </c>
      <c r="D2026" t="s">
        <v>6616</v>
      </c>
      <c r="E2026" t="s">
        <v>6658</v>
      </c>
      <c r="I2026" t="s">
        <v>3450</v>
      </c>
      <c r="J2026" t="s">
        <v>6618</v>
      </c>
      <c r="K2026" t="s">
        <v>3551</v>
      </c>
      <c r="L2026">
        <v>3</v>
      </c>
      <c r="M2026">
        <v>1</v>
      </c>
      <c r="S2026">
        <v>3</v>
      </c>
      <c r="T2026">
        <v>3</v>
      </c>
      <c r="U2026">
        <v>3</v>
      </c>
    </row>
    <row r="2027" spans="1:21" x14ac:dyDescent="0.25">
      <c r="A2027" s="5" t="s">
        <v>6667</v>
      </c>
      <c r="B2027" s="5" t="s">
        <v>6668</v>
      </c>
      <c r="C2027" t="s">
        <v>3450</v>
      </c>
      <c r="D2027" t="s">
        <v>6616</v>
      </c>
      <c r="E2027" t="s">
        <v>6658</v>
      </c>
      <c r="I2027" t="s">
        <v>3450</v>
      </c>
      <c r="J2027" t="s">
        <v>6618</v>
      </c>
      <c r="K2027" t="s">
        <v>3551</v>
      </c>
      <c r="L2027">
        <v>4</v>
      </c>
      <c r="M2027">
        <v>1</v>
      </c>
      <c r="S2027">
        <v>4</v>
      </c>
      <c r="T2027">
        <v>4</v>
      </c>
      <c r="U2027">
        <v>4</v>
      </c>
    </row>
    <row r="2028" spans="1:21" x14ac:dyDescent="0.25">
      <c r="A2028" s="5" t="s">
        <v>6669</v>
      </c>
      <c r="B2028" s="5" t="s">
        <v>6670</v>
      </c>
      <c r="C2028" t="s">
        <v>3450</v>
      </c>
      <c r="D2028" t="s">
        <v>6616</v>
      </c>
      <c r="E2028" t="s">
        <v>6658</v>
      </c>
      <c r="I2028" t="s">
        <v>3450</v>
      </c>
      <c r="J2028" t="s">
        <v>6618</v>
      </c>
      <c r="K2028" t="s">
        <v>3551</v>
      </c>
      <c r="L2028">
        <v>6</v>
      </c>
      <c r="M2028">
        <v>1</v>
      </c>
      <c r="S2028">
        <v>6</v>
      </c>
      <c r="T2028">
        <v>6</v>
      </c>
      <c r="U2028">
        <v>6</v>
      </c>
    </row>
    <row r="2029" spans="1:21" x14ac:dyDescent="0.25">
      <c r="A2029" s="5" t="s">
        <v>6671</v>
      </c>
      <c r="B2029" s="5" t="s">
        <v>6672</v>
      </c>
      <c r="C2029" t="s">
        <v>3450</v>
      </c>
      <c r="D2029" t="s">
        <v>6616</v>
      </c>
      <c r="E2029" t="s">
        <v>6658</v>
      </c>
      <c r="I2029" t="s">
        <v>3450</v>
      </c>
      <c r="J2029" t="s">
        <v>6618</v>
      </c>
      <c r="K2029" t="s">
        <v>3551</v>
      </c>
      <c r="L2029">
        <v>8</v>
      </c>
      <c r="M2029">
        <v>1</v>
      </c>
      <c r="S2029">
        <v>8</v>
      </c>
      <c r="T2029">
        <v>8</v>
      </c>
      <c r="U2029">
        <v>8</v>
      </c>
    </row>
    <row r="2030" spans="1:21" x14ac:dyDescent="0.25">
      <c r="A2030" s="5" t="s">
        <v>6673</v>
      </c>
      <c r="B2030" s="5" t="s">
        <v>6674</v>
      </c>
      <c r="C2030" t="s">
        <v>3450</v>
      </c>
      <c r="D2030" t="s">
        <v>6616</v>
      </c>
      <c r="E2030" t="s">
        <v>6675</v>
      </c>
      <c r="I2030" t="s">
        <v>3450</v>
      </c>
      <c r="J2030" t="s">
        <v>6618</v>
      </c>
      <c r="K2030" t="s">
        <v>6676</v>
      </c>
      <c r="L2030">
        <v>15</v>
      </c>
      <c r="M2030">
        <v>1</v>
      </c>
      <c r="S2030">
        <v>15</v>
      </c>
      <c r="T2030">
        <v>15</v>
      </c>
      <c r="U2030">
        <v>15</v>
      </c>
    </row>
    <row r="2031" spans="1:21" x14ac:dyDescent="0.25">
      <c r="A2031" s="5" t="s">
        <v>6677</v>
      </c>
      <c r="B2031" s="5" t="s">
        <v>6678</v>
      </c>
      <c r="C2031" t="s">
        <v>3450</v>
      </c>
      <c r="D2031" t="s">
        <v>6616</v>
      </c>
      <c r="E2031" t="s">
        <v>6675</v>
      </c>
      <c r="I2031" t="s">
        <v>3450</v>
      </c>
      <c r="J2031" t="s">
        <v>6618</v>
      </c>
      <c r="K2031" t="s">
        <v>6676</v>
      </c>
      <c r="L2031">
        <v>20</v>
      </c>
      <c r="M2031">
        <v>1</v>
      </c>
      <c r="S2031">
        <v>22</v>
      </c>
      <c r="T2031">
        <v>22</v>
      </c>
      <c r="U2031">
        <v>22</v>
      </c>
    </row>
    <row r="2032" spans="1:21" x14ac:dyDescent="0.25">
      <c r="A2032" s="5" t="s">
        <v>6679</v>
      </c>
      <c r="B2032" s="5" t="s">
        <v>6680</v>
      </c>
      <c r="C2032" t="s">
        <v>3450</v>
      </c>
      <c r="D2032" t="s">
        <v>6616</v>
      </c>
      <c r="E2032" t="s">
        <v>6675</v>
      </c>
      <c r="I2032" t="s">
        <v>3450</v>
      </c>
      <c r="J2032" t="s">
        <v>6618</v>
      </c>
      <c r="K2032" t="s">
        <v>6676</v>
      </c>
      <c r="L2032">
        <v>22</v>
      </c>
      <c r="M2032">
        <v>1</v>
      </c>
      <c r="S2032">
        <v>22</v>
      </c>
      <c r="T2032">
        <v>22</v>
      </c>
      <c r="U2032">
        <v>22</v>
      </c>
    </row>
    <row r="2033" spans="1:21" x14ac:dyDescent="0.25">
      <c r="A2033" s="5" t="s">
        <v>6681</v>
      </c>
      <c r="B2033" s="5" t="s">
        <v>6682</v>
      </c>
      <c r="C2033" t="s">
        <v>3450</v>
      </c>
      <c r="D2033" t="s">
        <v>6616</v>
      </c>
      <c r="E2033" t="s">
        <v>6675</v>
      </c>
      <c r="I2033" t="s">
        <v>3450</v>
      </c>
      <c r="J2033" t="s">
        <v>6618</v>
      </c>
      <c r="K2033" t="s">
        <v>6676</v>
      </c>
      <c r="L2033">
        <v>53</v>
      </c>
      <c r="M2033">
        <v>1</v>
      </c>
      <c r="S2033">
        <v>53</v>
      </c>
      <c r="T2033">
        <v>53</v>
      </c>
      <c r="U2033">
        <v>53</v>
      </c>
    </row>
    <row r="2034" spans="1:21" x14ac:dyDescent="0.25">
      <c r="A2034" s="5" t="s">
        <v>6683</v>
      </c>
      <c r="B2034" s="5" t="s">
        <v>6684</v>
      </c>
      <c r="C2034" t="s">
        <v>3450</v>
      </c>
      <c r="D2034" t="s">
        <v>6616</v>
      </c>
      <c r="E2034" t="s">
        <v>6675</v>
      </c>
      <c r="I2034" t="s">
        <v>3450</v>
      </c>
      <c r="J2034" t="s">
        <v>6618</v>
      </c>
      <c r="K2034" t="s">
        <v>6676</v>
      </c>
      <c r="L2034">
        <v>71</v>
      </c>
      <c r="M2034">
        <v>1</v>
      </c>
      <c r="S2034">
        <v>69</v>
      </c>
      <c r="T2034">
        <v>69</v>
      </c>
      <c r="U2034">
        <v>69</v>
      </c>
    </row>
    <row r="2035" spans="1:21" x14ac:dyDescent="0.25">
      <c r="A2035" s="5" t="s">
        <v>6685</v>
      </c>
      <c r="B2035" s="5" t="s">
        <v>6686</v>
      </c>
      <c r="C2035" t="s">
        <v>3450</v>
      </c>
      <c r="D2035" t="s">
        <v>6616</v>
      </c>
      <c r="E2035" t="s">
        <v>6675</v>
      </c>
      <c r="I2035" t="s">
        <v>3450</v>
      </c>
      <c r="J2035" t="s">
        <v>6618</v>
      </c>
      <c r="K2035" t="s">
        <v>6676</v>
      </c>
      <c r="L2035">
        <v>88</v>
      </c>
      <c r="M2035">
        <v>1</v>
      </c>
      <c r="S2035">
        <v>85</v>
      </c>
      <c r="T2035">
        <v>85</v>
      </c>
      <c r="U2035">
        <v>85</v>
      </c>
    </row>
    <row r="2036" spans="1:21" x14ac:dyDescent="0.25">
      <c r="A2036" s="5" t="s">
        <v>7782</v>
      </c>
      <c r="B2036" s="5" t="s">
        <v>7783</v>
      </c>
      <c r="C2036" t="s">
        <v>660</v>
      </c>
      <c r="D2036" t="s">
        <v>6616</v>
      </c>
      <c r="E2036" t="s">
        <v>6500</v>
      </c>
      <c r="I2036" t="s">
        <v>6502</v>
      </c>
      <c r="J2036" t="s">
        <v>6618</v>
      </c>
      <c r="K2036" t="s">
        <v>6503</v>
      </c>
      <c r="L2036">
        <v>100</v>
      </c>
      <c r="M2036">
        <v>1</v>
      </c>
      <c r="Q2036">
        <v>1</v>
      </c>
      <c r="S2036">
        <v>107</v>
      </c>
      <c r="T2036">
        <v>107</v>
      </c>
      <c r="U2036">
        <v>107</v>
      </c>
    </row>
    <row r="2037" spans="1:21" x14ac:dyDescent="0.25">
      <c r="A2037" s="5" t="s">
        <v>7784</v>
      </c>
      <c r="B2037" s="5" t="s">
        <v>7785</v>
      </c>
      <c r="C2037" t="s">
        <v>660</v>
      </c>
      <c r="D2037" t="s">
        <v>6616</v>
      </c>
      <c r="E2037" t="s">
        <v>6500</v>
      </c>
      <c r="I2037" t="s">
        <v>6502</v>
      </c>
      <c r="J2037" t="s">
        <v>6618</v>
      </c>
      <c r="K2037" t="s">
        <v>6503</v>
      </c>
      <c r="L2037">
        <v>120</v>
      </c>
      <c r="M2037">
        <v>1</v>
      </c>
      <c r="Q2037">
        <v>1</v>
      </c>
      <c r="S2037">
        <v>127</v>
      </c>
      <c r="T2037">
        <v>127</v>
      </c>
      <c r="U2037">
        <v>127</v>
      </c>
    </row>
    <row r="2038" spans="1:21" x14ac:dyDescent="0.25">
      <c r="A2038" s="5" t="s">
        <v>7786</v>
      </c>
      <c r="B2038" s="5" t="s">
        <v>7787</v>
      </c>
      <c r="C2038" t="s">
        <v>660</v>
      </c>
      <c r="D2038" t="s">
        <v>6616</v>
      </c>
      <c r="E2038" t="s">
        <v>6500</v>
      </c>
      <c r="I2038" t="s">
        <v>6502</v>
      </c>
      <c r="J2038" t="s">
        <v>6618</v>
      </c>
      <c r="K2038" t="s">
        <v>6503</v>
      </c>
      <c r="L2038">
        <v>150</v>
      </c>
      <c r="M2038">
        <v>1</v>
      </c>
      <c r="Q2038">
        <v>1</v>
      </c>
      <c r="S2038">
        <v>160</v>
      </c>
      <c r="T2038">
        <v>160</v>
      </c>
      <c r="U2038">
        <v>160</v>
      </c>
    </row>
    <row r="2039" spans="1:21" x14ac:dyDescent="0.25">
      <c r="A2039" s="5" t="s">
        <v>7788</v>
      </c>
      <c r="B2039" s="5" t="s">
        <v>7789</v>
      </c>
      <c r="C2039" t="s">
        <v>660</v>
      </c>
      <c r="D2039" t="s">
        <v>6616</v>
      </c>
      <c r="E2039" t="s">
        <v>6500</v>
      </c>
      <c r="I2039" t="s">
        <v>6502</v>
      </c>
      <c r="J2039" t="s">
        <v>6618</v>
      </c>
      <c r="K2039" t="s">
        <v>6503</v>
      </c>
      <c r="L2039">
        <v>165</v>
      </c>
      <c r="M2039">
        <v>1</v>
      </c>
      <c r="Q2039">
        <v>1</v>
      </c>
      <c r="S2039">
        <v>173</v>
      </c>
      <c r="T2039">
        <v>173</v>
      </c>
      <c r="U2039">
        <v>173</v>
      </c>
    </row>
    <row r="2040" spans="1:21" x14ac:dyDescent="0.25">
      <c r="A2040" s="5" t="s">
        <v>7790</v>
      </c>
      <c r="B2040" s="5" t="s">
        <v>7791</v>
      </c>
      <c r="C2040" t="s">
        <v>660</v>
      </c>
      <c r="D2040" t="s">
        <v>6616</v>
      </c>
      <c r="E2040" t="s">
        <v>6500</v>
      </c>
      <c r="I2040" t="s">
        <v>6502</v>
      </c>
      <c r="J2040" t="s">
        <v>6618</v>
      </c>
      <c r="K2040" t="s">
        <v>6503</v>
      </c>
      <c r="L2040">
        <v>200</v>
      </c>
      <c r="M2040">
        <v>1</v>
      </c>
      <c r="Q2040">
        <v>1</v>
      </c>
      <c r="S2040">
        <v>210</v>
      </c>
      <c r="T2040">
        <v>210</v>
      </c>
      <c r="U2040">
        <v>210</v>
      </c>
    </row>
    <row r="2041" spans="1:21" x14ac:dyDescent="0.25">
      <c r="A2041" s="5" t="s">
        <v>7792</v>
      </c>
      <c r="B2041" s="5" t="s">
        <v>7793</v>
      </c>
      <c r="C2041" t="s">
        <v>660</v>
      </c>
      <c r="D2041" t="s">
        <v>6616</v>
      </c>
      <c r="E2041" t="s">
        <v>6500</v>
      </c>
      <c r="I2041" t="s">
        <v>6502</v>
      </c>
      <c r="J2041" t="s">
        <v>6618</v>
      </c>
      <c r="K2041" t="s">
        <v>6503</v>
      </c>
      <c r="L2041">
        <v>250</v>
      </c>
      <c r="M2041">
        <v>1</v>
      </c>
      <c r="Q2041">
        <v>1</v>
      </c>
      <c r="S2041">
        <v>263</v>
      </c>
      <c r="T2041">
        <v>263</v>
      </c>
      <c r="U2041">
        <v>263</v>
      </c>
    </row>
    <row r="2042" spans="1:21" x14ac:dyDescent="0.25">
      <c r="A2042" s="5" t="s">
        <v>7794</v>
      </c>
      <c r="B2042" s="5" t="s">
        <v>7795</v>
      </c>
      <c r="C2042" t="s">
        <v>660</v>
      </c>
      <c r="D2042" t="s">
        <v>6616</v>
      </c>
      <c r="E2042" t="s">
        <v>6500</v>
      </c>
      <c r="I2042" t="s">
        <v>6502</v>
      </c>
      <c r="J2042" t="s">
        <v>6618</v>
      </c>
      <c r="K2042" t="s">
        <v>6503</v>
      </c>
      <c r="L2042">
        <v>300</v>
      </c>
      <c r="M2042">
        <v>1</v>
      </c>
      <c r="Q2042">
        <v>1</v>
      </c>
      <c r="S2042">
        <v>315</v>
      </c>
      <c r="T2042">
        <v>315</v>
      </c>
      <c r="U2042">
        <v>315</v>
      </c>
    </row>
    <row r="2043" spans="1:21" x14ac:dyDescent="0.25">
      <c r="A2043" s="5" t="s">
        <v>7796</v>
      </c>
      <c r="B2043" s="5" t="s">
        <v>7797</v>
      </c>
      <c r="C2043" t="s">
        <v>660</v>
      </c>
      <c r="D2043" t="s">
        <v>6616</v>
      </c>
      <c r="E2043" t="s">
        <v>6500</v>
      </c>
      <c r="I2043" t="s">
        <v>6502</v>
      </c>
      <c r="J2043" t="s">
        <v>6618</v>
      </c>
      <c r="K2043" t="s">
        <v>6503</v>
      </c>
      <c r="L2043">
        <v>400</v>
      </c>
      <c r="M2043">
        <v>1</v>
      </c>
      <c r="Q2043">
        <v>1</v>
      </c>
      <c r="S2043">
        <v>420</v>
      </c>
      <c r="T2043">
        <v>420</v>
      </c>
      <c r="U2043">
        <v>420</v>
      </c>
    </row>
    <row r="2044" spans="1:21" x14ac:dyDescent="0.25">
      <c r="A2044" s="5" t="s">
        <v>7798</v>
      </c>
      <c r="B2044" s="5" t="s">
        <v>7799</v>
      </c>
      <c r="C2044" t="s">
        <v>660</v>
      </c>
      <c r="D2044" t="s">
        <v>6616</v>
      </c>
      <c r="E2044" t="s">
        <v>6500</v>
      </c>
      <c r="I2044" t="s">
        <v>6502</v>
      </c>
      <c r="J2044" t="s">
        <v>6618</v>
      </c>
      <c r="K2044" t="s">
        <v>6503</v>
      </c>
      <c r="L2044">
        <v>40</v>
      </c>
      <c r="M2044">
        <v>1</v>
      </c>
      <c r="Q2044">
        <v>1</v>
      </c>
      <c r="S2044">
        <v>45</v>
      </c>
      <c r="T2044">
        <v>45</v>
      </c>
      <c r="U2044">
        <v>45</v>
      </c>
    </row>
    <row r="2045" spans="1:21" x14ac:dyDescent="0.25">
      <c r="A2045" s="5" t="s">
        <v>7800</v>
      </c>
      <c r="B2045" s="5" t="s">
        <v>7801</v>
      </c>
      <c r="C2045" t="s">
        <v>660</v>
      </c>
      <c r="D2045" t="s">
        <v>6616</v>
      </c>
      <c r="E2045" t="s">
        <v>6500</v>
      </c>
      <c r="I2045" t="s">
        <v>6502</v>
      </c>
      <c r="J2045" t="s">
        <v>6618</v>
      </c>
      <c r="K2045" t="s">
        <v>6503</v>
      </c>
      <c r="L2045">
        <v>500</v>
      </c>
      <c r="M2045">
        <v>1</v>
      </c>
      <c r="Q2045">
        <v>1</v>
      </c>
      <c r="S2045">
        <v>525</v>
      </c>
      <c r="T2045">
        <v>525</v>
      </c>
      <c r="U2045">
        <v>525</v>
      </c>
    </row>
    <row r="2046" spans="1:21" x14ac:dyDescent="0.25">
      <c r="A2046" s="5" t="s">
        <v>7802</v>
      </c>
      <c r="B2046" s="5" t="s">
        <v>7803</v>
      </c>
      <c r="C2046" t="s">
        <v>660</v>
      </c>
      <c r="D2046" t="s">
        <v>6616</v>
      </c>
      <c r="E2046" t="s">
        <v>6500</v>
      </c>
      <c r="I2046" t="s">
        <v>6502</v>
      </c>
      <c r="J2046" t="s">
        <v>6618</v>
      </c>
      <c r="K2046" t="s">
        <v>6503</v>
      </c>
      <c r="L2046">
        <v>50</v>
      </c>
      <c r="M2046">
        <v>1</v>
      </c>
      <c r="Q2046">
        <v>1</v>
      </c>
      <c r="S2046">
        <v>55</v>
      </c>
      <c r="T2046">
        <v>55</v>
      </c>
      <c r="U2046">
        <v>55</v>
      </c>
    </row>
    <row r="2047" spans="1:21" x14ac:dyDescent="0.25">
      <c r="A2047" s="5" t="s">
        <v>7804</v>
      </c>
      <c r="B2047" s="5" t="s">
        <v>7805</v>
      </c>
      <c r="C2047" t="s">
        <v>660</v>
      </c>
      <c r="D2047" t="s">
        <v>6616</v>
      </c>
      <c r="E2047" t="s">
        <v>6500</v>
      </c>
      <c r="I2047" t="s">
        <v>6502</v>
      </c>
      <c r="J2047" t="s">
        <v>6618</v>
      </c>
      <c r="K2047" t="s">
        <v>6503</v>
      </c>
      <c r="L2047">
        <v>55</v>
      </c>
      <c r="M2047">
        <v>1</v>
      </c>
      <c r="Q2047">
        <v>1</v>
      </c>
      <c r="S2047">
        <v>61</v>
      </c>
      <c r="T2047">
        <v>61</v>
      </c>
      <c r="U2047">
        <v>61</v>
      </c>
    </row>
    <row r="2048" spans="1:21" x14ac:dyDescent="0.25">
      <c r="A2048" s="5" t="s">
        <v>7806</v>
      </c>
      <c r="B2048" s="5" t="s">
        <v>7807</v>
      </c>
      <c r="C2048" t="s">
        <v>660</v>
      </c>
      <c r="D2048" t="s">
        <v>6616</v>
      </c>
      <c r="E2048" t="s">
        <v>6500</v>
      </c>
      <c r="I2048" t="s">
        <v>6502</v>
      </c>
      <c r="J2048" t="s">
        <v>6618</v>
      </c>
      <c r="K2048" t="s">
        <v>6503</v>
      </c>
      <c r="L2048">
        <v>70</v>
      </c>
      <c r="M2048">
        <v>1</v>
      </c>
      <c r="Q2048">
        <v>1</v>
      </c>
      <c r="S2048">
        <v>77</v>
      </c>
      <c r="T2048">
        <v>77</v>
      </c>
      <c r="U2048">
        <v>77</v>
      </c>
    </row>
    <row r="2049" spans="1:21" x14ac:dyDescent="0.25">
      <c r="A2049" s="5" t="s">
        <v>7808</v>
      </c>
      <c r="B2049" s="5" t="s">
        <v>7809</v>
      </c>
      <c r="C2049" t="s">
        <v>660</v>
      </c>
      <c r="D2049" t="s">
        <v>6616</v>
      </c>
      <c r="E2049" t="s">
        <v>6500</v>
      </c>
      <c r="I2049" t="s">
        <v>6502</v>
      </c>
      <c r="J2049" t="s">
        <v>6618</v>
      </c>
      <c r="K2049" t="s">
        <v>6503</v>
      </c>
      <c r="L2049">
        <v>80</v>
      </c>
      <c r="M2049">
        <v>1</v>
      </c>
      <c r="Q2049">
        <v>1</v>
      </c>
      <c r="S2049">
        <v>86</v>
      </c>
      <c r="T2049">
        <v>86</v>
      </c>
      <c r="U2049">
        <v>86</v>
      </c>
    </row>
    <row r="2050" spans="1:21" x14ac:dyDescent="0.25">
      <c r="A2050" s="5" t="s">
        <v>7810</v>
      </c>
      <c r="B2050" s="5" t="s">
        <v>7811</v>
      </c>
      <c r="C2050" t="s">
        <v>660</v>
      </c>
      <c r="D2050" t="s">
        <v>6616</v>
      </c>
      <c r="E2050" t="s">
        <v>6506</v>
      </c>
      <c r="I2050" t="s">
        <v>6502</v>
      </c>
      <c r="J2050" t="s">
        <v>6618</v>
      </c>
      <c r="K2050" t="s">
        <v>6507</v>
      </c>
      <c r="L2050">
        <v>15</v>
      </c>
      <c r="M2050">
        <v>1</v>
      </c>
      <c r="S2050">
        <v>15</v>
      </c>
      <c r="T2050">
        <v>15</v>
      </c>
      <c r="U2050">
        <v>15</v>
      </c>
    </row>
    <row r="2051" spans="1:21" x14ac:dyDescent="0.25">
      <c r="A2051" s="5" t="s">
        <v>7812</v>
      </c>
      <c r="B2051" s="5" t="s">
        <v>7813</v>
      </c>
      <c r="C2051" t="s">
        <v>660</v>
      </c>
      <c r="D2051" t="s">
        <v>6616</v>
      </c>
      <c r="E2051" t="s">
        <v>6506</v>
      </c>
      <c r="I2051" t="s">
        <v>6502</v>
      </c>
      <c r="J2051" t="s">
        <v>6618</v>
      </c>
      <c r="K2051" t="s">
        <v>6507</v>
      </c>
      <c r="L2051">
        <v>23</v>
      </c>
      <c r="M2051">
        <v>1</v>
      </c>
      <c r="S2051">
        <v>23</v>
      </c>
      <c r="T2051">
        <v>23</v>
      </c>
      <c r="U2051">
        <v>23</v>
      </c>
    </row>
    <row r="2052" spans="1:21" x14ac:dyDescent="0.25">
      <c r="A2052" s="5" t="s">
        <v>7814</v>
      </c>
      <c r="B2052" s="5" t="s">
        <v>7815</v>
      </c>
      <c r="C2052" t="s">
        <v>660</v>
      </c>
      <c r="D2052" t="s">
        <v>6616</v>
      </c>
      <c r="E2052" t="s">
        <v>6506</v>
      </c>
      <c r="I2052" t="s">
        <v>6502</v>
      </c>
      <c r="J2052" t="s">
        <v>6618</v>
      </c>
      <c r="K2052" t="s">
        <v>6507</v>
      </c>
      <c r="L2052">
        <v>40</v>
      </c>
      <c r="M2052">
        <v>1</v>
      </c>
      <c r="S2052">
        <v>40</v>
      </c>
      <c r="T2052">
        <v>40</v>
      </c>
      <c r="U2052">
        <v>40</v>
      </c>
    </row>
    <row r="2053" spans="1:21" x14ac:dyDescent="0.25">
      <c r="A2053" s="5" t="s">
        <v>7816</v>
      </c>
      <c r="B2053" s="5" t="s">
        <v>7817</v>
      </c>
      <c r="C2053" t="s">
        <v>660</v>
      </c>
      <c r="D2053" t="s">
        <v>6616</v>
      </c>
      <c r="E2053" t="s">
        <v>6506</v>
      </c>
      <c r="I2053" t="s">
        <v>6502</v>
      </c>
      <c r="J2053" t="s">
        <v>6618</v>
      </c>
      <c r="K2053" t="s">
        <v>6507</v>
      </c>
      <c r="L2053">
        <v>50</v>
      </c>
      <c r="M2053">
        <v>1</v>
      </c>
      <c r="S2053">
        <v>50</v>
      </c>
      <c r="T2053">
        <v>50</v>
      </c>
      <c r="U2053">
        <v>50</v>
      </c>
    </row>
    <row r="2054" spans="1:21" x14ac:dyDescent="0.25">
      <c r="A2054" s="5" t="s">
        <v>3824</v>
      </c>
      <c r="B2054" s="5" t="s">
        <v>3825</v>
      </c>
      <c r="C2054" t="s">
        <v>3548</v>
      </c>
      <c r="D2054" t="s">
        <v>3782</v>
      </c>
      <c r="E2054" t="s">
        <v>3799</v>
      </c>
      <c r="F2054" t="s">
        <v>3584</v>
      </c>
      <c r="G2054" t="s">
        <v>3826</v>
      </c>
      <c r="I2054" t="s">
        <v>3448</v>
      </c>
      <c r="J2054" t="s">
        <v>3783</v>
      </c>
      <c r="K2054" t="s">
        <v>3799</v>
      </c>
      <c r="L2054">
        <v>25</v>
      </c>
      <c r="M2054">
        <v>2</v>
      </c>
      <c r="N2054" t="s">
        <v>3585</v>
      </c>
      <c r="O2054" t="s">
        <v>3827</v>
      </c>
      <c r="P2054">
        <v>4</v>
      </c>
      <c r="Q2054">
        <v>1</v>
      </c>
      <c r="S2054">
        <v>39</v>
      </c>
      <c r="T2054">
        <v>39</v>
      </c>
      <c r="U2054">
        <v>39</v>
      </c>
    </row>
    <row r="2055" spans="1:21" x14ac:dyDescent="0.25">
      <c r="A2055" s="5" t="s">
        <v>4380</v>
      </c>
      <c r="B2055" s="5" t="s">
        <v>4381</v>
      </c>
      <c r="C2055" t="s">
        <v>3548</v>
      </c>
      <c r="D2055" t="s">
        <v>3782</v>
      </c>
      <c r="E2055" t="s">
        <v>4363</v>
      </c>
      <c r="F2055" t="s">
        <v>3584</v>
      </c>
      <c r="G2055" t="s">
        <v>3826</v>
      </c>
      <c r="I2055" t="s">
        <v>3448</v>
      </c>
      <c r="J2055" t="s">
        <v>3783</v>
      </c>
      <c r="K2055" t="s">
        <v>4363</v>
      </c>
      <c r="L2055">
        <v>17</v>
      </c>
      <c r="M2055">
        <v>1</v>
      </c>
      <c r="N2055" t="s">
        <v>3585</v>
      </c>
      <c r="O2055" t="s">
        <v>3827</v>
      </c>
      <c r="P2055">
        <v>2</v>
      </c>
      <c r="Q2055">
        <v>1</v>
      </c>
      <c r="S2055">
        <v>17</v>
      </c>
      <c r="T2055">
        <v>17</v>
      </c>
      <c r="U2055">
        <v>17</v>
      </c>
    </row>
    <row r="2056" spans="1:21" x14ac:dyDescent="0.25">
      <c r="A2056" s="5" t="s">
        <v>4392</v>
      </c>
      <c r="B2056" s="5" t="s">
        <v>4393</v>
      </c>
      <c r="C2056" t="s">
        <v>3548</v>
      </c>
      <c r="D2056" t="s">
        <v>3782</v>
      </c>
      <c r="E2056" t="s">
        <v>4363</v>
      </c>
      <c r="F2056" t="s">
        <v>4390</v>
      </c>
      <c r="G2056" t="s">
        <v>3826</v>
      </c>
      <c r="I2056" t="s">
        <v>3448</v>
      </c>
      <c r="J2056" t="s">
        <v>3783</v>
      </c>
      <c r="K2056" t="s">
        <v>4363</v>
      </c>
      <c r="L2056">
        <v>17</v>
      </c>
      <c r="M2056">
        <v>1</v>
      </c>
      <c r="N2056" t="s">
        <v>4391</v>
      </c>
      <c r="O2056" t="s">
        <v>3827</v>
      </c>
      <c r="P2056">
        <v>2</v>
      </c>
      <c r="Q2056">
        <v>1</v>
      </c>
      <c r="S2056">
        <v>15</v>
      </c>
      <c r="T2056">
        <v>15</v>
      </c>
      <c r="U2056">
        <v>15</v>
      </c>
    </row>
    <row r="2057" spans="1:21" x14ac:dyDescent="0.25">
      <c r="A2057" s="5" t="s">
        <v>4398</v>
      </c>
      <c r="B2057" s="5" t="s">
        <v>4399</v>
      </c>
      <c r="C2057" t="s">
        <v>3548</v>
      </c>
      <c r="D2057" t="s">
        <v>3782</v>
      </c>
      <c r="E2057" t="s">
        <v>4363</v>
      </c>
      <c r="F2057" t="s">
        <v>3584</v>
      </c>
      <c r="G2057" t="s">
        <v>3826</v>
      </c>
      <c r="I2057" t="s">
        <v>3448</v>
      </c>
      <c r="J2057" t="s">
        <v>3783</v>
      </c>
      <c r="K2057" t="s">
        <v>4363</v>
      </c>
      <c r="L2057">
        <v>17</v>
      </c>
      <c r="M2057">
        <v>2</v>
      </c>
      <c r="N2057" t="s">
        <v>3585</v>
      </c>
      <c r="O2057" t="s">
        <v>3827</v>
      </c>
      <c r="P2057">
        <v>2</v>
      </c>
      <c r="Q2057">
        <v>1</v>
      </c>
      <c r="S2057">
        <v>29</v>
      </c>
      <c r="T2057">
        <v>29</v>
      </c>
      <c r="U2057">
        <v>29</v>
      </c>
    </row>
    <row r="2058" spans="1:21" x14ac:dyDescent="0.25">
      <c r="A2058" s="5" t="s">
        <v>4404</v>
      </c>
      <c r="B2058" s="5" t="s">
        <v>4405</v>
      </c>
      <c r="C2058" t="s">
        <v>3548</v>
      </c>
      <c r="D2058" t="s">
        <v>3782</v>
      </c>
      <c r="E2058" t="s">
        <v>4363</v>
      </c>
      <c r="F2058" t="s">
        <v>4390</v>
      </c>
      <c r="G2058" t="s">
        <v>3826</v>
      </c>
      <c r="I2058" t="s">
        <v>3448</v>
      </c>
      <c r="J2058" t="s">
        <v>3783</v>
      </c>
      <c r="K2058" t="s">
        <v>4363</v>
      </c>
      <c r="L2058">
        <v>17</v>
      </c>
      <c r="M2058">
        <v>2</v>
      </c>
      <c r="N2058" t="s">
        <v>4406</v>
      </c>
      <c r="O2058" t="s">
        <v>3827</v>
      </c>
      <c r="P2058">
        <v>2</v>
      </c>
      <c r="Q2058">
        <v>1</v>
      </c>
      <c r="S2058">
        <v>29</v>
      </c>
      <c r="T2058">
        <v>29</v>
      </c>
      <c r="U2058">
        <v>29</v>
      </c>
    </row>
    <row r="2059" spans="1:21" x14ac:dyDescent="0.25">
      <c r="A2059" s="5" t="s">
        <v>4411</v>
      </c>
      <c r="B2059" s="5" t="s">
        <v>4412</v>
      </c>
      <c r="C2059" t="s">
        <v>3548</v>
      </c>
      <c r="D2059" t="s">
        <v>3782</v>
      </c>
      <c r="E2059" t="s">
        <v>4363</v>
      </c>
      <c r="F2059" t="s">
        <v>4004</v>
      </c>
      <c r="G2059" t="s">
        <v>3826</v>
      </c>
      <c r="I2059" t="s">
        <v>3448</v>
      </c>
      <c r="J2059" t="s">
        <v>3783</v>
      </c>
      <c r="K2059" t="s">
        <v>4363</v>
      </c>
      <c r="L2059">
        <v>17</v>
      </c>
      <c r="M2059">
        <v>2</v>
      </c>
      <c r="N2059" t="s">
        <v>4005</v>
      </c>
      <c r="O2059" t="s">
        <v>3827</v>
      </c>
      <c r="P2059">
        <v>2</v>
      </c>
      <c r="Q2059">
        <v>1</v>
      </c>
      <c r="S2059">
        <v>28</v>
      </c>
      <c r="T2059">
        <v>28</v>
      </c>
      <c r="U2059">
        <v>28</v>
      </c>
    </row>
    <row r="2060" spans="1:21" x14ac:dyDescent="0.25">
      <c r="A2060" s="5" t="s">
        <v>4437</v>
      </c>
      <c r="B2060" s="5" t="s">
        <v>4438</v>
      </c>
      <c r="C2060" t="s">
        <v>3548</v>
      </c>
      <c r="D2060" t="s">
        <v>3782</v>
      </c>
      <c r="E2060" t="s">
        <v>4363</v>
      </c>
      <c r="F2060" t="s">
        <v>4004</v>
      </c>
      <c r="G2060" t="s">
        <v>3826</v>
      </c>
      <c r="I2060" t="s">
        <v>3448</v>
      </c>
      <c r="J2060" t="s">
        <v>3783</v>
      </c>
      <c r="K2060" t="s">
        <v>4363</v>
      </c>
      <c r="L2060">
        <v>17</v>
      </c>
      <c r="M2060">
        <v>1</v>
      </c>
      <c r="N2060" t="s">
        <v>4005</v>
      </c>
      <c r="O2060" t="s">
        <v>3827</v>
      </c>
      <c r="P2060">
        <v>2</v>
      </c>
      <c r="Q2060">
        <v>1</v>
      </c>
      <c r="S2060">
        <v>15</v>
      </c>
      <c r="T2060">
        <v>15</v>
      </c>
      <c r="U2060">
        <v>15</v>
      </c>
    </row>
    <row r="2061" spans="1:21" x14ac:dyDescent="0.25">
      <c r="A2061" s="5" t="s">
        <v>4449</v>
      </c>
      <c r="B2061" s="5" t="s">
        <v>4450</v>
      </c>
      <c r="C2061" t="s">
        <v>3548</v>
      </c>
      <c r="D2061" t="s">
        <v>3782</v>
      </c>
      <c r="E2061" t="s">
        <v>4363</v>
      </c>
      <c r="F2061" t="s">
        <v>3584</v>
      </c>
      <c r="G2061" t="s">
        <v>3826</v>
      </c>
      <c r="I2061" t="s">
        <v>3448</v>
      </c>
      <c r="J2061" t="s">
        <v>3783</v>
      </c>
      <c r="K2061" t="s">
        <v>4363</v>
      </c>
      <c r="L2061">
        <v>17</v>
      </c>
      <c r="M2061">
        <v>3</v>
      </c>
      <c r="N2061" t="s">
        <v>3585</v>
      </c>
      <c r="O2061" t="s">
        <v>3827</v>
      </c>
      <c r="P2061">
        <v>2</v>
      </c>
      <c r="Q2061">
        <v>1</v>
      </c>
      <c r="S2061">
        <v>43</v>
      </c>
      <c r="T2061">
        <v>43</v>
      </c>
      <c r="U2061">
        <v>43</v>
      </c>
    </row>
    <row r="2062" spans="1:21" x14ac:dyDescent="0.25">
      <c r="A2062" s="5" t="s">
        <v>4453</v>
      </c>
      <c r="B2062" s="5" t="s">
        <v>4454</v>
      </c>
      <c r="C2062" t="s">
        <v>3548</v>
      </c>
      <c r="D2062" t="s">
        <v>3782</v>
      </c>
      <c r="E2062" t="s">
        <v>4363</v>
      </c>
      <c r="F2062" t="s">
        <v>4390</v>
      </c>
      <c r="G2062" t="s">
        <v>3826</v>
      </c>
      <c r="I2062" t="s">
        <v>3448</v>
      </c>
      <c r="J2062" t="s">
        <v>3783</v>
      </c>
      <c r="K2062" t="s">
        <v>4363</v>
      </c>
      <c r="L2062">
        <v>17</v>
      </c>
      <c r="M2062">
        <v>3</v>
      </c>
      <c r="N2062" t="s">
        <v>4391</v>
      </c>
      <c r="O2062" t="s">
        <v>3827</v>
      </c>
      <c r="P2062">
        <v>2</v>
      </c>
      <c r="Q2062">
        <v>1</v>
      </c>
      <c r="S2062">
        <v>40</v>
      </c>
      <c r="T2062">
        <v>40</v>
      </c>
      <c r="U2062">
        <v>40</v>
      </c>
    </row>
    <row r="2063" spans="1:21" x14ac:dyDescent="0.25">
      <c r="A2063" s="5" t="s">
        <v>4459</v>
      </c>
      <c r="B2063" s="5" t="s">
        <v>4460</v>
      </c>
      <c r="C2063" t="s">
        <v>3548</v>
      </c>
      <c r="D2063" t="s">
        <v>3782</v>
      </c>
      <c r="E2063" t="s">
        <v>4363</v>
      </c>
      <c r="F2063" t="s">
        <v>4004</v>
      </c>
      <c r="G2063" t="s">
        <v>3826</v>
      </c>
      <c r="I2063" t="s">
        <v>3448</v>
      </c>
      <c r="J2063" t="s">
        <v>3783</v>
      </c>
      <c r="K2063" t="s">
        <v>4363</v>
      </c>
      <c r="L2063">
        <v>17</v>
      </c>
      <c r="M2063">
        <v>3</v>
      </c>
      <c r="N2063" t="s">
        <v>4005</v>
      </c>
      <c r="O2063" t="s">
        <v>3827</v>
      </c>
      <c r="P2063">
        <v>2</v>
      </c>
      <c r="Q2063">
        <v>1</v>
      </c>
      <c r="S2063">
        <v>41</v>
      </c>
      <c r="T2063">
        <v>41</v>
      </c>
      <c r="U2063">
        <v>41</v>
      </c>
    </row>
    <row r="2064" spans="1:21" x14ac:dyDescent="0.25">
      <c r="A2064" s="5" t="s">
        <v>4473</v>
      </c>
      <c r="B2064" s="5" t="s">
        <v>4474</v>
      </c>
      <c r="C2064" t="s">
        <v>3548</v>
      </c>
      <c r="D2064" t="s">
        <v>3782</v>
      </c>
      <c r="E2064" t="s">
        <v>4363</v>
      </c>
      <c r="F2064" t="s">
        <v>3584</v>
      </c>
      <c r="G2064" t="s">
        <v>3826</v>
      </c>
      <c r="I2064" t="s">
        <v>3448</v>
      </c>
      <c r="J2064" t="s">
        <v>3783</v>
      </c>
      <c r="K2064" t="s">
        <v>4363</v>
      </c>
      <c r="L2064">
        <v>17</v>
      </c>
      <c r="M2064">
        <v>4</v>
      </c>
      <c r="N2064" t="s">
        <v>3585</v>
      </c>
      <c r="O2064" t="s">
        <v>3827</v>
      </c>
      <c r="P2064">
        <v>2</v>
      </c>
      <c r="Q2064">
        <v>1</v>
      </c>
      <c r="S2064">
        <v>55</v>
      </c>
      <c r="T2064">
        <v>55</v>
      </c>
      <c r="U2064">
        <v>55</v>
      </c>
    </row>
    <row r="2065" spans="1:21" x14ac:dyDescent="0.25">
      <c r="A2065" s="5" t="s">
        <v>4477</v>
      </c>
      <c r="B2065" s="5" t="s">
        <v>4478</v>
      </c>
      <c r="C2065" t="s">
        <v>3548</v>
      </c>
      <c r="D2065" t="s">
        <v>3782</v>
      </c>
      <c r="E2065" t="s">
        <v>4363</v>
      </c>
      <c r="F2065" t="s">
        <v>4390</v>
      </c>
      <c r="G2065" t="s">
        <v>3826</v>
      </c>
      <c r="I2065" t="s">
        <v>3448</v>
      </c>
      <c r="J2065" t="s">
        <v>3783</v>
      </c>
      <c r="K2065" t="s">
        <v>4363</v>
      </c>
      <c r="L2065">
        <v>17</v>
      </c>
      <c r="M2065">
        <v>4</v>
      </c>
      <c r="N2065" t="s">
        <v>4391</v>
      </c>
      <c r="O2065" t="s">
        <v>3827</v>
      </c>
      <c r="P2065">
        <v>2</v>
      </c>
      <c r="Q2065">
        <v>1</v>
      </c>
      <c r="S2065">
        <v>51</v>
      </c>
      <c r="T2065">
        <v>51</v>
      </c>
      <c r="U2065">
        <v>51</v>
      </c>
    </row>
    <row r="2066" spans="1:21" x14ac:dyDescent="0.25">
      <c r="A2066" s="5" t="s">
        <v>4481</v>
      </c>
      <c r="B2066" s="5" t="s">
        <v>4482</v>
      </c>
      <c r="C2066" t="s">
        <v>3548</v>
      </c>
      <c r="D2066" t="s">
        <v>3782</v>
      </c>
      <c r="E2066" t="s">
        <v>4363</v>
      </c>
      <c r="F2066" t="s">
        <v>4004</v>
      </c>
      <c r="G2066" t="s">
        <v>3826</v>
      </c>
      <c r="I2066" t="s">
        <v>3448</v>
      </c>
      <c r="J2066" t="s">
        <v>3783</v>
      </c>
      <c r="K2066" t="s">
        <v>4363</v>
      </c>
      <c r="L2066">
        <v>17</v>
      </c>
      <c r="M2066">
        <v>4</v>
      </c>
      <c r="N2066" t="s">
        <v>4005</v>
      </c>
      <c r="O2066" t="s">
        <v>3827</v>
      </c>
      <c r="P2066">
        <v>2</v>
      </c>
      <c r="Q2066">
        <v>1</v>
      </c>
      <c r="S2066">
        <v>57</v>
      </c>
      <c r="T2066">
        <v>57</v>
      </c>
      <c r="U2066">
        <v>57</v>
      </c>
    </row>
    <row r="2067" spans="1:21" x14ac:dyDescent="0.25">
      <c r="A2067" s="5" t="s">
        <v>4503</v>
      </c>
      <c r="B2067" s="5" t="s">
        <v>4504</v>
      </c>
      <c r="C2067" t="s">
        <v>3548</v>
      </c>
      <c r="D2067" t="s">
        <v>3782</v>
      </c>
      <c r="E2067" t="s">
        <v>4363</v>
      </c>
      <c r="F2067" t="s">
        <v>3584</v>
      </c>
      <c r="G2067" t="s">
        <v>3826</v>
      </c>
      <c r="I2067" t="s">
        <v>3448</v>
      </c>
      <c r="J2067" t="s">
        <v>3783</v>
      </c>
      <c r="K2067" t="s">
        <v>4363</v>
      </c>
      <c r="L2067">
        <v>25</v>
      </c>
      <c r="M2067">
        <v>2</v>
      </c>
      <c r="N2067" t="s">
        <v>3585</v>
      </c>
      <c r="O2067" t="s">
        <v>3827</v>
      </c>
      <c r="P2067">
        <v>3</v>
      </c>
      <c r="Q2067">
        <v>2</v>
      </c>
      <c r="S2067">
        <v>54</v>
      </c>
      <c r="T2067">
        <v>54</v>
      </c>
      <c r="U2067">
        <v>54</v>
      </c>
    </row>
    <row r="2068" spans="1:21" x14ac:dyDescent="0.25">
      <c r="A2068" s="5" t="s">
        <v>4511</v>
      </c>
      <c r="B2068" s="5" t="s">
        <v>4512</v>
      </c>
      <c r="C2068" t="s">
        <v>3548</v>
      </c>
      <c r="D2068" t="s">
        <v>3782</v>
      </c>
      <c r="E2068" t="s">
        <v>4363</v>
      </c>
      <c r="F2068" t="s">
        <v>3584</v>
      </c>
      <c r="G2068" t="s">
        <v>3826</v>
      </c>
      <c r="I2068" t="s">
        <v>3448</v>
      </c>
      <c r="J2068" t="s">
        <v>3783</v>
      </c>
      <c r="K2068" t="s">
        <v>4363</v>
      </c>
      <c r="L2068">
        <v>25</v>
      </c>
      <c r="M2068">
        <v>2</v>
      </c>
      <c r="N2068" t="s">
        <v>3585</v>
      </c>
      <c r="O2068" t="s">
        <v>3827</v>
      </c>
      <c r="P2068">
        <v>3</v>
      </c>
      <c r="Q2068">
        <v>1</v>
      </c>
      <c r="S2068">
        <v>46</v>
      </c>
      <c r="T2068">
        <v>46</v>
      </c>
      <c r="U2068">
        <v>46</v>
      </c>
    </row>
    <row r="2069" spans="1:21" x14ac:dyDescent="0.25">
      <c r="A2069" s="5" t="s">
        <v>4517</v>
      </c>
      <c r="B2069" s="5" t="s">
        <v>4518</v>
      </c>
      <c r="C2069" t="s">
        <v>3548</v>
      </c>
      <c r="D2069" t="s">
        <v>3782</v>
      </c>
      <c r="E2069" t="s">
        <v>4363</v>
      </c>
      <c r="F2069" t="s">
        <v>4390</v>
      </c>
      <c r="G2069" t="s">
        <v>3826</v>
      </c>
      <c r="I2069" t="s">
        <v>3448</v>
      </c>
      <c r="J2069" t="s">
        <v>3783</v>
      </c>
      <c r="K2069" t="s">
        <v>4363</v>
      </c>
      <c r="L2069">
        <v>25</v>
      </c>
      <c r="M2069">
        <v>2</v>
      </c>
      <c r="N2069" t="s">
        <v>4391</v>
      </c>
      <c r="O2069" t="s">
        <v>3827</v>
      </c>
      <c r="P2069">
        <v>3</v>
      </c>
      <c r="Q2069">
        <v>1</v>
      </c>
      <c r="S2069">
        <v>40</v>
      </c>
      <c r="T2069">
        <v>40</v>
      </c>
      <c r="U2069">
        <v>40</v>
      </c>
    </row>
    <row r="2070" spans="1:21" x14ac:dyDescent="0.25">
      <c r="A2070" s="5" t="s">
        <v>4527</v>
      </c>
      <c r="B2070" s="5" t="s">
        <v>4528</v>
      </c>
      <c r="C2070" t="s">
        <v>3548</v>
      </c>
      <c r="D2070" t="s">
        <v>3782</v>
      </c>
      <c r="E2070" t="s">
        <v>4363</v>
      </c>
      <c r="F2070" t="s">
        <v>4004</v>
      </c>
      <c r="G2070" t="s">
        <v>3826</v>
      </c>
      <c r="I2070" t="s">
        <v>3448</v>
      </c>
      <c r="J2070" t="s">
        <v>3783</v>
      </c>
      <c r="K2070" t="s">
        <v>4363</v>
      </c>
      <c r="L2070">
        <v>25</v>
      </c>
      <c r="M2070">
        <v>2</v>
      </c>
      <c r="N2070" t="s">
        <v>4005</v>
      </c>
      <c r="O2070" t="s">
        <v>3827</v>
      </c>
      <c r="P2070">
        <v>3</v>
      </c>
      <c r="Q2070">
        <v>1</v>
      </c>
      <c r="S2070">
        <v>42</v>
      </c>
      <c r="T2070">
        <v>42</v>
      </c>
      <c r="U2070">
        <v>42</v>
      </c>
    </row>
    <row r="2071" spans="1:21" x14ac:dyDescent="0.25">
      <c r="A2071" s="5" t="s">
        <v>4543</v>
      </c>
      <c r="B2071" s="5" t="s">
        <v>4544</v>
      </c>
      <c r="C2071" t="s">
        <v>3548</v>
      </c>
      <c r="D2071" t="s">
        <v>3782</v>
      </c>
      <c r="E2071" t="s">
        <v>4363</v>
      </c>
      <c r="F2071" t="s">
        <v>3584</v>
      </c>
      <c r="G2071" t="s">
        <v>3826</v>
      </c>
      <c r="I2071" t="s">
        <v>3448</v>
      </c>
      <c r="J2071" t="s">
        <v>3783</v>
      </c>
      <c r="K2071" t="s">
        <v>4363</v>
      </c>
      <c r="L2071">
        <v>25</v>
      </c>
      <c r="M2071">
        <v>2</v>
      </c>
      <c r="N2071" t="s">
        <v>3585</v>
      </c>
      <c r="O2071" t="s">
        <v>3827</v>
      </c>
      <c r="P2071">
        <v>4</v>
      </c>
      <c r="Q2071">
        <v>1</v>
      </c>
      <c r="S2071">
        <v>38</v>
      </c>
      <c r="T2071">
        <v>38</v>
      </c>
      <c r="U2071">
        <v>38</v>
      </c>
    </row>
    <row r="2072" spans="1:21" x14ac:dyDescent="0.25">
      <c r="A2072" s="5" t="s">
        <v>4587</v>
      </c>
      <c r="B2072" s="5" t="s">
        <v>4588</v>
      </c>
      <c r="C2072" t="s">
        <v>3548</v>
      </c>
      <c r="D2072" t="s">
        <v>3782</v>
      </c>
      <c r="E2072" t="s">
        <v>4363</v>
      </c>
      <c r="F2072" t="s">
        <v>3584</v>
      </c>
      <c r="G2072" t="s">
        <v>3826</v>
      </c>
      <c r="I2072" t="s">
        <v>3448</v>
      </c>
      <c r="J2072" t="s">
        <v>3783</v>
      </c>
      <c r="K2072" t="s">
        <v>4363</v>
      </c>
      <c r="L2072">
        <v>25</v>
      </c>
      <c r="M2072">
        <v>1</v>
      </c>
      <c r="N2072" t="s">
        <v>3585</v>
      </c>
      <c r="O2072" t="s">
        <v>3827</v>
      </c>
      <c r="P2072">
        <v>3</v>
      </c>
      <c r="Q2072">
        <v>1</v>
      </c>
      <c r="S2072">
        <v>27</v>
      </c>
      <c r="T2072">
        <v>27</v>
      </c>
      <c r="U2072">
        <v>27</v>
      </c>
    </row>
    <row r="2073" spans="1:21" x14ac:dyDescent="0.25">
      <c r="A2073" s="5" t="s">
        <v>4599</v>
      </c>
      <c r="B2073" s="5" t="s">
        <v>4600</v>
      </c>
      <c r="C2073" t="s">
        <v>3548</v>
      </c>
      <c r="D2073" t="s">
        <v>3782</v>
      </c>
      <c r="E2073" t="s">
        <v>4363</v>
      </c>
      <c r="F2073" t="s">
        <v>4390</v>
      </c>
      <c r="G2073" t="s">
        <v>3826</v>
      </c>
      <c r="I2073" t="s">
        <v>3448</v>
      </c>
      <c r="J2073" t="s">
        <v>3783</v>
      </c>
      <c r="K2073" t="s">
        <v>4363</v>
      </c>
      <c r="L2073">
        <v>25</v>
      </c>
      <c r="M2073">
        <v>1</v>
      </c>
      <c r="N2073" t="s">
        <v>4391</v>
      </c>
      <c r="O2073" t="s">
        <v>3827</v>
      </c>
      <c r="P2073">
        <v>3</v>
      </c>
      <c r="Q2073">
        <v>1</v>
      </c>
      <c r="S2073">
        <v>20</v>
      </c>
      <c r="T2073">
        <v>20</v>
      </c>
      <c r="U2073">
        <v>20</v>
      </c>
    </row>
    <row r="2074" spans="1:21" x14ac:dyDescent="0.25">
      <c r="A2074" s="5" t="s">
        <v>4609</v>
      </c>
      <c r="B2074" s="5" t="s">
        <v>4610</v>
      </c>
      <c r="C2074" t="s">
        <v>3548</v>
      </c>
      <c r="D2074" t="s">
        <v>3782</v>
      </c>
      <c r="E2074" t="s">
        <v>4363</v>
      </c>
      <c r="F2074" t="s">
        <v>3584</v>
      </c>
      <c r="G2074" t="s">
        <v>3826</v>
      </c>
      <c r="I2074" t="s">
        <v>3448</v>
      </c>
      <c r="J2074" t="s">
        <v>3783</v>
      </c>
      <c r="K2074" t="s">
        <v>4363</v>
      </c>
      <c r="L2074">
        <v>25</v>
      </c>
      <c r="M2074">
        <v>3</v>
      </c>
      <c r="N2074" t="s">
        <v>3585</v>
      </c>
      <c r="O2074" t="s">
        <v>3827</v>
      </c>
      <c r="P2074">
        <v>3</v>
      </c>
      <c r="Q2074">
        <v>1</v>
      </c>
      <c r="S2074">
        <v>66</v>
      </c>
      <c r="T2074">
        <v>66</v>
      </c>
      <c r="U2074">
        <v>66</v>
      </c>
    </row>
    <row r="2075" spans="1:21" x14ac:dyDescent="0.25">
      <c r="A2075" s="5" t="s">
        <v>4613</v>
      </c>
      <c r="B2075" s="5" t="s">
        <v>4614</v>
      </c>
      <c r="C2075" t="s">
        <v>3548</v>
      </c>
      <c r="D2075" t="s">
        <v>3782</v>
      </c>
      <c r="E2075" t="s">
        <v>4363</v>
      </c>
      <c r="F2075" t="s">
        <v>4390</v>
      </c>
      <c r="G2075" t="s">
        <v>3826</v>
      </c>
      <c r="I2075" t="s">
        <v>3448</v>
      </c>
      <c r="J2075" t="s">
        <v>3783</v>
      </c>
      <c r="K2075" t="s">
        <v>4363</v>
      </c>
      <c r="L2075">
        <v>25</v>
      </c>
      <c r="M2075">
        <v>3</v>
      </c>
      <c r="N2075" t="s">
        <v>4391</v>
      </c>
      <c r="O2075" t="s">
        <v>3827</v>
      </c>
      <c r="P2075">
        <v>3</v>
      </c>
      <c r="Q2075">
        <v>1</v>
      </c>
      <c r="S2075">
        <v>57</v>
      </c>
      <c r="T2075">
        <v>57</v>
      </c>
      <c r="U2075">
        <v>57</v>
      </c>
    </row>
    <row r="2076" spans="1:21" x14ac:dyDescent="0.25">
      <c r="A2076" s="5" t="s">
        <v>4617</v>
      </c>
      <c r="B2076" s="5" t="s">
        <v>4618</v>
      </c>
      <c r="C2076" t="s">
        <v>3548</v>
      </c>
      <c r="D2076" t="s">
        <v>3782</v>
      </c>
      <c r="E2076" t="s">
        <v>4363</v>
      </c>
      <c r="F2076" t="s">
        <v>4004</v>
      </c>
      <c r="G2076" t="s">
        <v>3826</v>
      </c>
      <c r="I2076" t="s">
        <v>3448</v>
      </c>
      <c r="J2076" t="s">
        <v>3783</v>
      </c>
      <c r="K2076" t="s">
        <v>4363</v>
      </c>
      <c r="L2076">
        <v>25</v>
      </c>
      <c r="M2076">
        <v>3</v>
      </c>
      <c r="N2076" t="s">
        <v>4005</v>
      </c>
      <c r="O2076" t="s">
        <v>3827</v>
      </c>
      <c r="P2076">
        <v>3</v>
      </c>
      <c r="Q2076">
        <v>1</v>
      </c>
      <c r="S2076">
        <v>62</v>
      </c>
      <c r="T2076">
        <v>62</v>
      </c>
      <c r="U2076">
        <v>62</v>
      </c>
    </row>
    <row r="2077" spans="1:21" x14ac:dyDescent="0.25">
      <c r="A2077" s="5" t="s">
        <v>4635</v>
      </c>
      <c r="B2077" s="5" t="s">
        <v>4636</v>
      </c>
      <c r="C2077" t="s">
        <v>3548</v>
      </c>
      <c r="D2077" t="s">
        <v>3782</v>
      </c>
      <c r="E2077" t="s">
        <v>4363</v>
      </c>
      <c r="F2077" t="s">
        <v>3584</v>
      </c>
      <c r="G2077" t="s">
        <v>3826</v>
      </c>
      <c r="I2077" t="s">
        <v>3448</v>
      </c>
      <c r="J2077" t="s">
        <v>3783</v>
      </c>
      <c r="K2077" t="s">
        <v>4363</v>
      </c>
      <c r="L2077">
        <v>25</v>
      </c>
      <c r="M2077">
        <v>3</v>
      </c>
      <c r="N2077" t="s">
        <v>3585</v>
      </c>
      <c r="O2077" t="s">
        <v>3827</v>
      </c>
      <c r="P2077">
        <v>4</v>
      </c>
      <c r="Q2077">
        <v>1</v>
      </c>
      <c r="S2077">
        <v>60</v>
      </c>
      <c r="T2077">
        <v>60</v>
      </c>
      <c r="U2077">
        <v>60</v>
      </c>
    </row>
    <row r="2078" spans="1:21" x14ac:dyDescent="0.25">
      <c r="A2078" s="5" t="s">
        <v>4645</v>
      </c>
      <c r="B2078" s="5" t="s">
        <v>4646</v>
      </c>
      <c r="C2078" t="s">
        <v>3548</v>
      </c>
      <c r="D2078" t="s">
        <v>3782</v>
      </c>
      <c r="E2078" t="s">
        <v>4363</v>
      </c>
      <c r="F2078" t="s">
        <v>4390</v>
      </c>
      <c r="G2078" t="s">
        <v>3826</v>
      </c>
      <c r="I2078" t="s">
        <v>3448</v>
      </c>
      <c r="J2078" t="s">
        <v>3783</v>
      </c>
      <c r="K2078" t="s">
        <v>4363</v>
      </c>
      <c r="L2078">
        <v>25</v>
      </c>
      <c r="M2078">
        <v>3</v>
      </c>
      <c r="N2078" t="s">
        <v>4406</v>
      </c>
      <c r="O2078" t="s">
        <v>3827</v>
      </c>
      <c r="P2078">
        <v>4</v>
      </c>
      <c r="Q2078">
        <v>1</v>
      </c>
      <c r="S2078">
        <v>60</v>
      </c>
      <c r="T2078">
        <v>60</v>
      </c>
      <c r="U2078">
        <v>60</v>
      </c>
    </row>
    <row r="2079" spans="1:21" x14ac:dyDescent="0.25">
      <c r="A2079" s="5" t="s">
        <v>4665</v>
      </c>
      <c r="B2079" s="5" t="s">
        <v>4666</v>
      </c>
      <c r="C2079" t="s">
        <v>3548</v>
      </c>
      <c r="D2079" t="s">
        <v>3782</v>
      </c>
      <c r="E2079" t="s">
        <v>4363</v>
      </c>
      <c r="F2079" t="s">
        <v>4004</v>
      </c>
      <c r="G2079" t="s">
        <v>3826</v>
      </c>
      <c r="I2079" t="s">
        <v>3448</v>
      </c>
      <c r="J2079" t="s">
        <v>3783</v>
      </c>
      <c r="K2079" t="s">
        <v>4363</v>
      </c>
      <c r="L2079">
        <v>25</v>
      </c>
      <c r="M2079">
        <v>1</v>
      </c>
      <c r="N2079" t="s">
        <v>4005</v>
      </c>
      <c r="O2079" t="s">
        <v>3827</v>
      </c>
      <c r="P2079">
        <v>3</v>
      </c>
      <c r="Q2079">
        <v>1</v>
      </c>
      <c r="S2079">
        <v>23</v>
      </c>
      <c r="T2079">
        <v>23</v>
      </c>
      <c r="U2079">
        <v>23</v>
      </c>
    </row>
    <row r="2080" spans="1:21" x14ac:dyDescent="0.25">
      <c r="A2080" s="5" t="s">
        <v>4685</v>
      </c>
      <c r="B2080" s="5" t="s">
        <v>4686</v>
      </c>
      <c r="C2080" t="s">
        <v>3548</v>
      </c>
      <c r="D2080" t="s">
        <v>3782</v>
      </c>
      <c r="E2080" t="s">
        <v>4363</v>
      </c>
      <c r="F2080" t="s">
        <v>3584</v>
      </c>
      <c r="G2080" t="s">
        <v>3826</v>
      </c>
      <c r="I2080" t="s">
        <v>3448</v>
      </c>
      <c r="J2080" t="s">
        <v>3783</v>
      </c>
      <c r="K2080" t="s">
        <v>4363</v>
      </c>
      <c r="L2080">
        <v>25</v>
      </c>
      <c r="M2080">
        <v>1</v>
      </c>
      <c r="N2080" t="s">
        <v>3585</v>
      </c>
      <c r="O2080" t="s">
        <v>3827</v>
      </c>
      <c r="P2080">
        <v>4</v>
      </c>
      <c r="Q2080">
        <v>1</v>
      </c>
      <c r="S2080">
        <v>19</v>
      </c>
      <c r="T2080">
        <v>19</v>
      </c>
      <c r="U2080">
        <v>19</v>
      </c>
    </row>
    <row r="2081" spans="1:21" x14ac:dyDescent="0.25">
      <c r="A2081" s="5" t="s">
        <v>4717</v>
      </c>
      <c r="B2081" s="5" t="s">
        <v>4718</v>
      </c>
      <c r="C2081" t="s">
        <v>3548</v>
      </c>
      <c r="D2081" t="s">
        <v>3782</v>
      </c>
      <c r="E2081" t="s">
        <v>4363</v>
      </c>
      <c r="F2081" t="s">
        <v>3584</v>
      </c>
      <c r="G2081" t="s">
        <v>3826</v>
      </c>
      <c r="I2081" t="s">
        <v>3448</v>
      </c>
      <c r="J2081" t="s">
        <v>3783</v>
      </c>
      <c r="K2081" t="s">
        <v>4363</v>
      </c>
      <c r="L2081">
        <v>25</v>
      </c>
      <c r="M2081">
        <v>4</v>
      </c>
      <c r="N2081" t="s">
        <v>3585</v>
      </c>
      <c r="O2081" t="s">
        <v>3827</v>
      </c>
      <c r="P2081">
        <v>3</v>
      </c>
      <c r="Q2081">
        <v>2</v>
      </c>
      <c r="S2081">
        <v>92</v>
      </c>
      <c r="T2081">
        <v>92</v>
      </c>
      <c r="U2081">
        <v>92</v>
      </c>
    </row>
    <row r="2082" spans="1:21" x14ac:dyDescent="0.25">
      <c r="A2082" s="5" t="s">
        <v>4721</v>
      </c>
      <c r="B2082" s="5" t="s">
        <v>4722</v>
      </c>
      <c r="C2082" t="s">
        <v>3548</v>
      </c>
      <c r="D2082" t="s">
        <v>3782</v>
      </c>
      <c r="E2082" t="s">
        <v>4363</v>
      </c>
      <c r="F2082" t="s">
        <v>3584</v>
      </c>
      <c r="G2082" t="s">
        <v>3826</v>
      </c>
      <c r="I2082" t="s">
        <v>3448</v>
      </c>
      <c r="J2082" t="s">
        <v>3783</v>
      </c>
      <c r="K2082" t="s">
        <v>4363</v>
      </c>
      <c r="L2082">
        <v>25</v>
      </c>
      <c r="M2082">
        <v>4</v>
      </c>
      <c r="N2082" t="s">
        <v>3585</v>
      </c>
      <c r="O2082" t="s">
        <v>3827</v>
      </c>
      <c r="P2082">
        <v>3</v>
      </c>
      <c r="Q2082">
        <v>1</v>
      </c>
      <c r="S2082">
        <v>86</v>
      </c>
      <c r="T2082">
        <v>86</v>
      </c>
      <c r="U2082">
        <v>86</v>
      </c>
    </row>
    <row r="2083" spans="1:21" x14ac:dyDescent="0.25">
      <c r="A2083" s="5" t="s">
        <v>4725</v>
      </c>
      <c r="B2083" s="5" t="s">
        <v>4726</v>
      </c>
      <c r="C2083" t="s">
        <v>3548</v>
      </c>
      <c r="D2083" t="s">
        <v>3782</v>
      </c>
      <c r="E2083" t="s">
        <v>4363</v>
      </c>
      <c r="F2083" t="s">
        <v>4390</v>
      </c>
      <c r="G2083" t="s">
        <v>3826</v>
      </c>
      <c r="I2083" t="s">
        <v>3448</v>
      </c>
      <c r="J2083" t="s">
        <v>3783</v>
      </c>
      <c r="K2083" t="s">
        <v>4363</v>
      </c>
      <c r="L2083">
        <v>25</v>
      </c>
      <c r="M2083">
        <v>4</v>
      </c>
      <c r="N2083" t="s">
        <v>4391</v>
      </c>
      <c r="O2083" t="s">
        <v>3827</v>
      </c>
      <c r="P2083">
        <v>3</v>
      </c>
      <c r="Q2083">
        <v>1</v>
      </c>
      <c r="S2083">
        <v>78</v>
      </c>
      <c r="T2083">
        <v>78</v>
      </c>
      <c r="U2083">
        <v>78</v>
      </c>
    </row>
    <row r="2084" spans="1:21" x14ac:dyDescent="0.25">
      <c r="A2084" s="5" t="s">
        <v>4729</v>
      </c>
      <c r="B2084" s="5" t="s">
        <v>4730</v>
      </c>
      <c r="C2084" t="s">
        <v>3548</v>
      </c>
      <c r="D2084" t="s">
        <v>3782</v>
      </c>
      <c r="E2084" t="s">
        <v>4363</v>
      </c>
      <c r="F2084" t="s">
        <v>4004</v>
      </c>
      <c r="G2084" t="s">
        <v>3826</v>
      </c>
      <c r="I2084" t="s">
        <v>3448</v>
      </c>
      <c r="J2084" t="s">
        <v>3783</v>
      </c>
      <c r="K2084" t="s">
        <v>4363</v>
      </c>
      <c r="L2084">
        <v>25</v>
      </c>
      <c r="M2084">
        <v>4</v>
      </c>
      <c r="N2084" t="s">
        <v>4005</v>
      </c>
      <c r="O2084" t="s">
        <v>3827</v>
      </c>
      <c r="P2084">
        <v>3</v>
      </c>
      <c r="Q2084">
        <v>1</v>
      </c>
      <c r="S2084">
        <v>84</v>
      </c>
      <c r="T2084">
        <v>84</v>
      </c>
      <c r="U2084">
        <v>84</v>
      </c>
    </row>
    <row r="2085" spans="1:21" x14ac:dyDescent="0.25">
      <c r="A2085" s="5" t="s">
        <v>4749</v>
      </c>
      <c r="B2085" s="5" t="s">
        <v>4750</v>
      </c>
      <c r="C2085" t="s">
        <v>3548</v>
      </c>
      <c r="D2085" t="s">
        <v>3782</v>
      </c>
      <c r="E2085" t="s">
        <v>4363</v>
      </c>
      <c r="F2085" t="s">
        <v>3584</v>
      </c>
      <c r="G2085" t="s">
        <v>3826</v>
      </c>
      <c r="I2085" t="s">
        <v>3448</v>
      </c>
      <c r="J2085" t="s">
        <v>3783</v>
      </c>
      <c r="K2085" t="s">
        <v>4363</v>
      </c>
      <c r="L2085">
        <v>25</v>
      </c>
      <c r="M2085">
        <v>4</v>
      </c>
      <c r="N2085" t="s">
        <v>3585</v>
      </c>
      <c r="O2085" t="s">
        <v>3827</v>
      </c>
      <c r="P2085">
        <v>4</v>
      </c>
      <c r="Q2085">
        <v>1</v>
      </c>
      <c r="S2085">
        <v>80</v>
      </c>
      <c r="T2085">
        <v>80</v>
      </c>
      <c r="U2085">
        <v>80</v>
      </c>
    </row>
    <row r="2086" spans="1:21" x14ac:dyDescent="0.25">
      <c r="A2086" s="5" t="s">
        <v>4757</v>
      </c>
      <c r="B2086" s="5" t="s">
        <v>4758</v>
      </c>
      <c r="C2086" t="s">
        <v>3548</v>
      </c>
      <c r="D2086" t="s">
        <v>3782</v>
      </c>
      <c r="E2086" t="s">
        <v>4363</v>
      </c>
      <c r="F2086" t="s">
        <v>4390</v>
      </c>
      <c r="G2086" t="s">
        <v>3826</v>
      </c>
      <c r="I2086" t="s">
        <v>3448</v>
      </c>
      <c r="J2086" t="s">
        <v>3783</v>
      </c>
      <c r="K2086" t="s">
        <v>4363</v>
      </c>
      <c r="L2086">
        <v>25</v>
      </c>
      <c r="M2086">
        <v>4</v>
      </c>
      <c r="N2086" t="s">
        <v>4391</v>
      </c>
      <c r="O2086" t="s">
        <v>3827</v>
      </c>
      <c r="P2086">
        <v>4</v>
      </c>
      <c r="Q2086">
        <v>1</v>
      </c>
      <c r="S2086">
        <v>76</v>
      </c>
      <c r="T2086">
        <v>76</v>
      </c>
      <c r="U2086">
        <v>76</v>
      </c>
    </row>
    <row r="2087" spans="1:21" x14ac:dyDescent="0.25">
      <c r="A2087" s="5" t="s">
        <v>4793</v>
      </c>
      <c r="B2087" s="5" t="s">
        <v>4794</v>
      </c>
      <c r="C2087" t="s">
        <v>3548</v>
      </c>
      <c r="D2087" t="s">
        <v>3782</v>
      </c>
      <c r="E2087" t="s">
        <v>4363</v>
      </c>
      <c r="F2087" t="s">
        <v>3584</v>
      </c>
      <c r="G2087" t="s">
        <v>3826</v>
      </c>
      <c r="I2087" t="s">
        <v>3448</v>
      </c>
      <c r="J2087" t="s">
        <v>3783</v>
      </c>
      <c r="K2087" t="s">
        <v>4363</v>
      </c>
      <c r="L2087">
        <v>25</v>
      </c>
      <c r="M2087">
        <v>6</v>
      </c>
      <c r="N2087" t="s">
        <v>3585</v>
      </c>
      <c r="O2087" t="s">
        <v>3827</v>
      </c>
      <c r="P2087">
        <v>3</v>
      </c>
      <c r="Q2087">
        <v>2</v>
      </c>
      <c r="S2087">
        <v>134</v>
      </c>
      <c r="T2087">
        <v>134</v>
      </c>
      <c r="U2087">
        <v>134</v>
      </c>
    </row>
    <row r="2088" spans="1:21" x14ac:dyDescent="0.25">
      <c r="A2088" s="5" t="s">
        <v>4841</v>
      </c>
      <c r="B2088" s="5" t="s">
        <v>4842</v>
      </c>
      <c r="C2088" t="s">
        <v>3548</v>
      </c>
      <c r="D2088" t="s">
        <v>3782</v>
      </c>
      <c r="E2088" t="s">
        <v>4363</v>
      </c>
      <c r="F2088" t="s">
        <v>3584</v>
      </c>
      <c r="G2088" t="s">
        <v>3826</v>
      </c>
      <c r="I2088" t="s">
        <v>3448</v>
      </c>
      <c r="J2088" t="s">
        <v>3783</v>
      </c>
      <c r="K2088" t="s">
        <v>4363</v>
      </c>
      <c r="L2088">
        <v>28</v>
      </c>
      <c r="M2088">
        <v>2</v>
      </c>
      <c r="N2088" t="s">
        <v>3585</v>
      </c>
      <c r="O2088" t="s">
        <v>3827</v>
      </c>
      <c r="P2088">
        <v>4</v>
      </c>
      <c r="Q2088">
        <v>1</v>
      </c>
      <c r="S2088">
        <v>44</v>
      </c>
      <c r="T2088">
        <v>44</v>
      </c>
      <c r="U2088">
        <v>44</v>
      </c>
    </row>
    <row r="2089" spans="1:21" x14ac:dyDescent="0.25">
      <c r="A2089" s="5" t="s">
        <v>4875</v>
      </c>
      <c r="B2089" s="5" t="s">
        <v>4876</v>
      </c>
      <c r="C2089" t="s">
        <v>3548</v>
      </c>
      <c r="D2089" t="s">
        <v>3782</v>
      </c>
      <c r="E2089" t="s">
        <v>4363</v>
      </c>
      <c r="F2089" t="s">
        <v>3584</v>
      </c>
      <c r="G2089" t="s">
        <v>3826</v>
      </c>
      <c r="I2089" t="s">
        <v>3448</v>
      </c>
      <c r="J2089" t="s">
        <v>3783</v>
      </c>
      <c r="K2089" t="s">
        <v>4363</v>
      </c>
      <c r="L2089">
        <v>28</v>
      </c>
      <c r="M2089">
        <v>3</v>
      </c>
      <c r="N2089" t="s">
        <v>3585</v>
      </c>
      <c r="O2089" t="s">
        <v>3827</v>
      </c>
      <c r="P2089">
        <v>4</v>
      </c>
      <c r="Q2089">
        <v>1</v>
      </c>
      <c r="S2089">
        <v>66</v>
      </c>
      <c r="T2089">
        <v>66</v>
      </c>
      <c r="U2089">
        <v>66</v>
      </c>
    </row>
    <row r="2090" spans="1:21" x14ac:dyDescent="0.25">
      <c r="A2090" s="5" t="s">
        <v>4899</v>
      </c>
      <c r="B2090" s="5" t="s">
        <v>4900</v>
      </c>
      <c r="C2090" t="s">
        <v>3548</v>
      </c>
      <c r="D2090" t="s">
        <v>3782</v>
      </c>
      <c r="E2090" t="s">
        <v>4363</v>
      </c>
      <c r="F2090" t="s">
        <v>3584</v>
      </c>
      <c r="G2090" t="s">
        <v>3826</v>
      </c>
      <c r="I2090" t="s">
        <v>3448</v>
      </c>
      <c r="J2090" t="s">
        <v>3783</v>
      </c>
      <c r="K2090" t="s">
        <v>4363</v>
      </c>
      <c r="L2090">
        <v>28</v>
      </c>
      <c r="M2090">
        <v>1</v>
      </c>
      <c r="N2090" t="s">
        <v>3585</v>
      </c>
      <c r="O2090" t="s">
        <v>3827</v>
      </c>
      <c r="P2090">
        <v>4</v>
      </c>
      <c r="Q2090">
        <v>1</v>
      </c>
      <c r="S2090">
        <v>22</v>
      </c>
      <c r="T2090">
        <v>22</v>
      </c>
      <c r="U2090">
        <v>22</v>
      </c>
    </row>
    <row r="2091" spans="1:21" x14ac:dyDescent="0.25">
      <c r="A2091" s="5" t="s">
        <v>4925</v>
      </c>
      <c r="B2091" s="5" t="s">
        <v>4926</v>
      </c>
      <c r="C2091" t="s">
        <v>3548</v>
      </c>
      <c r="D2091" t="s">
        <v>3782</v>
      </c>
      <c r="E2091" t="s">
        <v>4363</v>
      </c>
      <c r="F2091" t="s">
        <v>3584</v>
      </c>
      <c r="G2091" t="s">
        <v>3826</v>
      </c>
      <c r="I2091" t="s">
        <v>3448</v>
      </c>
      <c r="J2091" t="s">
        <v>3783</v>
      </c>
      <c r="K2091" t="s">
        <v>4363</v>
      </c>
      <c r="L2091">
        <v>28</v>
      </c>
      <c r="M2091">
        <v>4</v>
      </c>
      <c r="N2091" t="s">
        <v>3585</v>
      </c>
      <c r="O2091" t="s">
        <v>3827</v>
      </c>
      <c r="P2091">
        <v>4</v>
      </c>
      <c r="Q2091">
        <v>1</v>
      </c>
      <c r="S2091">
        <v>85</v>
      </c>
      <c r="T2091">
        <v>85</v>
      </c>
      <c r="U2091">
        <v>85</v>
      </c>
    </row>
    <row r="2092" spans="1:21" x14ac:dyDescent="0.25">
      <c r="A2092" s="5" t="s">
        <v>4933</v>
      </c>
      <c r="B2092" s="5" t="s">
        <v>4934</v>
      </c>
      <c r="C2092" t="s">
        <v>3548</v>
      </c>
      <c r="D2092" t="s">
        <v>3782</v>
      </c>
      <c r="E2092" t="s">
        <v>4363</v>
      </c>
      <c r="F2092" t="s">
        <v>4390</v>
      </c>
      <c r="G2092" t="s">
        <v>3826</v>
      </c>
      <c r="I2092" t="s">
        <v>3448</v>
      </c>
      <c r="J2092" t="s">
        <v>3783</v>
      </c>
      <c r="K2092" t="s">
        <v>4363</v>
      </c>
      <c r="L2092">
        <v>28</v>
      </c>
      <c r="M2092">
        <v>4</v>
      </c>
      <c r="N2092" t="s">
        <v>4391</v>
      </c>
      <c r="O2092" t="s">
        <v>3827</v>
      </c>
      <c r="P2092">
        <v>4</v>
      </c>
      <c r="Q2092">
        <v>1</v>
      </c>
      <c r="S2092">
        <v>84</v>
      </c>
      <c r="T2092">
        <v>84</v>
      </c>
      <c r="U2092">
        <v>84</v>
      </c>
    </row>
    <row r="2093" spans="1:21" x14ac:dyDescent="0.25">
      <c r="A2093" s="5" t="s">
        <v>5003</v>
      </c>
      <c r="B2093" s="5" t="s">
        <v>5004</v>
      </c>
      <c r="C2093" t="s">
        <v>3548</v>
      </c>
      <c r="D2093" t="s">
        <v>3782</v>
      </c>
      <c r="E2093" t="s">
        <v>4363</v>
      </c>
      <c r="F2093" t="s">
        <v>3584</v>
      </c>
      <c r="G2093" t="s">
        <v>3826</v>
      </c>
      <c r="I2093" t="s">
        <v>3448</v>
      </c>
      <c r="J2093" t="s">
        <v>3783</v>
      </c>
      <c r="K2093" t="s">
        <v>4363</v>
      </c>
      <c r="L2093">
        <v>30</v>
      </c>
      <c r="M2093">
        <v>2</v>
      </c>
      <c r="N2093" t="s">
        <v>3585</v>
      </c>
      <c r="O2093" t="s">
        <v>3827</v>
      </c>
      <c r="P2093">
        <v>4</v>
      </c>
      <c r="Q2093">
        <v>1</v>
      </c>
      <c r="S2093">
        <v>48</v>
      </c>
      <c r="T2093">
        <v>48</v>
      </c>
      <c r="U2093">
        <v>48</v>
      </c>
    </row>
    <row r="2094" spans="1:21" x14ac:dyDescent="0.25">
      <c r="A2094" s="5" t="s">
        <v>5011</v>
      </c>
      <c r="B2094" s="5" t="s">
        <v>5012</v>
      </c>
      <c r="C2094" t="s">
        <v>3548</v>
      </c>
      <c r="D2094" t="s">
        <v>3782</v>
      </c>
      <c r="E2094" t="s">
        <v>4363</v>
      </c>
      <c r="F2094" t="s">
        <v>4390</v>
      </c>
      <c r="G2094" t="s">
        <v>3826</v>
      </c>
      <c r="I2094" t="s">
        <v>3448</v>
      </c>
      <c r="J2094" t="s">
        <v>3783</v>
      </c>
      <c r="K2094" t="s">
        <v>4363</v>
      </c>
      <c r="L2094">
        <v>30</v>
      </c>
      <c r="M2094">
        <v>2</v>
      </c>
      <c r="N2094" t="s">
        <v>4391</v>
      </c>
      <c r="O2094" t="s">
        <v>3827</v>
      </c>
      <c r="P2094">
        <v>4</v>
      </c>
      <c r="Q2094">
        <v>1</v>
      </c>
      <c r="S2094">
        <v>46</v>
      </c>
      <c r="T2094">
        <v>46</v>
      </c>
      <c r="U2094">
        <v>46</v>
      </c>
    </row>
    <row r="2095" spans="1:21" x14ac:dyDescent="0.25">
      <c r="A2095" s="5" t="s">
        <v>5031</v>
      </c>
      <c r="B2095" s="5" t="s">
        <v>5032</v>
      </c>
      <c r="C2095" t="s">
        <v>3548</v>
      </c>
      <c r="D2095" t="s">
        <v>3782</v>
      </c>
      <c r="E2095" t="s">
        <v>4363</v>
      </c>
      <c r="F2095" t="s">
        <v>3584</v>
      </c>
      <c r="G2095" t="s">
        <v>3826</v>
      </c>
      <c r="I2095" t="s">
        <v>3448</v>
      </c>
      <c r="J2095" t="s">
        <v>3783</v>
      </c>
      <c r="K2095" t="s">
        <v>4363</v>
      </c>
      <c r="L2095">
        <v>30</v>
      </c>
      <c r="M2095">
        <v>3</v>
      </c>
      <c r="N2095" t="s">
        <v>3585</v>
      </c>
      <c r="O2095" t="s">
        <v>3827</v>
      </c>
      <c r="P2095">
        <v>4</v>
      </c>
      <c r="Q2095">
        <v>2</v>
      </c>
      <c r="S2095">
        <v>78</v>
      </c>
      <c r="T2095">
        <v>78</v>
      </c>
      <c r="U2095">
        <v>78</v>
      </c>
    </row>
    <row r="2096" spans="1:21" x14ac:dyDescent="0.25">
      <c r="A2096" s="5" t="s">
        <v>5037</v>
      </c>
      <c r="B2096" s="5" t="s">
        <v>5038</v>
      </c>
      <c r="C2096" t="s">
        <v>3548</v>
      </c>
      <c r="D2096" t="s">
        <v>3782</v>
      </c>
      <c r="E2096" t="s">
        <v>4363</v>
      </c>
      <c r="F2096" t="s">
        <v>3584</v>
      </c>
      <c r="G2096" t="s">
        <v>3826</v>
      </c>
      <c r="I2096" t="s">
        <v>3448</v>
      </c>
      <c r="J2096" t="s">
        <v>3783</v>
      </c>
      <c r="K2096" t="s">
        <v>4363</v>
      </c>
      <c r="L2096">
        <v>30</v>
      </c>
      <c r="M2096">
        <v>3</v>
      </c>
      <c r="N2096" t="s">
        <v>3585</v>
      </c>
      <c r="O2096" t="s">
        <v>3827</v>
      </c>
      <c r="P2096">
        <v>4</v>
      </c>
      <c r="Q2096">
        <v>1</v>
      </c>
      <c r="S2096">
        <v>70</v>
      </c>
      <c r="T2096">
        <v>70</v>
      </c>
      <c r="U2096">
        <v>70</v>
      </c>
    </row>
    <row r="2097" spans="1:21" x14ac:dyDescent="0.25">
      <c r="A2097" s="5" t="s">
        <v>5043</v>
      </c>
      <c r="B2097" s="5" t="s">
        <v>5044</v>
      </c>
      <c r="C2097" t="s">
        <v>3548</v>
      </c>
      <c r="D2097" t="s">
        <v>3782</v>
      </c>
      <c r="E2097" t="s">
        <v>4363</v>
      </c>
      <c r="F2097" t="s">
        <v>4390</v>
      </c>
      <c r="G2097" t="s">
        <v>3826</v>
      </c>
      <c r="I2097" t="s">
        <v>3448</v>
      </c>
      <c r="J2097" t="s">
        <v>3783</v>
      </c>
      <c r="K2097" t="s">
        <v>4363</v>
      </c>
      <c r="L2097">
        <v>30</v>
      </c>
      <c r="M2097">
        <v>3</v>
      </c>
      <c r="N2097" t="s">
        <v>4391</v>
      </c>
      <c r="O2097" t="s">
        <v>3827</v>
      </c>
      <c r="P2097">
        <v>4</v>
      </c>
      <c r="Q2097">
        <v>1</v>
      </c>
      <c r="S2097">
        <v>66</v>
      </c>
      <c r="T2097">
        <v>66</v>
      </c>
      <c r="U2097">
        <v>66</v>
      </c>
    </row>
    <row r="2098" spans="1:21" x14ac:dyDescent="0.25">
      <c r="A2098" s="5" t="s">
        <v>5047</v>
      </c>
      <c r="B2098" s="5" t="s">
        <v>5048</v>
      </c>
      <c r="C2098" t="s">
        <v>3548</v>
      </c>
      <c r="D2098" t="s">
        <v>3782</v>
      </c>
      <c r="E2098" t="s">
        <v>4363</v>
      </c>
      <c r="F2098" t="s">
        <v>4004</v>
      </c>
      <c r="G2098" t="s">
        <v>3826</v>
      </c>
      <c r="I2098" t="s">
        <v>3448</v>
      </c>
      <c r="J2098" t="s">
        <v>3783</v>
      </c>
      <c r="K2098" t="s">
        <v>4363</v>
      </c>
      <c r="L2098">
        <v>30</v>
      </c>
      <c r="M2098">
        <v>3</v>
      </c>
      <c r="N2098" t="s">
        <v>4005</v>
      </c>
      <c r="O2098" t="s">
        <v>3827</v>
      </c>
      <c r="P2098">
        <v>4</v>
      </c>
      <c r="Q2098">
        <v>1</v>
      </c>
      <c r="S2098">
        <v>70</v>
      </c>
      <c r="T2098">
        <v>70</v>
      </c>
      <c r="U2098">
        <v>70</v>
      </c>
    </row>
    <row r="2099" spans="1:21" x14ac:dyDescent="0.25">
      <c r="A2099" s="5" t="s">
        <v>5063</v>
      </c>
      <c r="B2099" s="5" t="s">
        <v>5064</v>
      </c>
      <c r="C2099" t="s">
        <v>3548</v>
      </c>
      <c r="D2099" t="s">
        <v>3782</v>
      </c>
      <c r="E2099" t="s">
        <v>4363</v>
      </c>
      <c r="F2099" t="s">
        <v>3584</v>
      </c>
      <c r="G2099" t="s">
        <v>3826</v>
      </c>
      <c r="I2099" t="s">
        <v>3448</v>
      </c>
      <c r="J2099" t="s">
        <v>3783</v>
      </c>
      <c r="K2099" t="s">
        <v>4363</v>
      </c>
      <c r="L2099">
        <v>30</v>
      </c>
      <c r="M2099">
        <v>1</v>
      </c>
      <c r="N2099" t="s">
        <v>3585</v>
      </c>
      <c r="O2099" t="s">
        <v>3827</v>
      </c>
      <c r="P2099">
        <v>4</v>
      </c>
      <c r="Q2099">
        <v>1</v>
      </c>
      <c r="S2099">
        <v>27</v>
      </c>
      <c r="T2099">
        <v>27</v>
      </c>
      <c r="U2099">
        <v>27</v>
      </c>
    </row>
    <row r="2100" spans="1:21" x14ac:dyDescent="0.25">
      <c r="A2100" s="5" t="s">
        <v>5087</v>
      </c>
      <c r="B2100" s="5" t="s">
        <v>5088</v>
      </c>
      <c r="C2100" t="s">
        <v>3548</v>
      </c>
      <c r="D2100" t="s">
        <v>3782</v>
      </c>
      <c r="E2100" t="s">
        <v>4363</v>
      </c>
      <c r="F2100" t="s">
        <v>3584</v>
      </c>
      <c r="G2100" t="s">
        <v>3826</v>
      </c>
      <c r="I2100" t="s">
        <v>3448</v>
      </c>
      <c r="J2100" t="s">
        <v>3783</v>
      </c>
      <c r="K2100" t="s">
        <v>4363</v>
      </c>
      <c r="L2100">
        <v>30</v>
      </c>
      <c r="M2100">
        <v>4</v>
      </c>
      <c r="N2100" t="s">
        <v>3585</v>
      </c>
      <c r="O2100" t="s">
        <v>3827</v>
      </c>
      <c r="P2100">
        <v>4</v>
      </c>
      <c r="Q2100">
        <v>2</v>
      </c>
      <c r="S2100">
        <v>96</v>
      </c>
      <c r="T2100">
        <v>96</v>
      </c>
      <c r="U2100">
        <v>96</v>
      </c>
    </row>
    <row r="2101" spans="1:21" x14ac:dyDescent="0.25">
      <c r="A2101" s="5" t="s">
        <v>5091</v>
      </c>
      <c r="B2101" s="5" t="s">
        <v>5092</v>
      </c>
      <c r="C2101" t="s">
        <v>3548</v>
      </c>
      <c r="D2101" t="s">
        <v>3782</v>
      </c>
      <c r="E2101" t="s">
        <v>4363</v>
      </c>
      <c r="F2101" t="s">
        <v>3584</v>
      </c>
      <c r="G2101" t="s">
        <v>3826</v>
      </c>
      <c r="I2101" t="s">
        <v>3448</v>
      </c>
      <c r="J2101" t="s">
        <v>3783</v>
      </c>
      <c r="K2101" t="s">
        <v>4363</v>
      </c>
      <c r="L2101">
        <v>30</v>
      </c>
      <c r="M2101">
        <v>4</v>
      </c>
      <c r="N2101" t="s">
        <v>3585</v>
      </c>
      <c r="O2101" t="s">
        <v>3827</v>
      </c>
      <c r="P2101">
        <v>4</v>
      </c>
      <c r="Q2101">
        <v>1</v>
      </c>
      <c r="S2101">
        <v>91</v>
      </c>
      <c r="T2101">
        <v>91</v>
      </c>
      <c r="U2101">
        <v>91</v>
      </c>
    </row>
    <row r="2102" spans="1:21" x14ac:dyDescent="0.25">
      <c r="A2102" s="5" t="s">
        <v>5095</v>
      </c>
      <c r="B2102" s="5" t="s">
        <v>5096</v>
      </c>
      <c r="C2102" t="s">
        <v>3548</v>
      </c>
      <c r="D2102" t="s">
        <v>3782</v>
      </c>
      <c r="E2102" t="s">
        <v>4363</v>
      </c>
      <c r="F2102" t="s">
        <v>4390</v>
      </c>
      <c r="G2102" t="s">
        <v>3826</v>
      </c>
      <c r="I2102" t="s">
        <v>3448</v>
      </c>
      <c r="J2102" t="s">
        <v>3783</v>
      </c>
      <c r="K2102" t="s">
        <v>4363</v>
      </c>
      <c r="L2102">
        <v>30</v>
      </c>
      <c r="M2102">
        <v>4</v>
      </c>
      <c r="N2102" t="s">
        <v>4391</v>
      </c>
      <c r="O2102" t="s">
        <v>3827</v>
      </c>
      <c r="P2102">
        <v>4</v>
      </c>
      <c r="Q2102">
        <v>1</v>
      </c>
      <c r="S2102">
        <v>88</v>
      </c>
      <c r="T2102">
        <v>88</v>
      </c>
      <c r="U2102">
        <v>88</v>
      </c>
    </row>
    <row r="2103" spans="1:21" x14ac:dyDescent="0.25">
      <c r="A2103" s="5" t="s">
        <v>5129</v>
      </c>
      <c r="B2103" s="5" t="s">
        <v>5130</v>
      </c>
      <c r="C2103" t="s">
        <v>3548</v>
      </c>
      <c r="D2103" t="s">
        <v>3782</v>
      </c>
      <c r="E2103" t="s">
        <v>4363</v>
      </c>
      <c r="F2103" t="s">
        <v>3584</v>
      </c>
      <c r="G2103" t="s">
        <v>3826</v>
      </c>
      <c r="I2103" t="s">
        <v>3448</v>
      </c>
      <c r="J2103" t="s">
        <v>3783</v>
      </c>
      <c r="K2103" t="s">
        <v>4363</v>
      </c>
      <c r="L2103">
        <v>30</v>
      </c>
      <c r="M2103">
        <v>6</v>
      </c>
      <c r="N2103" t="s">
        <v>3585</v>
      </c>
      <c r="O2103" t="s">
        <v>3827</v>
      </c>
      <c r="P2103">
        <v>4</v>
      </c>
      <c r="Q2103">
        <v>2</v>
      </c>
      <c r="S2103">
        <v>132</v>
      </c>
      <c r="T2103">
        <v>132</v>
      </c>
      <c r="U2103">
        <v>132</v>
      </c>
    </row>
    <row r="2104" spans="1:21" x14ac:dyDescent="0.25">
      <c r="A2104" s="5" t="s">
        <v>5165</v>
      </c>
      <c r="B2104" s="5" t="s">
        <v>5166</v>
      </c>
      <c r="C2104" t="s">
        <v>3548</v>
      </c>
      <c r="D2104" t="s">
        <v>3782</v>
      </c>
      <c r="E2104" t="s">
        <v>4363</v>
      </c>
      <c r="F2104" t="s">
        <v>3584</v>
      </c>
      <c r="G2104" t="s">
        <v>3826</v>
      </c>
      <c r="I2104" t="s">
        <v>3448</v>
      </c>
      <c r="J2104" t="s">
        <v>3783</v>
      </c>
      <c r="K2104" t="s">
        <v>4363</v>
      </c>
      <c r="L2104">
        <v>32</v>
      </c>
      <c r="M2104">
        <v>2</v>
      </c>
      <c r="N2104" t="s">
        <v>3585</v>
      </c>
      <c r="O2104" t="s">
        <v>3827</v>
      </c>
      <c r="P2104">
        <v>4</v>
      </c>
      <c r="Q2104">
        <v>2</v>
      </c>
      <c r="S2104">
        <v>62</v>
      </c>
      <c r="T2104">
        <v>62</v>
      </c>
      <c r="U2104">
        <v>62</v>
      </c>
    </row>
    <row r="2105" spans="1:21" x14ac:dyDescent="0.25">
      <c r="A2105" s="5" t="s">
        <v>5177</v>
      </c>
      <c r="B2105" s="5" t="s">
        <v>5178</v>
      </c>
      <c r="C2105" t="s">
        <v>3548</v>
      </c>
      <c r="D2105" t="s">
        <v>3782</v>
      </c>
      <c r="E2105" t="s">
        <v>4363</v>
      </c>
      <c r="F2105" t="s">
        <v>5173</v>
      </c>
      <c r="G2105" t="s">
        <v>3826</v>
      </c>
      <c r="I2105" t="s">
        <v>3448</v>
      </c>
      <c r="J2105" t="s">
        <v>3783</v>
      </c>
      <c r="K2105" t="s">
        <v>4363</v>
      </c>
      <c r="L2105">
        <v>32</v>
      </c>
      <c r="M2105">
        <v>2</v>
      </c>
      <c r="N2105" t="s">
        <v>5174</v>
      </c>
      <c r="O2105" t="s">
        <v>3827</v>
      </c>
      <c r="P2105">
        <v>4</v>
      </c>
      <c r="Q2105">
        <v>1</v>
      </c>
      <c r="S2105">
        <v>47</v>
      </c>
      <c r="T2105">
        <v>47</v>
      </c>
      <c r="U2105">
        <v>47</v>
      </c>
    </row>
    <row r="2106" spans="1:21" x14ac:dyDescent="0.25">
      <c r="A2106" s="5" t="s">
        <v>5189</v>
      </c>
      <c r="B2106" s="5" t="s">
        <v>5190</v>
      </c>
      <c r="C2106" t="s">
        <v>3548</v>
      </c>
      <c r="D2106" t="s">
        <v>3782</v>
      </c>
      <c r="E2106" t="s">
        <v>4363</v>
      </c>
      <c r="F2106" t="s">
        <v>3584</v>
      </c>
      <c r="G2106" t="s">
        <v>3826</v>
      </c>
      <c r="I2106" t="s">
        <v>3448</v>
      </c>
      <c r="J2106" t="s">
        <v>3783</v>
      </c>
      <c r="K2106" t="s">
        <v>4363</v>
      </c>
      <c r="L2106">
        <v>32</v>
      </c>
      <c r="M2106">
        <v>2</v>
      </c>
      <c r="N2106" t="s">
        <v>3585</v>
      </c>
      <c r="O2106" t="s">
        <v>3827</v>
      </c>
      <c r="P2106">
        <v>4</v>
      </c>
      <c r="Q2106">
        <v>1</v>
      </c>
      <c r="S2106">
        <v>52</v>
      </c>
      <c r="T2106">
        <v>52</v>
      </c>
      <c r="U2106">
        <v>52</v>
      </c>
    </row>
    <row r="2107" spans="1:21" x14ac:dyDescent="0.25">
      <c r="A2107" s="5" t="s">
        <v>5209</v>
      </c>
      <c r="B2107" s="5" t="s">
        <v>5210</v>
      </c>
      <c r="C2107" t="s">
        <v>3548</v>
      </c>
      <c r="D2107" t="s">
        <v>3782</v>
      </c>
      <c r="E2107" t="s">
        <v>4363</v>
      </c>
      <c r="F2107" t="s">
        <v>4390</v>
      </c>
      <c r="G2107" t="s">
        <v>3826</v>
      </c>
      <c r="I2107" t="s">
        <v>3448</v>
      </c>
      <c r="J2107" t="s">
        <v>3783</v>
      </c>
      <c r="K2107" t="s">
        <v>4363</v>
      </c>
      <c r="L2107">
        <v>32</v>
      </c>
      <c r="M2107">
        <v>2</v>
      </c>
      <c r="N2107" t="s">
        <v>4391</v>
      </c>
      <c r="O2107" t="s">
        <v>3827</v>
      </c>
      <c r="P2107">
        <v>4</v>
      </c>
      <c r="Q2107">
        <v>1</v>
      </c>
      <c r="S2107">
        <v>48</v>
      </c>
      <c r="T2107">
        <v>48</v>
      </c>
      <c r="U2107">
        <v>48</v>
      </c>
    </row>
    <row r="2108" spans="1:21" x14ac:dyDescent="0.25">
      <c r="A2108" s="5" t="s">
        <v>5225</v>
      </c>
      <c r="B2108" s="5" t="s">
        <v>5226</v>
      </c>
      <c r="C2108" t="s">
        <v>3548</v>
      </c>
      <c r="D2108" t="s">
        <v>3782</v>
      </c>
      <c r="E2108" t="s">
        <v>4363</v>
      </c>
      <c r="F2108" t="s">
        <v>4004</v>
      </c>
      <c r="G2108" t="s">
        <v>3826</v>
      </c>
      <c r="I2108" t="s">
        <v>3448</v>
      </c>
      <c r="J2108" t="s">
        <v>3783</v>
      </c>
      <c r="K2108" t="s">
        <v>4363</v>
      </c>
      <c r="L2108">
        <v>32</v>
      </c>
      <c r="M2108">
        <v>2</v>
      </c>
      <c r="N2108" t="s">
        <v>4005</v>
      </c>
      <c r="O2108" t="s">
        <v>3827</v>
      </c>
      <c r="P2108">
        <v>4</v>
      </c>
      <c r="Q2108">
        <v>1</v>
      </c>
      <c r="S2108">
        <v>54</v>
      </c>
      <c r="T2108">
        <v>54</v>
      </c>
      <c r="U2108">
        <v>54</v>
      </c>
    </row>
    <row r="2109" spans="1:21" x14ac:dyDescent="0.25">
      <c r="A2109" s="5" t="s">
        <v>5241</v>
      </c>
      <c r="B2109" s="5" t="s">
        <v>5242</v>
      </c>
      <c r="C2109" t="s">
        <v>3548</v>
      </c>
      <c r="D2109" t="s">
        <v>3782</v>
      </c>
      <c r="E2109" t="s">
        <v>4363</v>
      </c>
      <c r="F2109" t="s">
        <v>4421</v>
      </c>
      <c r="G2109" t="s">
        <v>3826</v>
      </c>
      <c r="I2109" t="s">
        <v>3448</v>
      </c>
      <c r="J2109" t="s">
        <v>3783</v>
      </c>
      <c r="K2109" t="s">
        <v>4363</v>
      </c>
      <c r="L2109">
        <v>32</v>
      </c>
      <c r="M2109">
        <v>2</v>
      </c>
      <c r="N2109" t="s">
        <v>4422</v>
      </c>
      <c r="O2109" t="s">
        <v>3827</v>
      </c>
      <c r="P2109">
        <v>4</v>
      </c>
      <c r="Q2109">
        <v>1</v>
      </c>
      <c r="S2109">
        <v>52</v>
      </c>
      <c r="T2109">
        <v>52</v>
      </c>
      <c r="U2109">
        <v>52</v>
      </c>
    </row>
    <row r="2110" spans="1:21" x14ac:dyDescent="0.25">
      <c r="A2110" s="5" t="s">
        <v>5251</v>
      </c>
      <c r="B2110" s="5" t="s">
        <v>5252</v>
      </c>
      <c r="C2110" t="s">
        <v>3548</v>
      </c>
      <c r="D2110" t="s">
        <v>3782</v>
      </c>
      <c r="E2110" t="s">
        <v>4363</v>
      </c>
      <c r="F2110" t="s">
        <v>3584</v>
      </c>
      <c r="G2110" t="s">
        <v>3826</v>
      </c>
      <c r="I2110" t="s">
        <v>3448</v>
      </c>
      <c r="J2110" t="s">
        <v>3783</v>
      </c>
      <c r="K2110" t="s">
        <v>4363</v>
      </c>
      <c r="L2110">
        <v>32</v>
      </c>
      <c r="M2110">
        <v>3</v>
      </c>
      <c r="N2110" t="s">
        <v>3585</v>
      </c>
      <c r="O2110" t="s">
        <v>3827</v>
      </c>
      <c r="P2110">
        <v>4</v>
      </c>
      <c r="Q2110">
        <v>2</v>
      </c>
      <c r="S2110">
        <v>83</v>
      </c>
      <c r="T2110">
        <v>83</v>
      </c>
      <c r="U2110">
        <v>83</v>
      </c>
    </row>
    <row r="2111" spans="1:21" x14ac:dyDescent="0.25">
      <c r="A2111" s="5" t="s">
        <v>5261</v>
      </c>
      <c r="B2111" s="5" t="s">
        <v>5262</v>
      </c>
      <c r="C2111" t="s">
        <v>3548</v>
      </c>
      <c r="D2111" t="s">
        <v>3782</v>
      </c>
      <c r="E2111" t="s">
        <v>4363</v>
      </c>
      <c r="F2111" t="s">
        <v>5173</v>
      </c>
      <c r="G2111" t="s">
        <v>3826</v>
      </c>
      <c r="I2111" t="s">
        <v>3448</v>
      </c>
      <c r="J2111" t="s">
        <v>3783</v>
      </c>
      <c r="K2111" t="s">
        <v>4363</v>
      </c>
      <c r="L2111">
        <v>32</v>
      </c>
      <c r="M2111">
        <v>3</v>
      </c>
      <c r="N2111" t="s">
        <v>5174</v>
      </c>
      <c r="O2111" t="s">
        <v>3827</v>
      </c>
      <c r="P2111">
        <v>4</v>
      </c>
      <c r="Q2111">
        <v>1</v>
      </c>
      <c r="S2111">
        <v>87</v>
      </c>
      <c r="T2111">
        <v>87</v>
      </c>
      <c r="U2111">
        <v>87</v>
      </c>
    </row>
    <row r="2112" spans="1:21" x14ac:dyDescent="0.25">
      <c r="A2112" s="5" t="s">
        <v>5271</v>
      </c>
      <c r="B2112" s="5" t="s">
        <v>5272</v>
      </c>
      <c r="C2112" t="s">
        <v>3548</v>
      </c>
      <c r="D2112" t="s">
        <v>3782</v>
      </c>
      <c r="E2112" t="s">
        <v>4363</v>
      </c>
      <c r="F2112" t="s">
        <v>3584</v>
      </c>
      <c r="G2112" t="s">
        <v>3826</v>
      </c>
      <c r="I2112" t="s">
        <v>3448</v>
      </c>
      <c r="J2112" t="s">
        <v>3783</v>
      </c>
      <c r="K2112" t="s">
        <v>4363</v>
      </c>
      <c r="L2112">
        <v>32</v>
      </c>
      <c r="M2112">
        <v>3</v>
      </c>
      <c r="N2112" t="s">
        <v>3585</v>
      </c>
      <c r="O2112" t="s">
        <v>3827</v>
      </c>
      <c r="P2112">
        <v>4</v>
      </c>
      <c r="Q2112">
        <v>1</v>
      </c>
      <c r="S2112">
        <v>78</v>
      </c>
      <c r="T2112">
        <v>78</v>
      </c>
      <c r="U2112">
        <v>78</v>
      </c>
    </row>
    <row r="2113" spans="1:21" x14ac:dyDescent="0.25">
      <c r="A2113" s="5" t="s">
        <v>5283</v>
      </c>
      <c r="B2113" s="5" t="s">
        <v>5284</v>
      </c>
      <c r="C2113" t="s">
        <v>3548</v>
      </c>
      <c r="D2113" t="s">
        <v>3782</v>
      </c>
      <c r="E2113" t="s">
        <v>4363</v>
      </c>
      <c r="F2113" t="s">
        <v>4390</v>
      </c>
      <c r="G2113" t="s">
        <v>3826</v>
      </c>
      <c r="I2113" t="s">
        <v>3448</v>
      </c>
      <c r="J2113" t="s">
        <v>3783</v>
      </c>
      <c r="K2113" t="s">
        <v>4363</v>
      </c>
      <c r="L2113">
        <v>32</v>
      </c>
      <c r="M2113">
        <v>3</v>
      </c>
      <c r="N2113" t="s">
        <v>4391</v>
      </c>
      <c r="O2113" t="s">
        <v>3827</v>
      </c>
      <c r="P2113">
        <v>4</v>
      </c>
      <c r="Q2113">
        <v>1</v>
      </c>
      <c r="S2113">
        <v>74</v>
      </c>
      <c r="T2113">
        <v>74</v>
      </c>
      <c r="U2113">
        <v>74</v>
      </c>
    </row>
    <row r="2114" spans="1:21" x14ac:dyDescent="0.25">
      <c r="A2114" s="5" t="s">
        <v>5293</v>
      </c>
      <c r="B2114" s="5" t="s">
        <v>5294</v>
      </c>
      <c r="C2114" t="s">
        <v>3548</v>
      </c>
      <c r="D2114" t="s">
        <v>3782</v>
      </c>
      <c r="E2114" t="s">
        <v>4363</v>
      </c>
      <c r="F2114" t="s">
        <v>4004</v>
      </c>
      <c r="G2114" t="s">
        <v>3826</v>
      </c>
      <c r="I2114" t="s">
        <v>3448</v>
      </c>
      <c r="J2114" t="s">
        <v>3783</v>
      </c>
      <c r="K2114" t="s">
        <v>4363</v>
      </c>
      <c r="L2114">
        <v>32</v>
      </c>
      <c r="M2114">
        <v>3</v>
      </c>
      <c r="N2114" t="s">
        <v>4005</v>
      </c>
      <c r="O2114" t="s">
        <v>3827</v>
      </c>
      <c r="P2114">
        <v>4</v>
      </c>
      <c r="Q2114">
        <v>1</v>
      </c>
      <c r="S2114">
        <v>79</v>
      </c>
      <c r="T2114">
        <v>79</v>
      </c>
      <c r="U2114">
        <v>79</v>
      </c>
    </row>
    <row r="2115" spans="1:21" x14ac:dyDescent="0.25">
      <c r="A2115" s="5" t="s">
        <v>5303</v>
      </c>
      <c r="B2115" s="5" t="s">
        <v>5304</v>
      </c>
      <c r="C2115" t="s">
        <v>3548</v>
      </c>
      <c r="D2115" t="s">
        <v>3782</v>
      </c>
      <c r="E2115" t="s">
        <v>4363</v>
      </c>
      <c r="F2115" t="s">
        <v>4421</v>
      </c>
      <c r="G2115" t="s">
        <v>3826</v>
      </c>
      <c r="I2115" t="s">
        <v>3448</v>
      </c>
      <c r="J2115" t="s">
        <v>3783</v>
      </c>
      <c r="K2115" t="s">
        <v>4363</v>
      </c>
      <c r="L2115">
        <v>32</v>
      </c>
      <c r="M2115">
        <v>3</v>
      </c>
      <c r="N2115" t="s">
        <v>4422</v>
      </c>
      <c r="O2115" t="s">
        <v>3827</v>
      </c>
      <c r="P2115">
        <v>4</v>
      </c>
      <c r="Q2115">
        <v>1</v>
      </c>
      <c r="S2115">
        <v>76</v>
      </c>
      <c r="T2115">
        <v>76</v>
      </c>
      <c r="U2115">
        <v>76</v>
      </c>
    </row>
    <row r="2116" spans="1:21" x14ac:dyDescent="0.25">
      <c r="A2116" s="5" t="s">
        <v>5329</v>
      </c>
      <c r="B2116" s="5" t="s">
        <v>5330</v>
      </c>
      <c r="C2116" t="s">
        <v>3548</v>
      </c>
      <c r="D2116" t="s">
        <v>3782</v>
      </c>
      <c r="E2116" t="s">
        <v>4363</v>
      </c>
      <c r="F2116" t="s">
        <v>3584</v>
      </c>
      <c r="G2116" t="s">
        <v>3826</v>
      </c>
      <c r="I2116" t="s">
        <v>3448</v>
      </c>
      <c r="J2116" t="s">
        <v>3783</v>
      </c>
      <c r="K2116" t="s">
        <v>4363</v>
      </c>
      <c r="L2116">
        <v>32</v>
      </c>
      <c r="M2116">
        <v>1</v>
      </c>
      <c r="N2116" t="s">
        <v>3585</v>
      </c>
      <c r="O2116" t="s">
        <v>3827</v>
      </c>
      <c r="P2116">
        <v>4</v>
      </c>
      <c r="Q2116">
        <v>1</v>
      </c>
      <c r="S2116">
        <v>29</v>
      </c>
      <c r="T2116">
        <v>29</v>
      </c>
      <c r="U2116">
        <v>29</v>
      </c>
    </row>
    <row r="2117" spans="1:21" x14ac:dyDescent="0.25">
      <c r="A2117" s="5" t="s">
        <v>5359</v>
      </c>
      <c r="B2117" s="5" t="s">
        <v>5360</v>
      </c>
      <c r="C2117" t="s">
        <v>3548</v>
      </c>
      <c r="D2117" t="s">
        <v>3782</v>
      </c>
      <c r="E2117" t="s">
        <v>4363</v>
      </c>
      <c r="F2117" t="s">
        <v>4390</v>
      </c>
      <c r="G2117" t="s">
        <v>3826</v>
      </c>
      <c r="I2117" t="s">
        <v>3448</v>
      </c>
      <c r="J2117" t="s">
        <v>3783</v>
      </c>
      <c r="K2117" t="s">
        <v>4363</v>
      </c>
      <c r="L2117">
        <v>32</v>
      </c>
      <c r="M2117">
        <v>1</v>
      </c>
      <c r="N2117" t="s">
        <v>4391</v>
      </c>
      <c r="O2117" t="s">
        <v>3827</v>
      </c>
      <c r="P2117">
        <v>4</v>
      </c>
      <c r="Q2117">
        <v>1</v>
      </c>
      <c r="S2117">
        <v>25</v>
      </c>
      <c r="T2117">
        <v>25</v>
      </c>
      <c r="U2117">
        <v>25</v>
      </c>
    </row>
    <row r="2118" spans="1:21" x14ac:dyDescent="0.25">
      <c r="A2118" s="5" t="s">
        <v>5373</v>
      </c>
      <c r="B2118" s="5" t="s">
        <v>5374</v>
      </c>
      <c r="C2118" t="s">
        <v>3548</v>
      </c>
      <c r="D2118" t="s">
        <v>3782</v>
      </c>
      <c r="E2118" t="s">
        <v>4363</v>
      </c>
      <c r="F2118" t="s">
        <v>3584</v>
      </c>
      <c r="G2118" t="s">
        <v>3826</v>
      </c>
      <c r="I2118" t="s">
        <v>3448</v>
      </c>
      <c r="J2118" t="s">
        <v>3783</v>
      </c>
      <c r="K2118" t="s">
        <v>4363</v>
      </c>
      <c r="L2118">
        <v>32</v>
      </c>
      <c r="M2118">
        <v>4</v>
      </c>
      <c r="N2118" t="s">
        <v>3585</v>
      </c>
      <c r="O2118" t="s">
        <v>3827</v>
      </c>
      <c r="P2118">
        <v>4</v>
      </c>
      <c r="Q2118">
        <v>2</v>
      </c>
      <c r="S2118">
        <v>104</v>
      </c>
      <c r="T2118">
        <v>104</v>
      </c>
      <c r="U2118">
        <v>104</v>
      </c>
    </row>
    <row r="2119" spans="1:21" x14ac:dyDescent="0.25">
      <c r="A2119" s="5" t="s">
        <v>5391</v>
      </c>
      <c r="B2119" s="5" t="s">
        <v>5392</v>
      </c>
      <c r="C2119" t="s">
        <v>3548</v>
      </c>
      <c r="D2119" t="s">
        <v>3782</v>
      </c>
      <c r="E2119" t="s">
        <v>4363</v>
      </c>
      <c r="F2119" t="s">
        <v>3584</v>
      </c>
      <c r="G2119" t="s">
        <v>3826</v>
      </c>
      <c r="I2119" t="s">
        <v>3448</v>
      </c>
      <c r="J2119" t="s">
        <v>3783</v>
      </c>
      <c r="K2119" t="s">
        <v>4363</v>
      </c>
      <c r="L2119">
        <v>32</v>
      </c>
      <c r="M2119">
        <v>4</v>
      </c>
      <c r="N2119" t="s">
        <v>3585</v>
      </c>
      <c r="O2119" t="s">
        <v>3827</v>
      </c>
      <c r="P2119">
        <v>4</v>
      </c>
      <c r="Q2119">
        <v>1</v>
      </c>
      <c r="S2119">
        <v>102</v>
      </c>
      <c r="T2119">
        <v>102</v>
      </c>
      <c r="U2119">
        <v>102</v>
      </c>
    </row>
    <row r="2120" spans="1:21" x14ac:dyDescent="0.25">
      <c r="A2120" s="5" t="s">
        <v>5399</v>
      </c>
      <c r="B2120" s="5" t="s">
        <v>5400</v>
      </c>
      <c r="C2120" t="s">
        <v>3548</v>
      </c>
      <c r="D2120" t="s">
        <v>3782</v>
      </c>
      <c r="E2120" t="s">
        <v>4363</v>
      </c>
      <c r="F2120" t="s">
        <v>4390</v>
      </c>
      <c r="G2120" t="s">
        <v>3826</v>
      </c>
      <c r="I2120" t="s">
        <v>3448</v>
      </c>
      <c r="J2120" t="s">
        <v>3783</v>
      </c>
      <c r="K2120" t="s">
        <v>4363</v>
      </c>
      <c r="L2120">
        <v>32</v>
      </c>
      <c r="M2120">
        <v>4</v>
      </c>
      <c r="N2120" t="s">
        <v>4391</v>
      </c>
      <c r="O2120" t="s">
        <v>3827</v>
      </c>
      <c r="P2120">
        <v>4</v>
      </c>
      <c r="Q2120">
        <v>1</v>
      </c>
      <c r="S2120">
        <v>96</v>
      </c>
      <c r="T2120">
        <v>96</v>
      </c>
      <c r="U2120">
        <v>96</v>
      </c>
    </row>
    <row r="2121" spans="1:21" x14ac:dyDescent="0.25">
      <c r="A2121" s="5" t="s">
        <v>5407</v>
      </c>
      <c r="B2121" s="5" t="s">
        <v>5408</v>
      </c>
      <c r="C2121" t="s">
        <v>3548</v>
      </c>
      <c r="D2121" t="s">
        <v>3782</v>
      </c>
      <c r="E2121" t="s">
        <v>4363</v>
      </c>
      <c r="F2121" t="s">
        <v>4004</v>
      </c>
      <c r="G2121" t="s">
        <v>3826</v>
      </c>
      <c r="I2121" t="s">
        <v>3448</v>
      </c>
      <c r="J2121" t="s">
        <v>3783</v>
      </c>
      <c r="K2121" t="s">
        <v>4363</v>
      </c>
      <c r="L2121">
        <v>32</v>
      </c>
      <c r="M2121">
        <v>4</v>
      </c>
      <c r="N2121" t="s">
        <v>4005</v>
      </c>
      <c r="O2121" t="s">
        <v>3827</v>
      </c>
      <c r="P2121">
        <v>4</v>
      </c>
      <c r="Q2121">
        <v>1</v>
      </c>
      <c r="S2121">
        <v>105</v>
      </c>
      <c r="T2121">
        <v>105</v>
      </c>
      <c r="U2121">
        <v>105</v>
      </c>
    </row>
    <row r="2122" spans="1:21" x14ac:dyDescent="0.25">
      <c r="A2122" s="5" t="s">
        <v>5433</v>
      </c>
      <c r="B2122" s="5" t="s">
        <v>5434</v>
      </c>
      <c r="C2122" t="s">
        <v>3548</v>
      </c>
      <c r="D2122" t="s">
        <v>3782</v>
      </c>
      <c r="E2122" t="s">
        <v>4363</v>
      </c>
      <c r="F2122" t="s">
        <v>4004</v>
      </c>
      <c r="G2122" t="s">
        <v>3826</v>
      </c>
      <c r="I2122" t="s">
        <v>3448</v>
      </c>
      <c r="J2122" t="s">
        <v>3783</v>
      </c>
      <c r="K2122" t="s">
        <v>4363</v>
      </c>
      <c r="L2122">
        <v>32</v>
      </c>
      <c r="M2122">
        <v>1</v>
      </c>
      <c r="N2122" t="s">
        <v>4005</v>
      </c>
      <c r="O2122" t="s">
        <v>3827</v>
      </c>
      <c r="P2122">
        <v>4</v>
      </c>
      <c r="Q2122">
        <v>1</v>
      </c>
      <c r="S2122">
        <v>27</v>
      </c>
      <c r="T2122">
        <v>27</v>
      </c>
      <c r="U2122">
        <v>27</v>
      </c>
    </row>
    <row r="2123" spans="1:21" x14ac:dyDescent="0.25">
      <c r="A2123" s="5" t="s">
        <v>5479</v>
      </c>
      <c r="B2123" s="5" t="s">
        <v>5480</v>
      </c>
      <c r="C2123" t="s">
        <v>3548</v>
      </c>
      <c r="D2123" t="s">
        <v>3782</v>
      </c>
      <c r="E2123" t="s">
        <v>4363</v>
      </c>
      <c r="F2123" t="s">
        <v>3584</v>
      </c>
      <c r="G2123" t="s">
        <v>3826</v>
      </c>
      <c r="I2123" t="s">
        <v>3448</v>
      </c>
      <c r="J2123" t="s">
        <v>3783</v>
      </c>
      <c r="K2123" t="s">
        <v>4363</v>
      </c>
      <c r="L2123">
        <v>32</v>
      </c>
      <c r="M2123">
        <v>6</v>
      </c>
      <c r="N2123" t="s">
        <v>3585</v>
      </c>
      <c r="O2123" t="s">
        <v>3827</v>
      </c>
      <c r="P2123">
        <v>4</v>
      </c>
      <c r="Q2123">
        <v>2</v>
      </c>
      <c r="S2123">
        <v>156</v>
      </c>
      <c r="T2123">
        <v>156</v>
      </c>
      <c r="U2123">
        <v>156</v>
      </c>
    </row>
    <row r="2124" spans="1:21" x14ac:dyDescent="0.25">
      <c r="A2124" s="5" t="s">
        <v>5487</v>
      </c>
      <c r="B2124" s="5" t="s">
        <v>5488</v>
      </c>
      <c r="C2124" t="s">
        <v>3548</v>
      </c>
      <c r="D2124" t="s">
        <v>3782</v>
      </c>
      <c r="E2124" t="s">
        <v>4363</v>
      </c>
      <c r="F2124" t="s">
        <v>4390</v>
      </c>
      <c r="G2124" t="s">
        <v>3826</v>
      </c>
      <c r="I2124" t="s">
        <v>3448</v>
      </c>
      <c r="J2124" t="s">
        <v>3783</v>
      </c>
      <c r="K2124" t="s">
        <v>4363</v>
      </c>
      <c r="L2124">
        <v>32</v>
      </c>
      <c r="M2124">
        <v>6</v>
      </c>
      <c r="N2124" t="s">
        <v>4391</v>
      </c>
      <c r="O2124" t="s">
        <v>3827</v>
      </c>
      <c r="P2124">
        <v>4</v>
      </c>
      <c r="Q2124">
        <v>2</v>
      </c>
      <c r="S2124">
        <v>146</v>
      </c>
      <c r="T2124">
        <v>146</v>
      </c>
      <c r="U2124">
        <v>146</v>
      </c>
    </row>
    <row r="2125" spans="1:21" x14ac:dyDescent="0.25">
      <c r="A2125" s="5" t="s">
        <v>5495</v>
      </c>
      <c r="B2125" s="5" t="s">
        <v>5496</v>
      </c>
      <c r="C2125" t="s">
        <v>3548</v>
      </c>
      <c r="D2125" t="s">
        <v>3782</v>
      </c>
      <c r="E2125" t="s">
        <v>4363</v>
      </c>
      <c r="F2125" t="s">
        <v>3584</v>
      </c>
      <c r="G2125" t="s">
        <v>3826</v>
      </c>
      <c r="I2125" t="s">
        <v>3448</v>
      </c>
      <c r="J2125" t="s">
        <v>3783</v>
      </c>
      <c r="K2125" t="s">
        <v>4363</v>
      </c>
      <c r="L2125">
        <v>32</v>
      </c>
      <c r="M2125">
        <v>6</v>
      </c>
      <c r="N2125" t="s">
        <v>3585</v>
      </c>
      <c r="O2125" t="s">
        <v>3827</v>
      </c>
      <c r="P2125">
        <v>4</v>
      </c>
      <c r="Q2125">
        <v>1</v>
      </c>
      <c r="S2125">
        <v>156</v>
      </c>
      <c r="T2125">
        <v>156</v>
      </c>
      <c r="U2125">
        <v>156</v>
      </c>
    </row>
    <row r="2126" spans="1:21" x14ac:dyDescent="0.25">
      <c r="A2126" s="5" t="s">
        <v>5509</v>
      </c>
      <c r="B2126" s="5" t="s">
        <v>5510</v>
      </c>
      <c r="C2126" t="s">
        <v>3548</v>
      </c>
      <c r="D2126" t="s">
        <v>3782</v>
      </c>
      <c r="E2126" t="s">
        <v>4363</v>
      </c>
      <c r="F2126" t="s">
        <v>3584</v>
      </c>
      <c r="G2126" t="s">
        <v>3826</v>
      </c>
      <c r="I2126" t="s">
        <v>3448</v>
      </c>
      <c r="J2126" t="s">
        <v>3783</v>
      </c>
      <c r="K2126" t="s">
        <v>4363</v>
      </c>
      <c r="L2126">
        <v>32</v>
      </c>
      <c r="M2126">
        <v>8</v>
      </c>
      <c r="N2126" t="s">
        <v>3585</v>
      </c>
      <c r="O2126" t="s">
        <v>3827</v>
      </c>
      <c r="P2126">
        <v>4</v>
      </c>
      <c r="Q2126">
        <v>2</v>
      </c>
      <c r="S2126">
        <v>204</v>
      </c>
      <c r="T2126">
        <v>204</v>
      </c>
      <c r="U2126">
        <v>204</v>
      </c>
    </row>
    <row r="2127" spans="1:21" x14ac:dyDescent="0.25">
      <c r="A2127" s="5" t="s">
        <v>5525</v>
      </c>
      <c r="B2127" s="5" t="s">
        <v>5526</v>
      </c>
      <c r="C2127" t="s">
        <v>3548</v>
      </c>
      <c r="D2127" t="s">
        <v>3782</v>
      </c>
      <c r="E2127" t="s">
        <v>4363</v>
      </c>
      <c r="F2127" t="s">
        <v>3584</v>
      </c>
      <c r="G2127" t="s">
        <v>3826</v>
      </c>
      <c r="I2127" t="s">
        <v>3448</v>
      </c>
      <c r="J2127" t="s">
        <v>3783</v>
      </c>
      <c r="K2127" t="s">
        <v>4363</v>
      </c>
      <c r="L2127">
        <v>40</v>
      </c>
      <c r="M2127">
        <v>2</v>
      </c>
      <c r="N2127" t="s">
        <v>3585</v>
      </c>
      <c r="O2127" t="s">
        <v>3827</v>
      </c>
      <c r="P2127">
        <v>5</v>
      </c>
      <c r="Q2127">
        <v>1</v>
      </c>
      <c r="S2127">
        <v>73</v>
      </c>
      <c r="T2127">
        <v>73</v>
      </c>
      <c r="U2127">
        <v>73</v>
      </c>
    </row>
    <row r="2128" spans="1:21" x14ac:dyDescent="0.25">
      <c r="A2128" s="5" t="s">
        <v>5531</v>
      </c>
      <c r="B2128" s="5" t="s">
        <v>5532</v>
      </c>
      <c r="C2128" t="s">
        <v>3548</v>
      </c>
      <c r="D2128" t="s">
        <v>3782</v>
      </c>
      <c r="E2128" t="s">
        <v>4363</v>
      </c>
      <c r="F2128" t="s">
        <v>4390</v>
      </c>
      <c r="G2128" t="s">
        <v>3826</v>
      </c>
      <c r="I2128" t="s">
        <v>3448</v>
      </c>
      <c r="J2128" t="s">
        <v>3783</v>
      </c>
      <c r="K2128" t="s">
        <v>4363</v>
      </c>
      <c r="L2128">
        <v>40</v>
      </c>
      <c r="M2128">
        <v>2</v>
      </c>
      <c r="N2128" t="s">
        <v>4391</v>
      </c>
      <c r="O2128" t="s">
        <v>3827</v>
      </c>
      <c r="P2128">
        <v>5</v>
      </c>
      <c r="Q2128">
        <v>1</v>
      </c>
      <c r="S2128">
        <v>68</v>
      </c>
      <c r="T2128">
        <v>68</v>
      </c>
      <c r="U2128">
        <v>68</v>
      </c>
    </row>
    <row r="2129" spans="1:21" x14ac:dyDescent="0.25">
      <c r="A2129" s="5" t="s">
        <v>5537</v>
      </c>
      <c r="B2129" s="5" t="s">
        <v>5538</v>
      </c>
      <c r="C2129" t="s">
        <v>3548</v>
      </c>
      <c r="D2129" t="s">
        <v>3782</v>
      </c>
      <c r="E2129" t="s">
        <v>4363</v>
      </c>
      <c r="F2129" t="s">
        <v>3584</v>
      </c>
      <c r="G2129" t="s">
        <v>3826</v>
      </c>
      <c r="I2129" t="s">
        <v>3448</v>
      </c>
      <c r="J2129" t="s">
        <v>3783</v>
      </c>
      <c r="K2129" t="s">
        <v>4363</v>
      </c>
      <c r="L2129">
        <v>40</v>
      </c>
      <c r="M2129">
        <v>3</v>
      </c>
      <c r="N2129" t="s">
        <v>3585</v>
      </c>
      <c r="O2129" t="s">
        <v>3827</v>
      </c>
      <c r="P2129">
        <v>5</v>
      </c>
      <c r="Q2129">
        <v>1</v>
      </c>
      <c r="S2129">
        <v>100</v>
      </c>
      <c r="T2129">
        <v>100</v>
      </c>
      <c r="U2129">
        <v>100</v>
      </c>
    </row>
    <row r="2130" spans="1:21" x14ac:dyDescent="0.25">
      <c r="A2130" s="5" t="s">
        <v>5557</v>
      </c>
      <c r="B2130" s="5" t="s">
        <v>5558</v>
      </c>
      <c r="C2130" t="s">
        <v>3548</v>
      </c>
      <c r="D2130" t="s">
        <v>3782</v>
      </c>
      <c r="E2130" t="s">
        <v>4363</v>
      </c>
      <c r="F2130" t="s">
        <v>3584</v>
      </c>
      <c r="G2130" t="s">
        <v>3826</v>
      </c>
      <c r="I2130" t="s">
        <v>3448</v>
      </c>
      <c r="J2130" t="s">
        <v>3783</v>
      </c>
      <c r="K2130" t="s">
        <v>4363</v>
      </c>
      <c r="L2130">
        <v>40</v>
      </c>
      <c r="M2130">
        <v>1</v>
      </c>
      <c r="N2130" t="s">
        <v>3585</v>
      </c>
      <c r="O2130" t="s">
        <v>3827</v>
      </c>
      <c r="P2130">
        <v>5</v>
      </c>
      <c r="Q2130">
        <v>1</v>
      </c>
      <c r="S2130">
        <v>43</v>
      </c>
      <c r="T2130">
        <v>43</v>
      </c>
      <c r="U2130">
        <v>43</v>
      </c>
    </row>
    <row r="2131" spans="1:21" x14ac:dyDescent="0.25">
      <c r="A2131" s="5" t="s">
        <v>5571</v>
      </c>
      <c r="B2131" s="5" t="s">
        <v>5572</v>
      </c>
      <c r="C2131" t="s">
        <v>3548</v>
      </c>
      <c r="D2131" t="s">
        <v>3782</v>
      </c>
      <c r="E2131" t="s">
        <v>4363</v>
      </c>
      <c r="F2131" t="s">
        <v>3584</v>
      </c>
      <c r="G2131" t="s">
        <v>3826</v>
      </c>
      <c r="I2131" t="s">
        <v>3448</v>
      </c>
      <c r="J2131" t="s">
        <v>3783</v>
      </c>
      <c r="K2131" t="s">
        <v>4363</v>
      </c>
      <c r="L2131">
        <v>59</v>
      </c>
      <c r="M2131">
        <v>2</v>
      </c>
      <c r="N2131" t="s">
        <v>3585</v>
      </c>
      <c r="O2131" t="s">
        <v>3827</v>
      </c>
      <c r="P2131">
        <v>8</v>
      </c>
      <c r="Q2131">
        <v>1</v>
      </c>
      <c r="S2131">
        <v>98</v>
      </c>
      <c r="T2131">
        <v>98</v>
      </c>
      <c r="U2131">
        <v>98</v>
      </c>
    </row>
    <row r="2132" spans="1:21" x14ac:dyDescent="0.25">
      <c r="A2132" s="5" t="s">
        <v>5599</v>
      </c>
      <c r="B2132" s="5" t="s">
        <v>5600</v>
      </c>
      <c r="C2132" t="s">
        <v>3548</v>
      </c>
      <c r="D2132" t="s">
        <v>3782</v>
      </c>
      <c r="E2132" t="s">
        <v>4363</v>
      </c>
      <c r="F2132" t="s">
        <v>3584</v>
      </c>
      <c r="G2132" t="s">
        <v>3826</v>
      </c>
      <c r="I2132" t="s">
        <v>3448</v>
      </c>
      <c r="J2132" t="s">
        <v>3783</v>
      </c>
      <c r="K2132" t="s">
        <v>4363</v>
      </c>
      <c r="L2132">
        <v>59</v>
      </c>
      <c r="M2132">
        <v>1</v>
      </c>
      <c r="N2132" t="s">
        <v>3585</v>
      </c>
      <c r="O2132" t="s">
        <v>3827</v>
      </c>
      <c r="P2132">
        <v>8</v>
      </c>
      <c r="Q2132">
        <v>1</v>
      </c>
      <c r="S2132">
        <v>57</v>
      </c>
      <c r="T2132">
        <v>57</v>
      </c>
      <c r="U2132">
        <v>57</v>
      </c>
    </row>
    <row r="2133" spans="1:21" x14ac:dyDescent="0.25">
      <c r="A2133" s="5" t="s">
        <v>5847</v>
      </c>
      <c r="B2133" s="5" t="s">
        <v>5848</v>
      </c>
      <c r="C2133" t="s">
        <v>3548</v>
      </c>
      <c r="D2133" t="s">
        <v>5817</v>
      </c>
      <c r="E2133" t="s">
        <v>4363</v>
      </c>
      <c r="F2133" t="s">
        <v>3584</v>
      </c>
      <c r="G2133" t="s">
        <v>3826</v>
      </c>
      <c r="I2133" t="s">
        <v>3448</v>
      </c>
      <c r="J2133" t="s">
        <v>5818</v>
      </c>
      <c r="K2133" t="s">
        <v>4363</v>
      </c>
      <c r="L2133">
        <v>17</v>
      </c>
      <c r="M2133">
        <v>1</v>
      </c>
      <c r="N2133" t="s">
        <v>3585</v>
      </c>
      <c r="O2133" t="s">
        <v>3827</v>
      </c>
      <c r="P2133">
        <v>1</v>
      </c>
      <c r="Q2133">
        <v>1</v>
      </c>
      <c r="S2133">
        <v>14</v>
      </c>
      <c r="T2133">
        <v>14</v>
      </c>
      <c r="U2133">
        <v>14</v>
      </c>
    </row>
    <row r="2134" spans="1:21" x14ac:dyDescent="0.25">
      <c r="A2134" s="5" t="s">
        <v>5855</v>
      </c>
      <c r="B2134" s="5" t="s">
        <v>5856</v>
      </c>
      <c r="C2134" t="s">
        <v>3548</v>
      </c>
      <c r="D2134" t="s">
        <v>5817</v>
      </c>
      <c r="E2134" t="s">
        <v>4363</v>
      </c>
      <c r="F2134" t="s">
        <v>4390</v>
      </c>
      <c r="G2134" t="s">
        <v>3826</v>
      </c>
      <c r="I2134" t="s">
        <v>3448</v>
      </c>
      <c r="J2134" t="s">
        <v>5818</v>
      </c>
      <c r="K2134" t="s">
        <v>4363</v>
      </c>
      <c r="L2134">
        <v>17</v>
      </c>
      <c r="M2134">
        <v>1</v>
      </c>
      <c r="N2134" t="s">
        <v>4406</v>
      </c>
      <c r="O2134" t="s">
        <v>3827</v>
      </c>
      <c r="P2134">
        <v>1</v>
      </c>
      <c r="Q2134">
        <v>1</v>
      </c>
      <c r="S2134">
        <v>14</v>
      </c>
      <c r="T2134">
        <v>14</v>
      </c>
      <c r="U2134">
        <v>14</v>
      </c>
    </row>
    <row r="2135" spans="1:21" x14ac:dyDescent="0.25">
      <c r="A2135" s="5" t="s">
        <v>5867</v>
      </c>
      <c r="B2135" s="5" t="s">
        <v>5868</v>
      </c>
      <c r="C2135" t="s">
        <v>3548</v>
      </c>
      <c r="D2135" t="s">
        <v>5817</v>
      </c>
      <c r="E2135" t="s">
        <v>4363</v>
      </c>
      <c r="F2135" t="s">
        <v>3584</v>
      </c>
      <c r="G2135" t="s">
        <v>3826</v>
      </c>
      <c r="I2135" t="s">
        <v>3448</v>
      </c>
      <c r="J2135" t="s">
        <v>5818</v>
      </c>
      <c r="K2135" t="s">
        <v>4363</v>
      </c>
      <c r="L2135">
        <v>17</v>
      </c>
      <c r="M2135">
        <v>2</v>
      </c>
      <c r="N2135" t="s">
        <v>3585</v>
      </c>
      <c r="O2135" t="s">
        <v>3827</v>
      </c>
      <c r="P2135">
        <v>1</v>
      </c>
      <c r="Q2135">
        <v>1</v>
      </c>
      <c r="S2135">
        <v>27</v>
      </c>
      <c r="T2135">
        <v>27</v>
      </c>
      <c r="U2135">
        <v>27</v>
      </c>
    </row>
    <row r="2136" spans="1:21" x14ac:dyDescent="0.25">
      <c r="A2136" s="5" t="s">
        <v>5873</v>
      </c>
      <c r="B2136" s="5" t="s">
        <v>5874</v>
      </c>
      <c r="C2136" t="s">
        <v>3548</v>
      </c>
      <c r="D2136" t="s">
        <v>5817</v>
      </c>
      <c r="E2136" t="s">
        <v>4363</v>
      </c>
      <c r="F2136" t="s">
        <v>4390</v>
      </c>
      <c r="G2136" t="s">
        <v>3826</v>
      </c>
      <c r="I2136" t="s">
        <v>3448</v>
      </c>
      <c r="J2136" t="s">
        <v>5818</v>
      </c>
      <c r="K2136" t="s">
        <v>4363</v>
      </c>
      <c r="L2136">
        <v>17</v>
      </c>
      <c r="M2136">
        <v>2</v>
      </c>
      <c r="N2136" t="s">
        <v>4406</v>
      </c>
      <c r="O2136" t="s">
        <v>3827</v>
      </c>
      <c r="P2136">
        <v>1</v>
      </c>
      <c r="Q2136">
        <v>1</v>
      </c>
      <c r="S2136">
        <v>27</v>
      </c>
      <c r="T2136">
        <v>27</v>
      </c>
      <c r="U2136">
        <v>27</v>
      </c>
    </row>
    <row r="2137" spans="1:21" x14ac:dyDescent="0.25">
      <c r="A2137" s="5" t="s">
        <v>5881</v>
      </c>
      <c r="B2137" s="5" t="s">
        <v>5882</v>
      </c>
      <c r="C2137" t="s">
        <v>3548</v>
      </c>
      <c r="D2137" t="s">
        <v>5817</v>
      </c>
      <c r="E2137" t="s">
        <v>4363</v>
      </c>
      <c r="F2137" t="s">
        <v>3584</v>
      </c>
      <c r="G2137" t="s">
        <v>3826</v>
      </c>
      <c r="I2137" t="s">
        <v>3448</v>
      </c>
      <c r="J2137" t="s">
        <v>5818</v>
      </c>
      <c r="K2137" t="s">
        <v>4363</v>
      </c>
      <c r="L2137">
        <v>17</v>
      </c>
      <c r="M2137">
        <v>3</v>
      </c>
      <c r="N2137" t="s">
        <v>3585</v>
      </c>
      <c r="O2137" t="s">
        <v>3827</v>
      </c>
      <c r="P2137">
        <v>1</v>
      </c>
      <c r="Q2137">
        <v>1</v>
      </c>
      <c r="S2137">
        <v>42</v>
      </c>
      <c r="T2137">
        <v>42</v>
      </c>
      <c r="U2137">
        <v>42</v>
      </c>
    </row>
    <row r="2138" spans="1:21" x14ac:dyDescent="0.25">
      <c r="A2138" s="5" t="s">
        <v>5885</v>
      </c>
      <c r="B2138" s="5" t="s">
        <v>5886</v>
      </c>
      <c r="C2138" t="s">
        <v>3548</v>
      </c>
      <c r="D2138" t="s">
        <v>5817</v>
      </c>
      <c r="E2138" t="s">
        <v>4363</v>
      </c>
      <c r="F2138" t="s">
        <v>4390</v>
      </c>
      <c r="G2138" t="s">
        <v>3826</v>
      </c>
      <c r="I2138" t="s">
        <v>3448</v>
      </c>
      <c r="J2138" t="s">
        <v>5818</v>
      </c>
      <c r="K2138" t="s">
        <v>4363</v>
      </c>
      <c r="L2138">
        <v>17</v>
      </c>
      <c r="M2138">
        <v>3</v>
      </c>
      <c r="N2138" t="s">
        <v>4391</v>
      </c>
      <c r="O2138" t="s">
        <v>3827</v>
      </c>
      <c r="P2138">
        <v>1</v>
      </c>
      <c r="Q2138">
        <v>1</v>
      </c>
      <c r="S2138">
        <v>41</v>
      </c>
      <c r="T2138">
        <v>41</v>
      </c>
      <c r="U2138">
        <v>41</v>
      </c>
    </row>
    <row r="2139" spans="1:21" x14ac:dyDescent="0.25">
      <c r="A2139" s="5" t="s">
        <v>5895</v>
      </c>
      <c r="B2139" s="5" t="s">
        <v>5896</v>
      </c>
      <c r="C2139" t="s">
        <v>3548</v>
      </c>
      <c r="D2139" t="s">
        <v>5817</v>
      </c>
      <c r="E2139" t="s">
        <v>4363</v>
      </c>
      <c r="F2139" t="s">
        <v>3584</v>
      </c>
      <c r="G2139" t="s">
        <v>3826</v>
      </c>
      <c r="I2139" t="s">
        <v>3448</v>
      </c>
      <c r="J2139" t="s">
        <v>5818</v>
      </c>
      <c r="K2139" t="s">
        <v>4363</v>
      </c>
      <c r="L2139">
        <v>17</v>
      </c>
      <c r="M2139">
        <v>4</v>
      </c>
      <c r="N2139" t="s">
        <v>3585</v>
      </c>
      <c r="O2139" t="s">
        <v>3827</v>
      </c>
      <c r="P2139">
        <v>1</v>
      </c>
      <c r="Q2139">
        <v>1</v>
      </c>
      <c r="S2139">
        <v>56</v>
      </c>
      <c r="T2139">
        <v>56</v>
      </c>
      <c r="U2139">
        <v>56</v>
      </c>
    </row>
    <row r="2140" spans="1:21" x14ac:dyDescent="0.25">
      <c r="A2140" s="5" t="s">
        <v>5901</v>
      </c>
      <c r="B2140" s="5" t="s">
        <v>5902</v>
      </c>
      <c r="C2140" t="s">
        <v>3548</v>
      </c>
      <c r="D2140" t="s">
        <v>5817</v>
      </c>
      <c r="E2140" t="s">
        <v>4363</v>
      </c>
      <c r="F2140" t="s">
        <v>4390</v>
      </c>
      <c r="G2140" t="s">
        <v>3826</v>
      </c>
      <c r="I2140" t="s">
        <v>3448</v>
      </c>
      <c r="J2140" t="s">
        <v>5818</v>
      </c>
      <c r="K2140" t="s">
        <v>4363</v>
      </c>
      <c r="L2140">
        <v>17</v>
      </c>
      <c r="M2140">
        <v>4</v>
      </c>
      <c r="N2140" t="s">
        <v>4391</v>
      </c>
      <c r="O2140" t="s">
        <v>3827</v>
      </c>
      <c r="P2140">
        <v>1</v>
      </c>
      <c r="Q2140">
        <v>1</v>
      </c>
      <c r="S2140">
        <v>54</v>
      </c>
      <c r="T2140">
        <v>54</v>
      </c>
      <c r="U2140">
        <v>54</v>
      </c>
    </row>
    <row r="2141" spans="1:21" x14ac:dyDescent="0.25">
      <c r="A2141" s="5" t="s">
        <v>5915</v>
      </c>
      <c r="B2141" s="5" t="s">
        <v>5916</v>
      </c>
      <c r="C2141" t="s">
        <v>3548</v>
      </c>
      <c r="D2141" t="s">
        <v>5817</v>
      </c>
      <c r="E2141" t="s">
        <v>4363</v>
      </c>
      <c r="F2141" t="s">
        <v>3584</v>
      </c>
      <c r="G2141" t="s">
        <v>3826</v>
      </c>
      <c r="I2141" t="s">
        <v>3448</v>
      </c>
      <c r="J2141" t="s">
        <v>5818</v>
      </c>
      <c r="K2141" t="s">
        <v>4363</v>
      </c>
      <c r="L2141">
        <v>25</v>
      </c>
      <c r="M2141">
        <v>1</v>
      </c>
      <c r="N2141" t="s">
        <v>3585</v>
      </c>
      <c r="O2141" t="s">
        <v>3827</v>
      </c>
      <c r="P2141">
        <v>1.5</v>
      </c>
      <c r="Q2141">
        <v>1</v>
      </c>
      <c r="S2141">
        <v>20</v>
      </c>
      <c r="T2141">
        <v>20</v>
      </c>
      <c r="U2141">
        <v>20</v>
      </c>
    </row>
    <row r="2142" spans="1:21" x14ac:dyDescent="0.25">
      <c r="A2142" s="5" t="s">
        <v>5921</v>
      </c>
      <c r="B2142" s="5" t="s">
        <v>5922</v>
      </c>
      <c r="C2142" t="s">
        <v>3548</v>
      </c>
      <c r="D2142" t="s">
        <v>5817</v>
      </c>
      <c r="E2142" t="s">
        <v>4363</v>
      </c>
      <c r="F2142" t="s">
        <v>4390</v>
      </c>
      <c r="G2142" t="s">
        <v>3826</v>
      </c>
      <c r="I2142" t="s">
        <v>3448</v>
      </c>
      <c r="J2142" t="s">
        <v>5818</v>
      </c>
      <c r="K2142" t="s">
        <v>4363</v>
      </c>
      <c r="L2142">
        <v>25</v>
      </c>
      <c r="M2142">
        <v>1</v>
      </c>
      <c r="N2142" t="s">
        <v>4391</v>
      </c>
      <c r="O2142" t="s">
        <v>3827</v>
      </c>
      <c r="P2142">
        <v>1.5</v>
      </c>
      <c r="Q2142">
        <v>1</v>
      </c>
      <c r="S2142">
        <v>19</v>
      </c>
      <c r="T2142">
        <v>19</v>
      </c>
      <c r="U2142">
        <v>19</v>
      </c>
    </row>
    <row r="2143" spans="1:21" x14ac:dyDescent="0.25">
      <c r="A2143" s="5" t="s">
        <v>5935</v>
      </c>
      <c r="B2143" s="5" t="s">
        <v>5936</v>
      </c>
      <c r="C2143" t="s">
        <v>3548</v>
      </c>
      <c r="D2143" t="s">
        <v>5817</v>
      </c>
      <c r="E2143" t="s">
        <v>4363</v>
      </c>
      <c r="F2143" t="s">
        <v>3584</v>
      </c>
      <c r="G2143" t="s">
        <v>3826</v>
      </c>
      <c r="I2143" t="s">
        <v>3448</v>
      </c>
      <c r="J2143" t="s">
        <v>5818</v>
      </c>
      <c r="K2143" t="s">
        <v>4363</v>
      </c>
      <c r="L2143">
        <v>25</v>
      </c>
      <c r="M2143">
        <v>1</v>
      </c>
      <c r="N2143" t="s">
        <v>3585</v>
      </c>
      <c r="O2143" t="s">
        <v>3827</v>
      </c>
      <c r="P2143">
        <v>2</v>
      </c>
      <c r="Q2143">
        <v>1</v>
      </c>
      <c r="S2143">
        <v>21</v>
      </c>
      <c r="T2143">
        <v>21</v>
      </c>
      <c r="U2143">
        <v>21</v>
      </c>
    </row>
    <row r="2144" spans="1:21" x14ac:dyDescent="0.25">
      <c r="A2144" s="5" t="s">
        <v>5943</v>
      </c>
      <c r="B2144" s="5" t="s">
        <v>5944</v>
      </c>
      <c r="C2144" t="s">
        <v>3548</v>
      </c>
      <c r="D2144" t="s">
        <v>5817</v>
      </c>
      <c r="E2144" t="s">
        <v>4363</v>
      </c>
      <c r="F2144" t="s">
        <v>4390</v>
      </c>
      <c r="G2144" t="s">
        <v>3826</v>
      </c>
      <c r="I2144" t="s">
        <v>3448</v>
      </c>
      <c r="J2144" t="s">
        <v>5818</v>
      </c>
      <c r="K2144" t="s">
        <v>4363</v>
      </c>
      <c r="L2144">
        <v>25</v>
      </c>
      <c r="M2144">
        <v>1</v>
      </c>
      <c r="N2144" t="s">
        <v>4391</v>
      </c>
      <c r="O2144" t="s">
        <v>3827</v>
      </c>
      <c r="P2144">
        <v>2</v>
      </c>
      <c r="Q2144">
        <v>1</v>
      </c>
      <c r="S2144">
        <v>20</v>
      </c>
      <c r="T2144">
        <v>20</v>
      </c>
      <c r="U2144">
        <v>20</v>
      </c>
    </row>
    <row r="2145" spans="1:21" x14ac:dyDescent="0.25">
      <c r="A2145" s="5" t="s">
        <v>5949</v>
      </c>
      <c r="B2145" s="5" t="s">
        <v>5950</v>
      </c>
      <c r="C2145" t="s">
        <v>3548</v>
      </c>
      <c r="D2145" t="s">
        <v>5817</v>
      </c>
      <c r="E2145" t="s">
        <v>4363</v>
      </c>
      <c r="F2145" t="s">
        <v>3584</v>
      </c>
      <c r="G2145" t="s">
        <v>3826</v>
      </c>
      <c r="I2145" t="s">
        <v>3448</v>
      </c>
      <c r="J2145" t="s">
        <v>5818</v>
      </c>
      <c r="K2145" t="s">
        <v>4363</v>
      </c>
      <c r="L2145">
        <v>25</v>
      </c>
      <c r="M2145">
        <v>2</v>
      </c>
      <c r="N2145" t="s">
        <v>3585</v>
      </c>
      <c r="O2145" t="s">
        <v>3827</v>
      </c>
      <c r="P2145">
        <v>1.5</v>
      </c>
      <c r="Q2145">
        <v>1</v>
      </c>
      <c r="S2145">
        <v>39</v>
      </c>
      <c r="T2145">
        <v>39</v>
      </c>
      <c r="U2145">
        <v>39</v>
      </c>
    </row>
    <row r="2146" spans="1:21" x14ac:dyDescent="0.25">
      <c r="A2146" s="5" t="s">
        <v>5955</v>
      </c>
      <c r="B2146" s="5" t="s">
        <v>5956</v>
      </c>
      <c r="C2146" t="s">
        <v>3548</v>
      </c>
      <c r="D2146" t="s">
        <v>5817</v>
      </c>
      <c r="E2146" t="s">
        <v>4363</v>
      </c>
      <c r="F2146" t="s">
        <v>4390</v>
      </c>
      <c r="G2146" t="s">
        <v>3826</v>
      </c>
      <c r="I2146" t="s">
        <v>3448</v>
      </c>
      <c r="J2146" t="s">
        <v>5818</v>
      </c>
      <c r="K2146" t="s">
        <v>4363</v>
      </c>
      <c r="L2146">
        <v>25</v>
      </c>
      <c r="M2146">
        <v>2</v>
      </c>
      <c r="N2146" t="s">
        <v>4391</v>
      </c>
      <c r="O2146" t="s">
        <v>3827</v>
      </c>
      <c r="P2146">
        <v>1.5</v>
      </c>
      <c r="Q2146">
        <v>1</v>
      </c>
      <c r="S2146">
        <v>37</v>
      </c>
      <c r="T2146">
        <v>37</v>
      </c>
      <c r="U2146">
        <v>37</v>
      </c>
    </row>
    <row r="2147" spans="1:21" x14ac:dyDescent="0.25">
      <c r="A2147" s="5" t="s">
        <v>5971</v>
      </c>
      <c r="B2147" s="5" t="s">
        <v>5972</v>
      </c>
      <c r="C2147" t="s">
        <v>3548</v>
      </c>
      <c r="D2147" t="s">
        <v>5817</v>
      </c>
      <c r="E2147" t="s">
        <v>4363</v>
      </c>
      <c r="F2147" t="s">
        <v>3584</v>
      </c>
      <c r="G2147" t="s">
        <v>3826</v>
      </c>
      <c r="I2147" t="s">
        <v>3448</v>
      </c>
      <c r="J2147" t="s">
        <v>5818</v>
      </c>
      <c r="K2147" t="s">
        <v>4363</v>
      </c>
      <c r="L2147">
        <v>25</v>
      </c>
      <c r="M2147">
        <v>2</v>
      </c>
      <c r="N2147" t="s">
        <v>3585</v>
      </c>
      <c r="O2147" t="s">
        <v>3827</v>
      </c>
      <c r="P2147">
        <v>2</v>
      </c>
      <c r="Q2147">
        <v>1</v>
      </c>
      <c r="S2147">
        <v>38</v>
      </c>
      <c r="T2147">
        <v>38</v>
      </c>
      <c r="U2147">
        <v>38</v>
      </c>
    </row>
    <row r="2148" spans="1:21" x14ac:dyDescent="0.25">
      <c r="A2148" s="5" t="s">
        <v>5977</v>
      </c>
      <c r="B2148" s="5" t="s">
        <v>5978</v>
      </c>
      <c r="C2148" t="s">
        <v>3548</v>
      </c>
      <c r="D2148" t="s">
        <v>5817</v>
      </c>
      <c r="E2148" t="s">
        <v>4363</v>
      </c>
      <c r="F2148" t="s">
        <v>4390</v>
      </c>
      <c r="G2148" t="s">
        <v>3826</v>
      </c>
      <c r="I2148" t="s">
        <v>3448</v>
      </c>
      <c r="J2148" t="s">
        <v>5818</v>
      </c>
      <c r="K2148" t="s">
        <v>4363</v>
      </c>
      <c r="L2148">
        <v>25</v>
      </c>
      <c r="M2148">
        <v>2</v>
      </c>
      <c r="N2148" t="s">
        <v>4406</v>
      </c>
      <c r="O2148" t="s">
        <v>3827</v>
      </c>
      <c r="P2148">
        <v>2</v>
      </c>
      <c r="Q2148">
        <v>1</v>
      </c>
      <c r="S2148">
        <v>38</v>
      </c>
      <c r="T2148">
        <v>38</v>
      </c>
      <c r="U2148">
        <v>38</v>
      </c>
    </row>
    <row r="2149" spans="1:21" x14ac:dyDescent="0.25">
      <c r="A2149" s="5" t="s">
        <v>6013</v>
      </c>
      <c r="B2149" s="5" t="s">
        <v>6014</v>
      </c>
      <c r="C2149" t="s">
        <v>3548</v>
      </c>
      <c r="D2149" t="s">
        <v>5817</v>
      </c>
      <c r="E2149" t="s">
        <v>4363</v>
      </c>
      <c r="F2149" t="s">
        <v>3584</v>
      </c>
      <c r="G2149" t="s">
        <v>3826</v>
      </c>
      <c r="I2149" t="s">
        <v>3448</v>
      </c>
      <c r="J2149" t="s">
        <v>5818</v>
      </c>
      <c r="K2149" t="s">
        <v>4363</v>
      </c>
      <c r="L2149">
        <v>25</v>
      </c>
      <c r="M2149">
        <v>3</v>
      </c>
      <c r="N2149" t="s">
        <v>3585</v>
      </c>
      <c r="O2149" t="s">
        <v>3827</v>
      </c>
      <c r="P2149">
        <v>1.5</v>
      </c>
      <c r="Q2149">
        <v>1</v>
      </c>
      <c r="S2149">
        <v>61</v>
      </c>
      <c r="T2149">
        <v>61</v>
      </c>
      <c r="U2149">
        <v>61</v>
      </c>
    </row>
    <row r="2150" spans="1:21" x14ac:dyDescent="0.25">
      <c r="A2150" s="5" t="s">
        <v>6017</v>
      </c>
      <c r="B2150" s="5" t="s">
        <v>6018</v>
      </c>
      <c r="C2150" t="s">
        <v>3548</v>
      </c>
      <c r="D2150" t="s">
        <v>5817</v>
      </c>
      <c r="E2150" t="s">
        <v>4363</v>
      </c>
      <c r="F2150" t="s">
        <v>4390</v>
      </c>
      <c r="G2150" t="s">
        <v>3826</v>
      </c>
      <c r="I2150" t="s">
        <v>3448</v>
      </c>
      <c r="J2150" t="s">
        <v>5818</v>
      </c>
      <c r="K2150" t="s">
        <v>4363</v>
      </c>
      <c r="L2150">
        <v>25</v>
      </c>
      <c r="M2150">
        <v>3</v>
      </c>
      <c r="N2150" t="s">
        <v>4391</v>
      </c>
      <c r="O2150" t="s">
        <v>3827</v>
      </c>
      <c r="P2150">
        <v>1.5</v>
      </c>
      <c r="Q2150">
        <v>1</v>
      </c>
      <c r="S2150">
        <v>56</v>
      </c>
      <c r="T2150">
        <v>56</v>
      </c>
      <c r="U2150">
        <v>56</v>
      </c>
    </row>
    <row r="2151" spans="1:21" x14ac:dyDescent="0.25">
      <c r="A2151" s="5" t="s">
        <v>6031</v>
      </c>
      <c r="B2151" s="5" t="s">
        <v>6032</v>
      </c>
      <c r="C2151" t="s">
        <v>3548</v>
      </c>
      <c r="D2151" t="s">
        <v>5817</v>
      </c>
      <c r="E2151" t="s">
        <v>4363</v>
      </c>
      <c r="F2151" t="s">
        <v>3584</v>
      </c>
      <c r="G2151" t="s">
        <v>3826</v>
      </c>
      <c r="I2151" t="s">
        <v>3448</v>
      </c>
      <c r="J2151" t="s">
        <v>5818</v>
      </c>
      <c r="K2151" t="s">
        <v>4363</v>
      </c>
      <c r="L2151">
        <v>25</v>
      </c>
      <c r="M2151">
        <v>3</v>
      </c>
      <c r="N2151" t="s">
        <v>3585</v>
      </c>
      <c r="O2151" t="s">
        <v>3827</v>
      </c>
      <c r="P2151">
        <v>2</v>
      </c>
      <c r="Q2151">
        <v>1</v>
      </c>
      <c r="S2151">
        <v>57</v>
      </c>
      <c r="T2151">
        <v>57</v>
      </c>
      <c r="U2151">
        <v>57</v>
      </c>
    </row>
    <row r="2152" spans="1:21" x14ac:dyDescent="0.25">
      <c r="A2152" s="5" t="s">
        <v>6043</v>
      </c>
      <c r="B2152" s="5" t="s">
        <v>6044</v>
      </c>
      <c r="C2152" t="s">
        <v>3548</v>
      </c>
      <c r="D2152" t="s">
        <v>5817</v>
      </c>
      <c r="E2152" t="s">
        <v>4363</v>
      </c>
      <c r="F2152" t="s">
        <v>3584</v>
      </c>
      <c r="G2152" t="s">
        <v>3826</v>
      </c>
      <c r="I2152" t="s">
        <v>3448</v>
      </c>
      <c r="J2152" t="s">
        <v>5818</v>
      </c>
      <c r="K2152" t="s">
        <v>4363</v>
      </c>
      <c r="L2152">
        <v>25</v>
      </c>
      <c r="M2152">
        <v>4</v>
      </c>
      <c r="N2152" t="s">
        <v>3585</v>
      </c>
      <c r="O2152" t="s">
        <v>3827</v>
      </c>
      <c r="P2152">
        <v>1.5</v>
      </c>
      <c r="Q2152">
        <v>1</v>
      </c>
      <c r="S2152">
        <v>81</v>
      </c>
      <c r="T2152">
        <v>81</v>
      </c>
      <c r="U2152">
        <v>81</v>
      </c>
    </row>
    <row r="2153" spans="1:21" x14ac:dyDescent="0.25">
      <c r="A2153" s="5" t="s">
        <v>6049</v>
      </c>
      <c r="B2153" s="5" t="s">
        <v>6050</v>
      </c>
      <c r="C2153" t="s">
        <v>3548</v>
      </c>
      <c r="D2153" t="s">
        <v>5817</v>
      </c>
      <c r="E2153" t="s">
        <v>4363</v>
      </c>
      <c r="F2153" t="s">
        <v>4390</v>
      </c>
      <c r="G2153" t="s">
        <v>3826</v>
      </c>
      <c r="I2153" t="s">
        <v>3448</v>
      </c>
      <c r="J2153" t="s">
        <v>5818</v>
      </c>
      <c r="K2153" t="s">
        <v>4363</v>
      </c>
      <c r="L2153">
        <v>25</v>
      </c>
      <c r="M2153">
        <v>4</v>
      </c>
      <c r="N2153" t="s">
        <v>4391</v>
      </c>
      <c r="O2153" t="s">
        <v>3827</v>
      </c>
      <c r="P2153">
        <v>1.5</v>
      </c>
      <c r="Q2153">
        <v>1</v>
      </c>
      <c r="S2153">
        <v>76</v>
      </c>
      <c r="T2153">
        <v>76</v>
      </c>
      <c r="U2153">
        <v>76</v>
      </c>
    </row>
    <row r="2154" spans="1:21" x14ac:dyDescent="0.25">
      <c r="A2154" s="5" t="s">
        <v>6061</v>
      </c>
      <c r="B2154" s="5" t="s">
        <v>6062</v>
      </c>
      <c r="C2154" t="s">
        <v>3548</v>
      </c>
      <c r="D2154" t="s">
        <v>5817</v>
      </c>
      <c r="E2154" t="s">
        <v>4363</v>
      </c>
      <c r="F2154" t="s">
        <v>3584</v>
      </c>
      <c r="G2154" t="s">
        <v>3826</v>
      </c>
      <c r="I2154" t="s">
        <v>3448</v>
      </c>
      <c r="J2154" t="s">
        <v>5818</v>
      </c>
      <c r="K2154" t="s">
        <v>4363</v>
      </c>
      <c r="L2154">
        <v>25</v>
      </c>
      <c r="M2154">
        <v>4</v>
      </c>
      <c r="N2154" t="s">
        <v>3585</v>
      </c>
      <c r="O2154" t="s">
        <v>3827</v>
      </c>
      <c r="P2154">
        <v>2</v>
      </c>
      <c r="Q2154">
        <v>1</v>
      </c>
      <c r="S2154">
        <v>76</v>
      </c>
      <c r="T2154">
        <v>76</v>
      </c>
      <c r="U2154">
        <v>76</v>
      </c>
    </row>
    <row r="2155" spans="1:21" x14ac:dyDescent="0.25">
      <c r="A2155" s="5" t="s">
        <v>6073</v>
      </c>
      <c r="B2155" s="5" t="s">
        <v>6074</v>
      </c>
      <c r="C2155" t="s">
        <v>3548</v>
      </c>
      <c r="D2155" t="s">
        <v>5817</v>
      </c>
      <c r="E2155" t="s">
        <v>4363</v>
      </c>
      <c r="F2155" t="s">
        <v>3584</v>
      </c>
      <c r="G2155" t="s">
        <v>3826</v>
      </c>
      <c r="I2155" t="s">
        <v>3448</v>
      </c>
      <c r="J2155" t="s">
        <v>5818</v>
      </c>
      <c r="K2155" t="s">
        <v>4363</v>
      </c>
      <c r="L2155">
        <v>28</v>
      </c>
      <c r="M2155">
        <v>1</v>
      </c>
      <c r="N2155" t="s">
        <v>3585</v>
      </c>
      <c r="O2155" t="s">
        <v>3827</v>
      </c>
      <c r="P2155">
        <v>2</v>
      </c>
      <c r="Q2155">
        <v>1</v>
      </c>
      <c r="S2155">
        <v>22</v>
      </c>
      <c r="T2155">
        <v>22</v>
      </c>
      <c r="U2155">
        <v>22</v>
      </c>
    </row>
    <row r="2156" spans="1:21" x14ac:dyDescent="0.25">
      <c r="A2156" s="5" t="s">
        <v>6081</v>
      </c>
      <c r="B2156" s="5" t="s">
        <v>6082</v>
      </c>
      <c r="C2156" t="s">
        <v>3548</v>
      </c>
      <c r="D2156" t="s">
        <v>5817</v>
      </c>
      <c r="E2156" t="s">
        <v>4363</v>
      </c>
      <c r="F2156" t="s">
        <v>3584</v>
      </c>
      <c r="G2156" t="s">
        <v>3826</v>
      </c>
      <c r="I2156" t="s">
        <v>3448</v>
      </c>
      <c r="J2156" t="s">
        <v>5818</v>
      </c>
      <c r="K2156" t="s">
        <v>4363</v>
      </c>
      <c r="L2156">
        <v>28</v>
      </c>
      <c r="M2156">
        <v>2</v>
      </c>
      <c r="N2156" t="s">
        <v>3585</v>
      </c>
      <c r="O2156" t="s">
        <v>3827</v>
      </c>
      <c r="P2156">
        <v>2</v>
      </c>
      <c r="Q2156">
        <v>1</v>
      </c>
      <c r="S2156">
        <v>43</v>
      </c>
      <c r="T2156">
        <v>43</v>
      </c>
      <c r="U2156">
        <v>43</v>
      </c>
    </row>
    <row r="2157" spans="1:21" x14ac:dyDescent="0.25">
      <c r="A2157" s="5" t="s">
        <v>6107</v>
      </c>
      <c r="B2157" s="5" t="s">
        <v>6108</v>
      </c>
      <c r="C2157" t="s">
        <v>3548</v>
      </c>
      <c r="D2157" t="s">
        <v>5817</v>
      </c>
      <c r="E2157" t="s">
        <v>4363</v>
      </c>
      <c r="F2157" t="s">
        <v>3584</v>
      </c>
      <c r="G2157" t="s">
        <v>3826</v>
      </c>
      <c r="I2157" t="s">
        <v>3448</v>
      </c>
      <c r="J2157" t="s">
        <v>5818</v>
      </c>
      <c r="K2157" t="s">
        <v>4363</v>
      </c>
      <c r="L2157">
        <v>28</v>
      </c>
      <c r="M2157">
        <v>3</v>
      </c>
      <c r="N2157" t="s">
        <v>3585</v>
      </c>
      <c r="O2157" t="s">
        <v>3827</v>
      </c>
      <c r="P2157">
        <v>2</v>
      </c>
      <c r="Q2157">
        <v>1</v>
      </c>
      <c r="S2157">
        <v>64</v>
      </c>
      <c r="T2157">
        <v>64</v>
      </c>
      <c r="U2157">
        <v>64</v>
      </c>
    </row>
    <row r="2158" spans="1:21" x14ac:dyDescent="0.25">
      <c r="A2158" s="5" t="s">
        <v>6121</v>
      </c>
      <c r="B2158" s="5" t="s">
        <v>6122</v>
      </c>
      <c r="C2158" t="s">
        <v>3548</v>
      </c>
      <c r="D2158" t="s">
        <v>5817</v>
      </c>
      <c r="E2158" t="s">
        <v>4363</v>
      </c>
      <c r="F2158" t="s">
        <v>3584</v>
      </c>
      <c r="G2158" t="s">
        <v>3826</v>
      </c>
      <c r="I2158" t="s">
        <v>3448</v>
      </c>
      <c r="J2158" t="s">
        <v>5818</v>
      </c>
      <c r="K2158" t="s">
        <v>4363</v>
      </c>
      <c r="L2158">
        <v>28</v>
      </c>
      <c r="M2158">
        <v>4</v>
      </c>
      <c r="N2158" t="s">
        <v>3585</v>
      </c>
      <c r="O2158" t="s">
        <v>3827</v>
      </c>
      <c r="P2158">
        <v>2</v>
      </c>
      <c r="Q2158">
        <v>1</v>
      </c>
      <c r="S2158">
        <v>84</v>
      </c>
      <c r="T2158">
        <v>84</v>
      </c>
      <c r="U2158">
        <v>84</v>
      </c>
    </row>
    <row r="2159" spans="1:21" x14ac:dyDescent="0.25">
      <c r="A2159" s="5" t="s">
        <v>6135</v>
      </c>
      <c r="B2159" s="5" t="s">
        <v>6136</v>
      </c>
      <c r="C2159" t="s">
        <v>3548</v>
      </c>
      <c r="D2159" t="s">
        <v>5817</v>
      </c>
      <c r="E2159" t="s">
        <v>4363</v>
      </c>
      <c r="F2159" t="s">
        <v>3584</v>
      </c>
      <c r="G2159" t="s">
        <v>3826</v>
      </c>
      <c r="I2159" t="s">
        <v>3448</v>
      </c>
      <c r="J2159" t="s">
        <v>5818</v>
      </c>
      <c r="K2159" t="s">
        <v>4363</v>
      </c>
      <c r="L2159">
        <v>30</v>
      </c>
      <c r="M2159">
        <v>1</v>
      </c>
      <c r="N2159" t="s">
        <v>3585</v>
      </c>
      <c r="O2159" t="s">
        <v>3827</v>
      </c>
      <c r="P2159">
        <v>2</v>
      </c>
      <c r="Q2159">
        <v>1</v>
      </c>
      <c r="S2159">
        <v>21</v>
      </c>
      <c r="T2159">
        <v>21</v>
      </c>
      <c r="U2159">
        <v>21</v>
      </c>
    </row>
    <row r="2160" spans="1:21" x14ac:dyDescent="0.25">
      <c r="A2160" s="5" t="s">
        <v>6141</v>
      </c>
      <c r="B2160" s="5" t="s">
        <v>6142</v>
      </c>
      <c r="C2160" t="s">
        <v>3548</v>
      </c>
      <c r="D2160" t="s">
        <v>5817</v>
      </c>
      <c r="E2160" t="s">
        <v>4363</v>
      </c>
      <c r="F2160" t="s">
        <v>3584</v>
      </c>
      <c r="G2160" t="s">
        <v>3826</v>
      </c>
      <c r="I2160" t="s">
        <v>3448</v>
      </c>
      <c r="J2160" t="s">
        <v>5818</v>
      </c>
      <c r="K2160" t="s">
        <v>4363</v>
      </c>
      <c r="L2160">
        <v>30</v>
      </c>
      <c r="M2160">
        <v>2</v>
      </c>
      <c r="N2160" t="s">
        <v>3585</v>
      </c>
      <c r="O2160" t="s">
        <v>3827</v>
      </c>
      <c r="P2160">
        <v>2</v>
      </c>
      <c r="Q2160">
        <v>1</v>
      </c>
      <c r="S2160">
        <v>43</v>
      </c>
      <c r="T2160">
        <v>43</v>
      </c>
      <c r="U2160">
        <v>43</v>
      </c>
    </row>
    <row r="2161" spans="1:21" x14ac:dyDescent="0.25">
      <c r="A2161" s="5" t="s">
        <v>6155</v>
      </c>
      <c r="B2161" s="5" t="s">
        <v>6156</v>
      </c>
      <c r="C2161" t="s">
        <v>3548</v>
      </c>
      <c r="D2161" t="s">
        <v>5817</v>
      </c>
      <c r="E2161" t="s">
        <v>4363</v>
      </c>
      <c r="F2161" t="s">
        <v>3584</v>
      </c>
      <c r="G2161" t="s">
        <v>3826</v>
      </c>
      <c r="I2161" t="s">
        <v>3448</v>
      </c>
      <c r="J2161" t="s">
        <v>5818</v>
      </c>
      <c r="K2161" t="s">
        <v>4363</v>
      </c>
      <c r="L2161">
        <v>30</v>
      </c>
      <c r="M2161">
        <v>4</v>
      </c>
      <c r="N2161" t="s">
        <v>3585</v>
      </c>
      <c r="O2161" t="s">
        <v>3827</v>
      </c>
      <c r="P2161">
        <v>2</v>
      </c>
      <c r="Q2161">
        <v>1</v>
      </c>
      <c r="S2161">
        <v>84</v>
      </c>
      <c r="T2161">
        <v>84</v>
      </c>
      <c r="U2161">
        <v>84</v>
      </c>
    </row>
    <row r="2162" spans="1:21" x14ac:dyDescent="0.25">
      <c r="A2162" s="5" t="s">
        <v>6161</v>
      </c>
      <c r="B2162" s="5" t="s">
        <v>6162</v>
      </c>
      <c r="C2162" t="s">
        <v>3548</v>
      </c>
      <c r="D2162" t="s">
        <v>5817</v>
      </c>
      <c r="E2162" t="s">
        <v>4363</v>
      </c>
      <c r="F2162" t="s">
        <v>3584</v>
      </c>
      <c r="G2162" t="s">
        <v>3826</v>
      </c>
      <c r="I2162" t="s">
        <v>3448</v>
      </c>
      <c r="J2162" t="s">
        <v>5818</v>
      </c>
      <c r="K2162" t="s">
        <v>4363</v>
      </c>
      <c r="L2162">
        <v>31</v>
      </c>
      <c r="M2162">
        <v>1</v>
      </c>
      <c r="N2162" t="s">
        <v>3585</v>
      </c>
      <c r="O2162" t="s">
        <v>3827</v>
      </c>
      <c r="P2162">
        <v>2</v>
      </c>
      <c r="Q2162">
        <v>1</v>
      </c>
      <c r="S2162">
        <v>27</v>
      </c>
      <c r="T2162">
        <v>27</v>
      </c>
      <c r="U2162">
        <v>27</v>
      </c>
    </row>
    <row r="2163" spans="1:21" x14ac:dyDescent="0.25">
      <c r="A2163" s="5" t="s">
        <v>6163</v>
      </c>
      <c r="B2163" s="5" t="s">
        <v>6164</v>
      </c>
      <c r="C2163" t="s">
        <v>3548</v>
      </c>
      <c r="D2163" t="s">
        <v>5817</v>
      </c>
      <c r="E2163" t="s">
        <v>4363</v>
      </c>
      <c r="F2163" t="s">
        <v>3584</v>
      </c>
      <c r="G2163" t="s">
        <v>3826</v>
      </c>
      <c r="I2163" t="s">
        <v>3448</v>
      </c>
      <c r="J2163" t="s">
        <v>5818</v>
      </c>
      <c r="K2163" t="s">
        <v>4363</v>
      </c>
      <c r="L2163">
        <v>31</v>
      </c>
      <c r="M2163">
        <v>2</v>
      </c>
      <c r="N2163" t="s">
        <v>3585</v>
      </c>
      <c r="O2163" t="s">
        <v>3827</v>
      </c>
      <c r="P2163">
        <v>2</v>
      </c>
      <c r="Q2163">
        <v>1</v>
      </c>
      <c r="S2163">
        <v>54</v>
      </c>
      <c r="T2163">
        <v>54</v>
      </c>
      <c r="U2163">
        <v>54</v>
      </c>
    </row>
    <row r="2164" spans="1:21" x14ac:dyDescent="0.25">
      <c r="A2164" s="5" t="s">
        <v>6169</v>
      </c>
      <c r="B2164" s="5" t="s">
        <v>6170</v>
      </c>
      <c r="C2164" t="s">
        <v>3548</v>
      </c>
      <c r="D2164" t="s">
        <v>5817</v>
      </c>
      <c r="E2164" t="s">
        <v>4363</v>
      </c>
      <c r="F2164" t="s">
        <v>3584</v>
      </c>
      <c r="G2164" t="s">
        <v>3826</v>
      </c>
      <c r="I2164" t="s">
        <v>3448</v>
      </c>
      <c r="J2164" t="s">
        <v>5818</v>
      </c>
      <c r="K2164" t="s">
        <v>4363</v>
      </c>
      <c r="L2164">
        <v>32</v>
      </c>
      <c r="M2164">
        <v>1</v>
      </c>
      <c r="N2164" t="s">
        <v>3585</v>
      </c>
      <c r="O2164" t="s">
        <v>3827</v>
      </c>
      <c r="P2164">
        <v>2</v>
      </c>
      <c r="Q2164">
        <v>1</v>
      </c>
      <c r="S2164">
        <v>25</v>
      </c>
      <c r="T2164">
        <v>25</v>
      </c>
      <c r="U2164">
        <v>25</v>
      </c>
    </row>
    <row r="2165" spans="1:21" x14ac:dyDescent="0.25">
      <c r="A2165" s="5" t="s">
        <v>6177</v>
      </c>
      <c r="B2165" s="5" t="s">
        <v>6178</v>
      </c>
      <c r="C2165" t="s">
        <v>3548</v>
      </c>
      <c r="D2165" t="s">
        <v>5817</v>
      </c>
      <c r="E2165" t="s">
        <v>4363</v>
      </c>
      <c r="F2165" t="s">
        <v>4390</v>
      </c>
      <c r="G2165" t="s">
        <v>3826</v>
      </c>
      <c r="I2165" t="s">
        <v>3448</v>
      </c>
      <c r="J2165" t="s">
        <v>5818</v>
      </c>
      <c r="K2165" t="s">
        <v>4363</v>
      </c>
      <c r="L2165">
        <v>32</v>
      </c>
      <c r="M2165">
        <v>1</v>
      </c>
      <c r="N2165" t="s">
        <v>4406</v>
      </c>
      <c r="O2165" t="s">
        <v>3827</v>
      </c>
      <c r="P2165">
        <v>2</v>
      </c>
      <c r="Q2165">
        <v>1</v>
      </c>
      <c r="S2165">
        <v>25</v>
      </c>
      <c r="T2165">
        <v>25</v>
      </c>
      <c r="U2165">
        <v>25</v>
      </c>
    </row>
    <row r="2166" spans="1:21" x14ac:dyDescent="0.25">
      <c r="A2166" s="5" t="s">
        <v>6187</v>
      </c>
      <c r="B2166" s="5" t="s">
        <v>6188</v>
      </c>
      <c r="C2166" t="s">
        <v>3548</v>
      </c>
      <c r="D2166" t="s">
        <v>5817</v>
      </c>
      <c r="E2166" t="s">
        <v>4363</v>
      </c>
      <c r="F2166" t="s">
        <v>3584</v>
      </c>
      <c r="G2166" t="s">
        <v>3826</v>
      </c>
      <c r="I2166" t="s">
        <v>3448</v>
      </c>
      <c r="J2166" t="s">
        <v>5818</v>
      </c>
      <c r="K2166" t="s">
        <v>4363</v>
      </c>
      <c r="L2166">
        <v>32</v>
      </c>
      <c r="M2166">
        <v>2</v>
      </c>
      <c r="N2166" t="s">
        <v>3585</v>
      </c>
      <c r="O2166" t="s">
        <v>3827</v>
      </c>
      <c r="P2166">
        <v>2</v>
      </c>
      <c r="Q2166">
        <v>1</v>
      </c>
      <c r="S2166">
        <v>52</v>
      </c>
      <c r="T2166">
        <v>52</v>
      </c>
      <c r="U2166">
        <v>52</v>
      </c>
    </row>
    <row r="2167" spans="1:21" x14ac:dyDescent="0.25">
      <c r="A2167" s="5" t="s">
        <v>6199</v>
      </c>
      <c r="B2167" s="5" t="s">
        <v>6200</v>
      </c>
      <c r="C2167" t="s">
        <v>3548</v>
      </c>
      <c r="D2167" t="s">
        <v>5817</v>
      </c>
      <c r="E2167" t="s">
        <v>4363</v>
      </c>
      <c r="F2167" t="s">
        <v>4390</v>
      </c>
      <c r="G2167" t="s">
        <v>3826</v>
      </c>
      <c r="I2167" t="s">
        <v>3448</v>
      </c>
      <c r="J2167" t="s">
        <v>5818</v>
      </c>
      <c r="K2167" t="s">
        <v>4363</v>
      </c>
      <c r="L2167">
        <v>32</v>
      </c>
      <c r="M2167">
        <v>2</v>
      </c>
      <c r="N2167" t="s">
        <v>4391</v>
      </c>
      <c r="O2167" t="s">
        <v>3827</v>
      </c>
      <c r="P2167">
        <v>2</v>
      </c>
      <c r="Q2167">
        <v>1</v>
      </c>
      <c r="S2167">
        <v>48</v>
      </c>
      <c r="T2167">
        <v>48</v>
      </c>
      <c r="U2167">
        <v>48</v>
      </c>
    </row>
    <row r="2168" spans="1:21" x14ac:dyDescent="0.25">
      <c r="A2168" s="5" t="s">
        <v>6225</v>
      </c>
      <c r="B2168" s="5" t="s">
        <v>6226</v>
      </c>
      <c r="C2168" t="s">
        <v>3548</v>
      </c>
      <c r="D2168" t="s">
        <v>5817</v>
      </c>
      <c r="E2168" t="s">
        <v>4363</v>
      </c>
      <c r="F2168" t="s">
        <v>3584</v>
      </c>
      <c r="G2168" t="s">
        <v>3826</v>
      </c>
      <c r="I2168" t="s">
        <v>3448</v>
      </c>
      <c r="J2168" t="s">
        <v>5818</v>
      </c>
      <c r="K2168" t="s">
        <v>4363</v>
      </c>
      <c r="L2168">
        <v>32</v>
      </c>
      <c r="M2168">
        <v>3</v>
      </c>
      <c r="N2168" t="s">
        <v>3585</v>
      </c>
      <c r="O2168" t="s">
        <v>3827</v>
      </c>
      <c r="P2168">
        <v>2</v>
      </c>
      <c r="Q2168">
        <v>1</v>
      </c>
      <c r="S2168">
        <v>78</v>
      </c>
      <c r="T2168">
        <v>78</v>
      </c>
      <c r="U2168">
        <v>78</v>
      </c>
    </row>
    <row r="2169" spans="1:21" x14ac:dyDescent="0.25">
      <c r="A2169" s="5" t="s">
        <v>6231</v>
      </c>
      <c r="B2169" s="5" t="s">
        <v>6232</v>
      </c>
      <c r="C2169" t="s">
        <v>3548</v>
      </c>
      <c r="D2169" t="s">
        <v>5817</v>
      </c>
      <c r="E2169" t="s">
        <v>4363</v>
      </c>
      <c r="F2169" t="s">
        <v>4390</v>
      </c>
      <c r="G2169" t="s">
        <v>3826</v>
      </c>
      <c r="I2169" t="s">
        <v>3448</v>
      </c>
      <c r="J2169" t="s">
        <v>5818</v>
      </c>
      <c r="K2169" t="s">
        <v>4363</v>
      </c>
      <c r="L2169">
        <v>32</v>
      </c>
      <c r="M2169">
        <v>3</v>
      </c>
      <c r="N2169" t="s">
        <v>4391</v>
      </c>
      <c r="O2169" t="s">
        <v>3827</v>
      </c>
      <c r="P2169">
        <v>2</v>
      </c>
      <c r="Q2169">
        <v>1</v>
      </c>
      <c r="S2169">
        <v>74</v>
      </c>
      <c r="T2169">
        <v>74</v>
      </c>
      <c r="U2169">
        <v>74</v>
      </c>
    </row>
    <row r="2170" spans="1:21" x14ac:dyDescent="0.25">
      <c r="A2170" s="5" t="s">
        <v>6241</v>
      </c>
      <c r="B2170" s="5" t="s">
        <v>6242</v>
      </c>
      <c r="C2170" t="s">
        <v>3548</v>
      </c>
      <c r="D2170" t="s">
        <v>5817</v>
      </c>
      <c r="E2170" t="s">
        <v>4363</v>
      </c>
      <c r="F2170" t="s">
        <v>3584</v>
      </c>
      <c r="G2170" t="s">
        <v>3826</v>
      </c>
      <c r="I2170" t="s">
        <v>3448</v>
      </c>
      <c r="J2170" t="s">
        <v>5818</v>
      </c>
      <c r="K2170" t="s">
        <v>4363</v>
      </c>
      <c r="L2170">
        <v>32</v>
      </c>
      <c r="M2170">
        <v>4</v>
      </c>
      <c r="N2170" t="s">
        <v>3585</v>
      </c>
      <c r="O2170" t="s">
        <v>3827</v>
      </c>
      <c r="P2170">
        <v>2</v>
      </c>
      <c r="Q2170">
        <v>1</v>
      </c>
      <c r="S2170">
        <v>96</v>
      </c>
      <c r="T2170">
        <v>96</v>
      </c>
      <c r="U2170">
        <v>96</v>
      </c>
    </row>
    <row r="2171" spans="1:21" x14ac:dyDescent="0.25">
      <c r="A2171" s="5" t="s">
        <v>3503</v>
      </c>
      <c r="B2171" s="5" t="s">
        <v>3504</v>
      </c>
      <c r="D2171" t="s">
        <v>3481</v>
      </c>
      <c r="F2171" t="s">
        <v>3482</v>
      </c>
      <c r="I2171" t="s">
        <v>3483</v>
      </c>
      <c r="J2171" t="s">
        <v>3484</v>
      </c>
      <c r="K2171" t="s">
        <v>3485</v>
      </c>
      <c r="L2171">
        <v>20</v>
      </c>
      <c r="M2171">
        <v>1</v>
      </c>
      <c r="N2171" t="s">
        <v>3486</v>
      </c>
      <c r="Q2171">
        <v>1</v>
      </c>
      <c r="S2171">
        <v>26</v>
      </c>
      <c r="T2171">
        <v>26</v>
      </c>
      <c r="U2171">
        <v>26</v>
      </c>
    </row>
    <row r="2172" spans="1:21" x14ac:dyDescent="0.25">
      <c r="A2172" s="5" t="s">
        <v>6756</v>
      </c>
      <c r="B2172" s="5" t="s">
        <v>6757</v>
      </c>
      <c r="D2172" t="s">
        <v>6688</v>
      </c>
      <c r="E2172" t="s">
        <v>6728</v>
      </c>
      <c r="F2172" t="s">
        <v>3482</v>
      </c>
      <c r="I2172" t="s">
        <v>3483</v>
      </c>
      <c r="J2172" t="s">
        <v>6690</v>
      </c>
      <c r="K2172" t="s">
        <v>6729</v>
      </c>
      <c r="L2172">
        <v>20</v>
      </c>
      <c r="M2172">
        <v>1</v>
      </c>
      <c r="N2172" t="s">
        <v>3486</v>
      </c>
      <c r="Q2172">
        <v>1</v>
      </c>
      <c r="S2172">
        <v>26</v>
      </c>
      <c r="T2172">
        <v>26</v>
      </c>
      <c r="U2172">
        <v>26</v>
      </c>
    </row>
    <row r="2173" spans="1:21" x14ac:dyDescent="0.25">
      <c r="A2173" s="5" t="s">
        <v>3525</v>
      </c>
      <c r="B2173" s="5" t="s">
        <v>3526</v>
      </c>
      <c r="D2173" t="s">
        <v>3481</v>
      </c>
      <c r="F2173" t="s">
        <v>3482</v>
      </c>
      <c r="I2173" t="s">
        <v>3483</v>
      </c>
      <c r="J2173" t="s">
        <v>3484</v>
      </c>
      <c r="K2173" t="s">
        <v>3485</v>
      </c>
      <c r="L2173">
        <v>39</v>
      </c>
      <c r="M2173">
        <v>1</v>
      </c>
      <c r="N2173" t="s">
        <v>3486</v>
      </c>
      <c r="Q2173">
        <v>1</v>
      </c>
      <c r="S2173">
        <v>45</v>
      </c>
      <c r="T2173">
        <v>45</v>
      </c>
      <c r="U2173">
        <v>45</v>
      </c>
    </row>
    <row r="2174" spans="1:21" x14ac:dyDescent="0.25">
      <c r="A2174" s="5" t="s">
        <v>6718</v>
      </c>
      <c r="B2174" s="5" t="s">
        <v>6719</v>
      </c>
      <c r="D2174" t="s">
        <v>6688</v>
      </c>
      <c r="F2174" t="s">
        <v>3482</v>
      </c>
      <c r="I2174" t="s">
        <v>3483</v>
      </c>
      <c r="J2174" t="s">
        <v>6690</v>
      </c>
      <c r="K2174" t="s">
        <v>3485</v>
      </c>
      <c r="L2174">
        <v>50</v>
      </c>
      <c r="M2174">
        <v>1</v>
      </c>
      <c r="N2174" t="s">
        <v>3486</v>
      </c>
      <c r="Q2174">
        <v>1</v>
      </c>
      <c r="S2174">
        <v>55</v>
      </c>
      <c r="T2174">
        <v>55</v>
      </c>
      <c r="U2174">
        <v>55</v>
      </c>
    </row>
    <row r="2175" spans="1:21" x14ac:dyDescent="0.25">
      <c r="A2175" s="5" t="s">
        <v>3541</v>
      </c>
      <c r="B2175" s="5" t="s">
        <v>3542</v>
      </c>
      <c r="D2175" t="s">
        <v>3481</v>
      </c>
      <c r="F2175" t="s">
        <v>3482</v>
      </c>
      <c r="I2175" t="s">
        <v>3483</v>
      </c>
      <c r="J2175" t="s">
        <v>3484</v>
      </c>
      <c r="K2175" t="s">
        <v>3485</v>
      </c>
      <c r="L2175">
        <v>70</v>
      </c>
      <c r="M2175">
        <v>1</v>
      </c>
      <c r="N2175" t="s">
        <v>3486</v>
      </c>
      <c r="Q2175">
        <v>1</v>
      </c>
      <c r="S2175">
        <v>79</v>
      </c>
      <c r="T2175">
        <v>79</v>
      </c>
      <c r="U2175">
        <v>79</v>
      </c>
    </row>
    <row r="2176" spans="1:21" x14ac:dyDescent="0.25">
      <c r="A2176" s="5" t="s">
        <v>6722</v>
      </c>
      <c r="B2176" s="5" t="s">
        <v>6723</v>
      </c>
      <c r="D2176" t="s">
        <v>6688</v>
      </c>
      <c r="F2176" t="s">
        <v>3482</v>
      </c>
      <c r="I2176" t="s">
        <v>3483</v>
      </c>
      <c r="J2176" t="s">
        <v>6690</v>
      </c>
      <c r="K2176" t="s">
        <v>3485</v>
      </c>
      <c r="L2176">
        <v>70</v>
      </c>
      <c r="M2176">
        <v>1</v>
      </c>
      <c r="N2176" t="s">
        <v>3486</v>
      </c>
      <c r="Q2176">
        <v>1</v>
      </c>
      <c r="S2176">
        <v>80</v>
      </c>
      <c r="T2176">
        <v>80</v>
      </c>
      <c r="U2176">
        <v>80</v>
      </c>
    </row>
    <row r="2177" spans="1:21" x14ac:dyDescent="0.25">
      <c r="A2177" s="5" t="s">
        <v>3479</v>
      </c>
      <c r="B2177" s="5" t="s">
        <v>3480</v>
      </c>
      <c r="D2177" t="s">
        <v>3481</v>
      </c>
      <c r="F2177" t="s">
        <v>3482</v>
      </c>
      <c r="I2177" t="s">
        <v>3483</v>
      </c>
      <c r="J2177" t="s">
        <v>3484</v>
      </c>
      <c r="K2177" t="s">
        <v>3485</v>
      </c>
      <c r="L2177">
        <v>100</v>
      </c>
      <c r="M2177">
        <v>1</v>
      </c>
      <c r="N2177" t="s">
        <v>3486</v>
      </c>
      <c r="Q2177">
        <v>1</v>
      </c>
      <c r="S2177">
        <v>109</v>
      </c>
      <c r="T2177">
        <v>109</v>
      </c>
      <c r="U2177">
        <v>109</v>
      </c>
    </row>
    <row r="2178" spans="1:21" x14ac:dyDescent="0.25">
      <c r="A2178" s="5" t="s">
        <v>6693</v>
      </c>
      <c r="B2178" s="5" t="s">
        <v>6694</v>
      </c>
      <c r="D2178" t="s">
        <v>6688</v>
      </c>
      <c r="F2178" t="s">
        <v>3482</v>
      </c>
      <c r="I2178" t="s">
        <v>3483</v>
      </c>
      <c r="J2178" t="s">
        <v>6690</v>
      </c>
      <c r="K2178" t="s">
        <v>3485</v>
      </c>
      <c r="L2178">
        <v>100</v>
      </c>
      <c r="M2178">
        <v>1</v>
      </c>
      <c r="N2178" t="s">
        <v>3486</v>
      </c>
      <c r="Q2178">
        <v>1</v>
      </c>
      <c r="S2178">
        <v>112</v>
      </c>
      <c r="T2178">
        <v>112</v>
      </c>
      <c r="U2178">
        <v>112</v>
      </c>
    </row>
    <row r="2179" spans="1:21" x14ac:dyDescent="0.25">
      <c r="A2179" s="5" t="s">
        <v>6730</v>
      </c>
      <c r="B2179" s="5" t="s">
        <v>6731</v>
      </c>
      <c r="D2179" t="s">
        <v>6688</v>
      </c>
      <c r="E2179" t="s">
        <v>6728</v>
      </c>
      <c r="F2179" t="s">
        <v>3482</v>
      </c>
      <c r="I2179" t="s">
        <v>3483</v>
      </c>
      <c r="J2179" t="s">
        <v>6690</v>
      </c>
      <c r="K2179" t="s">
        <v>6729</v>
      </c>
      <c r="L2179">
        <v>100</v>
      </c>
      <c r="M2179">
        <v>1</v>
      </c>
      <c r="N2179" t="s">
        <v>3486</v>
      </c>
      <c r="Q2179">
        <v>1</v>
      </c>
      <c r="S2179">
        <v>110</v>
      </c>
      <c r="T2179">
        <v>110</v>
      </c>
      <c r="U2179">
        <v>110</v>
      </c>
    </row>
    <row r="2180" spans="1:21" x14ac:dyDescent="0.25">
      <c r="A2180" s="5" t="s">
        <v>3495</v>
      </c>
      <c r="B2180" s="5" t="s">
        <v>3496</v>
      </c>
      <c r="D2180" t="s">
        <v>3481</v>
      </c>
      <c r="F2180" t="s">
        <v>3482</v>
      </c>
      <c r="I2180" t="s">
        <v>3483</v>
      </c>
      <c r="J2180" t="s">
        <v>3484</v>
      </c>
      <c r="K2180" t="s">
        <v>3485</v>
      </c>
      <c r="L2180">
        <v>150</v>
      </c>
      <c r="M2180">
        <v>1</v>
      </c>
      <c r="N2180" t="s">
        <v>3486</v>
      </c>
      <c r="Q2180">
        <v>1</v>
      </c>
      <c r="S2180">
        <v>166</v>
      </c>
      <c r="T2180">
        <v>166</v>
      </c>
      <c r="U2180">
        <v>166</v>
      </c>
    </row>
    <row r="2181" spans="1:21" x14ac:dyDescent="0.25">
      <c r="A2181" s="5" t="s">
        <v>6699</v>
      </c>
      <c r="B2181" s="5" t="s">
        <v>6700</v>
      </c>
      <c r="D2181" t="s">
        <v>6688</v>
      </c>
      <c r="F2181" t="s">
        <v>3482</v>
      </c>
      <c r="I2181" t="s">
        <v>3483</v>
      </c>
      <c r="J2181" t="s">
        <v>6690</v>
      </c>
      <c r="K2181" t="s">
        <v>3485</v>
      </c>
      <c r="L2181">
        <v>150</v>
      </c>
      <c r="M2181">
        <v>1</v>
      </c>
      <c r="N2181" t="s">
        <v>3486</v>
      </c>
      <c r="Q2181">
        <v>1</v>
      </c>
      <c r="S2181">
        <v>168</v>
      </c>
      <c r="T2181">
        <v>168</v>
      </c>
      <c r="U2181">
        <v>168</v>
      </c>
    </row>
    <row r="2182" spans="1:21" x14ac:dyDescent="0.25">
      <c r="A2182" s="5" t="s">
        <v>6740</v>
      </c>
      <c r="B2182" s="5" t="s">
        <v>6741</v>
      </c>
      <c r="D2182" t="s">
        <v>6688</v>
      </c>
      <c r="E2182" t="s">
        <v>6728</v>
      </c>
      <c r="F2182" t="s">
        <v>3482</v>
      </c>
      <c r="I2182" t="s">
        <v>3483</v>
      </c>
      <c r="J2182" t="s">
        <v>6690</v>
      </c>
      <c r="K2182" t="s">
        <v>6729</v>
      </c>
      <c r="L2182">
        <v>175</v>
      </c>
      <c r="M2182">
        <v>1</v>
      </c>
      <c r="N2182" t="s">
        <v>3486</v>
      </c>
      <c r="Q2182">
        <v>1</v>
      </c>
      <c r="S2182">
        <v>191</v>
      </c>
      <c r="T2182">
        <v>191</v>
      </c>
      <c r="U2182">
        <v>191</v>
      </c>
    </row>
    <row r="2183" spans="1:21" x14ac:dyDescent="0.25">
      <c r="A2183" s="5" t="s">
        <v>6746</v>
      </c>
      <c r="B2183" s="5" t="s">
        <v>6747</v>
      </c>
      <c r="D2183" t="s">
        <v>6688</v>
      </c>
      <c r="E2183" t="s">
        <v>6728</v>
      </c>
      <c r="F2183" t="s">
        <v>3482</v>
      </c>
      <c r="I2183" t="s">
        <v>3483</v>
      </c>
      <c r="J2183" t="s">
        <v>6690</v>
      </c>
      <c r="K2183" t="s">
        <v>6729</v>
      </c>
      <c r="L2183">
        <v>200</v>
      </c>
      <c r="M2183">
        <v>1</v>
      </c>
      <c r="N2183" t="s">
        <v>3486</v>
      </c>
      <c r="Q2183">
        <v>1</v>
      </c>
      <c r="S2183">
        <v>219</v>
      </c>
      <c r="T2183">
        <v>219</v>
      </c>
      <c r="U2183">
        <v>219</v>
      </c>
    </row>
    <row r="2184" spans="1:21" x14ac:dyDescent="0.25">
      <c r="A2184" s="5" t="s">
        <v>6770</v>
      </c>
      <c r="B2184" s="5" t="s">
        <v>6771</v>
      </c>
      <c r="D2184" t="s">
        <v>6688</v>
      </c>
      <c r="E2184" t="s">
        <v>6728</v>
      </c>
      <c r="F2184" t="s">
        <v>3482</v>
      </c>
      <c r="I2184" t="s">
        <v>3483</v>
      </c>
      <c r="J2184" t="s">
        <v>6690</v>
      </c>
      <c r="K2184" t="s">
        <v>6729</v>
      </c>
      <c r="L2184">
        <v>320</v>
      </c>
      <c r="M2184">
        <v>1</v>
      </c>
      <c r="N2184" t="s">
        <v>3486</v>
      </c>
      <c r="Q2184">
        <v>1</v>
      </c>
      <c r="S2184">
        <v>345</v>
      </c>
      <c r="T2184">
        <v>345</v>
      </c>
      <c r="U2184">
        <v>345</v>
      </c>
    </row>
    <row r="2185" spans="1:21" x14ac:dyDescent="0.25">
      <c r="A2185" s="5" t="s">
        <v>6778</v>
      </c>
      <c r="B2185" s="5" t="s">
        <v>6779</v>
      </c>
      <c r="D2185" t="s">
        <v>6688</v>
      </c>
      <c r="E2185" t="s">
        <v>6728</v>
      </c>
      <c r="F2185" t="s">
        <v>3482</v>
      </c>
      <c r="I2185" t="s">
        <v>3483</v>
      </c>
      <c r="J2185" t="s">
        <v>6690</v>
      </c>
      <c r="K2185" t="s">
        <v>6729</v>
      </c>
      <c r="L2185">
        <v>350</v>
      </c>
      <c r="M2185">
        <v>1</v>
      </c>
      <c r="N2185" t="s">
        <v>3486</v>
      </c>
      <c r="Q2185">
        <v>1</v>
      </c>
      <c r="S2185">
        <v>375</v>
      </c>
      <c r="T2185">
        <v>375</v>
      </c>
      <c r="U2185">
        <v>375</v>
      </c>
    </row>
    <row r="2186" spans="1:21" x14ac:dyDescent="0.25">
      <c r="A2186" s="5" t="s">
        <v>6786</v>
      </c>
      <c r="B2186" s="5" t="s">
        <v>6787</v>
      </c>
      <c r="D2186" t="s">
        <v>6688</v>
      </c>
      <c r="E2186" t="s">
        <v>6728</v>
      </c>
      <c r="F2186" t="s">
        <v>3482</v>
      </c>
      <c r="I2186" t="s">
        <v>3483</v>
      </c>
      <c r="J2186" t="s">
        <v>6690</v>
      </c>
      <c r="K2186" t="s">
        <v>6729</v>
      </c>
      <c r="L2186">
        <v>400</v>
      </c>
      <c r="M2186">
        <v>1</v>
      </c>
      <c r="N2186" t="s">
        <v>3486</v>
      </c>
      <c r="Q2186">
        <v>1</v>
      </c>
      <c r="S2186">
        <v>425</v>
      </c>
      <c r="T2186">
        <v>425</v>
      </c>
      <c r="U2186">
        <v>425</v>
      </c>
    </row>
    <row r="2187" spans="1:21" x14ac:dyDescent="0.25">
      <c r="A2187" s="5" t="s">
        <v>7818</v>
      </c>
      <c r="B2187" s="5" t="s">
        <v>7819</v>
      </c>
      <c r="D2187" t="s">
        <v>6688</v>
      </c>
      <c r="E2187" t="s">
        <v>6728</v>
      </c>
      <c r="F2187" t="s">
        <v>3482</v>
      </c>
      <c r="I2187" t="s">
        <v>3483</v>
      </c>
      <c r="J2187" t="s">
        <v>6690</v>
      </c>
      <c r="K2187" t="s">
        <v>6729</v>
      </c>
      <c r="L2187">
        <v>575</v>
      </c>
      <c r="M2187">
        <v>1</v>
      </c>
      <c r="N2187" t="s">
        <v>3486</v>
      </c>
      <c r="Q2187">
        <v>1</v>
      </c>
      <c r="S2187">
        <v>575</v>
      </c>
      <c r="T2187">
        <v>575</v>
      </c>
      <c r="U2187">
        <v>575</v>
      </c>
    </row>
    <row r="2188" spans="1:21" x14ac:dyDescent="0.25">
      <c r="A2188" s="5" t="s">
        <v>6758</v>
      </c>
      <c r="B2188" s="5" t="s">
        <v>6759</v>
      </c>
      <c r="D2188" t="s">
        <v>6688</v>
      </c>
      <c r="E2188" t="s">
        <v>6728</v>
      </c>
      <c r="F2188" t="s">
        <v>3482</v>
      </c>
      <c r="G2188" t="s">
        <v>3501</v>
      </c>
      <c r="I2188" t="s">
        <v>3483</v>
      </c>
      <c r="J2188" t="s">
        <v>6690</v>
      </c>
      <c r="K2188" t="s">
        <v>6729</v>
      </c>
      <c r="L2188">
        <v>20</v>
      </c>
      <c r="M2188">
        <v>1</v>
      </c>
      <c r="N2188" t="s">
        <v>3486</v>
      </c>
      <c r="O2188" t="s">
        <v>3502</v>
      </c>
      <c r="Q2188">
        <v>1</v>
      </c>
      <c r="S2188">
        <v>23</v>
      </c>
      <c r="T2188">
        <v>23</v>
      </c>
      <c r="U2188">
        <v>23</v>
      </c>
    </row>
    <row r="2189" spans="1:21" x14ac:dyDescent="0.25">
      <c r="A2189" s="5" t="s">
        <v>6784</v>
      </c>
      <c r="B2189" s="5" t="s">
        <v>6785</v>
      </c>
      <c r="D2189" t="s">
        <v>6688</v>
      </c>
      <c r="E2189" t="s">
        <v>6728</v>
      </c>
      <c r="F2189" t="s">
        <v>3482</v>
      </c>
      <c r="G2189" t="s">
        <v>3501</v>
      </c>
      <c r="I2189" t="s">
        <v>3483</v>
      </c>
      <c r="J2189" t="s">
        <v>6690</v>
      </c>
      <c r="K2189" t="s">
        <v>6729</v>
      </c>
      <c r="L2189">
        <v>39</v>
      </c>
      <c r="M2189">
        <v>1</v>
      </c>
      <c r="N2189" t="s">
        <v>3486</v>
      </c>
      <c r="O2189" t="s">
        <v>3502</v>
      </c>
      <c r="Q2189">
        <v>1</v>
      </c>
      <c r="S2189">
        <v>43</v>
      </c>
      <c r="T2189">
        <v>43</v>
      </c>
      <c r="U2189">
        <v>43</v>
      </c>
    </row>
    <row r="2190" spans="1:21" x14ac:dyDescent="0.25">
      <c r="A2190" s="5" t="s">
        <v>3535</v>
      </c>
      <c r="B2190" s="5" t="s">
        <v>3536</v>
      </c>
      <c r="D2190" t="s">
        <v>3481</v>
      </c>
      <c r="F2190" t="s">
        <v>3482</v>
      </c>
      <c r="G2190" t="s">
        <v>3501</v>
      </c>
      <c r="I2190" t="s">
        <v>3483</v>
      </c>
      <c r="J2190" t="s">
        <v>3484</v>
      </c>
      <c r="K2190" t="s">
        <v>3485</v>
      </c>
      <c r="L2190">
        <v>50</v>
      </c>
      <c r="M2190">
        <v>1</v>
      </c>
      <c r="N2190" t="s">
        <v>3486</v>
      </c>
      <c r="O2190" t="s">
        <v>3502</v>
      </c>
      <c r="Q2190">
        <v>1</v>
      </c>
      <c r="S2190">
        <v>56</v>
      </c>
      <c r="T2190">
        <v>56</v>
      </c>
      <c r="U2190">
        <v>56</v>
      </c>
    </row>
    <row r="2191" spans="1:21" x14ac:dyDescent="0.25">
      <c r="A2191" s="5" t="s">
        <v>3539</v>
      </c>
      <c r="B2191" s="5" t="s">
        <v>3540</v>
      </c>
      <c r="D2191" t="s">
        <v>3481</v>
      </c>
      <c r="F2191" t="s">
        <v>3482</v>
      </c>
      <c r="G2191" t="s">
        <v>3493</v>
      </c>
      <c r="I2191" t="s">
        <v>3483</v>
      </c>
      <c r="J2191" t="s">
        <v>3484</v>
      </c>
      <c r="K2191" t="s">
        <v>3485</v>
      </c>
      <c r="L2191">
        <v>60</v>
      </c>
      <c r="M2191">
        <v>1</v>
      </c>
      <c r="N2191" t="s">
        <v>3486</v>
      </c>
      <c r="O2191" t="s">
        <v>3494</v>
      </c>
      <c r="Q2191">
        <v>1</v>
      </c>
      <c r="S2191">
        <v>67</v>
      </c>
      <c r="T2191">
        <v>67</v>
      </c>
      <c r="U2191">
        <v>67</v>
      </c>
    </row>
    <row r="2192" spans="1:21" x14ac:dyDescent="0.25">
      <c r="A2192" s="5" t="s">
        <v>6804</v>
      </c>
      <c r="B2192" s="5" t="s">
        <v>6805</v>
      </c>
      <c r="D2192" t="s">
        <v>6688</v>
      </c>
      <c r="E2192" t="s">
        <v>6728</v>
      </c>
      <c r="F2192" t="s">
        <v>3482</v>
      </c>
      <c r="G2192" t="s">
        <v>3501</v>
      </c>
      <c r="I2192" t="s">
        <v>3483</v>
      </c>
      <c r="J2192" t="s">
        <v>6690</v>
      </c>
      <c r="K2192" t="s">
        <v>6729</v>
      </c>
      <c r="L2192">
        <v>70</v>
      </c>
      <c r="M2192">
        <v>1</v>
      </c>
      <c r="N2192" t="s">
        <v>3486</v>
      </c>
      <c r="O2192" t="s">
        <v>3502</v>
      </c>
      <c r="Q2192">
        <v>1</v>
      </c>
      <c r="S2192">
        <v>77</v>
      </c>
      <c r="T2192">
        <v>77</v>
      </c>
      <c r="U2192">
        <v>77</v>
      </c>
    </row>
    <row r="2193" spans="1:21" x14ac:dyDescent="0.25">
      <c r="A2193" s="5" t="s">
        <v>7820</v>
      </c>
      <c r="B2193" s="5" t="s">
        <v>3545</v>
      </c>
      <c r="D2193" t="s">
        <v>3481</v>
      </c>
      <c r="F2193" t="s">
        <v>3482</v>
      </c>
      <c r="G2193" t="s">
        <v>3501</v>
      </c>
      <c r="I2193" t="s">
        <v>3483</v>
      </c>
      <c r="J2193" t="s">
        <v>3484</v>
      </c>
      <c r="K2193" t="s">
        <v>3485</v>
      </c>
      <c r="L2193">
        <v>90</v>
      </c>
      <c r="M2193">
        <v>1</v>
      </c>
      <c r="N2193" t="s">
        <v>3486</v>
      </c>
      <c r="O2193" t="s">
        <v>3494</v>
      </c>
      <c r="Q2193">
        <v>1</v>
      </c>
      <c r="S2193">
        <v>99</v>
      </c>
      <c r="T2193">
        <v>99</v>
      </c>
      <c r="U2193">
        <v>99</v>
      </c>
    </row>
    <row r="2194" spans="1:21" x14ac:dyDescent="0.25">
      <c r="A2194" s="5" t="s">
        <v>3491</v>
      </c>
      <c r="B2194" s="5" t="s">
        <v>3492</v>
      </c>
      <c r="D2194" t="s">
        <v>3481</v>
      </c>
      <c r="F2194" t="s">
        <v>3482</v>
      </c>
      <c r="G2194" t="s">
        <v>3493</v>
      </c>
      <c r="I2194" t="s">
        <v>3483</v>
      </c>
      <c r="J2194" t="s">
        <v>3484</v>
      </c>
      <c r="K2194" t="s">
        <v>3485</v>
      </c>
      <c r="L2194">
        <v>140</v>
      </c>
      <c r="M2194">
        <v>1</v>
      </c>
      <c r="N2194" t="s">
        <v>3486</v>
      </c>
      <c r="O2194" t="s">
        <v>3494</v>
      </c>
      <c r="Q2194">
        <v>1</v>
      </c>
      <c r="S2194">
        <v>154</v>
      </c>
      <c r="T2194">
        <v>154</v>
      </c>
      <c r="U2194">
        <v>154</v>
      </c>
    </row>
    <row r="2195" spans="1:21" x14ac:dyDescent="0.25">
      <c r="A2195" s="5" t="s">
        <v>6734</v>
      </c>
      <c r="B2195" s="5" t="s">
        <v>6735</v>
      </c>
      <c r="D2195" t="s">
        <v>6688</v>
      </c>
      <c r="E2195" t="s">
        <v>6728</v>
      </c>
      <c r="F2195" t="s">
        <v>3482</v>
      </c>
      <c r="G2195" t="s">
        <v>3501</v>
      </c>
      <c r="I2195" t="s">
        <v>3483</v>
      </c>
      <c r="J2195" t="s">
        <v>6690</v>
      </c>
      <c r="K2195" t="s">
        <v>6729</v>
      </c>
      <c r="L2195">
        <v>150</v>
      </c>
      <c r="M2195">
        <v>1</v>
      </c>
      <c r="N2195" t="s">
        <v>3486</v>
      </c>
      <c r="O2195" t="s">
        <v>3502</v>
      </c>
      <c r="Q2195">
        <v>1</v>
      </c>
      <c r="S2195">
        <v>167</v>
      </c>
      <c r="T2195">
        <v>167</v>
      </c>
      <c r="U2195">
        <v>167</v>
      </c>
    </row>
    <row r="2196" spans="1:21" x14ac:dyDescent="0.25">
      <c r="A2196" s="5" t="s">
        <v>3499</v>
      </c>
      <c r="B2196" s="5" t="s">
        <v>3500</v>
      </c>
      <c r="D2196" t="s">
        <v>3481</v>
      </c>
      <c r="F2196" t="s">
        <v>3482</v>
      </c>
      <c r="G2196" t="s">
        <v>3501</v>
      </c>
      <c r="I2196" t="s">
        <v>3483</v>
      </c>
      <c r="J2196" t="s">
        <v>3484</v>
      </c>
      <c r="K2196" t="s">
        <v>3485</v>
      </c>
      <c r="L2196">
        <v>200</v>
      </c>
      <c r="M2196">
        <v>1</v>
      </c>
      <c r="N2196" t="s">
        <v>3486</v>
      </c>
      <c r="O2196" t="s">
        <v>3502</v>
      </c>
      <c r="Q2196">
        <v>1</v>
      </c>
      <c r="S2196">
        <v>214</v>
      </c>
      <c r="T2196">
        <v>214</v>
      </c>
      <c r="U2196">
        <v>214</v>
      </c>
    </row>
    <row r="2197" spans="1:21" x14ac:dyDescent="0.25">
      <c r="A2197" s="5" t="s">
        <v>3505</v>
      </c>
      <c r="B2197" s="5" t="s">
        <v>3506</v>
      </c>
      <c r="D2197" t="s">
        <v>3481</v>
      </c>
      <c r="F2197" t="s">
        <v>3482</v>
      </c>
      <c r="G2197" t="s">
        <v>3501</v>
      </c>
      <c r="I2197" t="s">
        <v>3483</v>
      </c>
      <c r="J2197" t="s">
        <v>3484</v>
      </c>
      <c r="K2197" t="s">
        <v>3485</v>
      </c>
      <c r="L2197">
        <v>250</v>
      </c>
      <c r="M2197">
        <v>1</v>
      </c>
      <c r="N2197" t="s">
        <v>3486</v>
      </c>
      <c r="O2197" t="s">
        <v>3502</v>
      </c>
      <c r="Q2197">
        <v>1</v>
      </c>
      <c r="S2197">
        <v>266</v>
      </c>
      <c r="T2197">
        <v>266</v>
      </c>
      <c r="U2197">
        <v>266</v>
      </c>
    </row>
    <row r="2198" spans="1:21" x14ac:dyDescent="0.25">
      <c r="A2198" s="5" t="s">
        <v>3517</v>
      </c>
      <c r="B2198" s="5" t="s">
        <v>3518</v>
      </c>
      <c r="D2198" t="s">
        <v>3481</v>
      </c>
      <c r="F2198" t="s">
        <v>3482</v>
      </c>
      <c r="G2198" t="s">
        <v>3501</v>
      </c>
      <c r="I2198" t="s">
        <v>3483</v>
      </c>
      <c r="J2198" t="s">
        <v>3484</v>
      </c>
      <c r="K2198" t="s">
        <v>3485</v>
      </c>
      <c r="L2198">
        <v>320</v>
      </c>
      <c r="M2198">
        <v>1</v>
      </c>
      <c r="N2198" t="s">
        <v>3486</v>
      </c>
      <c r="O2198" t="s">
        <v>3502</v>
      </c>
      <c r="Q2198">
        <v>1</v>
      </c>
      <c r="S2198">
        <v>341</v>
      </c>
      <c r="T2198">
        <v>341</v>
      </c>
      <c r="U2198">
        <v>341</v>
      </c>
    </row>
    <row r="2199" spans="1:21" x14ac:dyDescent="0.25">
      <c r="A2199" s="5" t="s">
        <v>6772</v>
      </c>
      <c r="B2199" s="5" t="s">
        <v>6773</v>
      </c>
      <c r="D2199" t="s">
        <v>6688</v>
      </c>
      <c r="E2199" t="s">
        <v>6728</v>
      </c>
      <c r="F2199" t="s">
        <v>3482</v>
      </c>
      <c r="G2199" t="s">
        <v>3501</v>
      </c>
      <c r="I2199" t="s">
        <v>3483</v>
      </c>
      <c r="J2199" t="s">
        <v>6690</v>
      </c>
      <c r="K2199" t="s">
        <v>6729</v>
      </c>
      <c r="L2199">
        <v>320</v>
      </c>
      <c r="M2199">
        <v>1</v>
      </c>
      <c r="N2199" t="s">
        <v>3486</v>
      </c>
      <c r="O2199" t="s">
        <v>3502</v>
      </c>
      <c r="Q2199">
        <v>1</v>
      </c>
      <c r="S2199">
        <v>343</v>
      </c>
      <c r="T2199">
        <v>343</v>
      </c>
      <c r="U2199">
        <v>343</v>
      </c>
    </row>
    <row r="2200" spans="1:21" x14ac:dyDescent="0.25">
      <c r="A2200" s="5" t="s">
        <v>3523</v>
      </c>
      <c r="B2200" s="5" t="s">
        <v>3524</v>
      </c>
      <c r="D2200" t="s">
        <v>3481</v>
      </c>
      <c r="F2200" t="s">
        <v>3482</v>
      </c>
      <c r="G2200" t="s">
        <v>3501</v>
      </c>
      <c r="I2200" t="s">
        <v>3483</v>
      </c>
      <c r="J2200" t="s">
        <v>3484</v>
      </c>
      <c r="K2200" t="s">
        <v>3485</v>
      </c>
      <c r="L2200">
        <v>350</v>
      </c>
      <c r="M2200">
        <v>1</v>
      </c>
      <c r="N2200" t="s">
        <v>3486</v>
      </c>
      <c r="O2200" t="s">
        <v>3502</v>
      </c>
      <c r="Q2200">
        <v>1</v>
      </c>
      <c r="S2200">
        <v>372</v>
      </c>
      <c r="T2200">
        <v>372</v>
      </c>
      <c r="U2200">
        <v>372</v>
      </c>
    </row>
    <row r="2201" spans="1:21" x14ac:dyDescent="0.25">
      <c r="A2201" s="5" t="s">
        <v>3529</v>
      </c>
      <c r="B2201" s="5" t="s">
        <v>3530</v>
      </c>
      <c r="D2201" t="s">
        <v>3481</v>
      </c>
      <c r="F2201" t="s">
        <v>3482</v>
      </c>
      <c r="G2201" t="s">
        <v>3501</v>
      </c>
      <c r="I2201" t="s">
        <v>3483</v>
      </c>
      <c r="J2201" t="s">
        <v>3484</v>
      </c>
      <c r="K2201" t="s">
        <v>3485</v>
      </c>
      <c r="L2201">
        <v>400</v>
      </c>
      <c r="M2201">
        <v>1</v>
      </c>
      <c r="N2201" t="s">
        <v>3486</v>
      </c>
      <c r="O2201" t="s">
        <v>3502</v>
      </c>
      <c r="Q2201">
        <v>1</v>
      </c>
      <c r="S2201">
        <v>426</v>
      </c>
      <c r="T2201">
        <v>426</v>
      </c>
      <c r="U2201">
        <v>426</v>
      </c>
    </row>
    <row r="2202" spans="1:21" x14ac:dyDescent="0.25">
      <c r="A2202" s="5" t="s">
        <v>6788</v>
      </c>
      <c r="B2202" s="5" t="s">
        <v>6789</v>
      </c>
      <c r="D2202" t="s">
        <v>6688</v>
      </c>
      <c r="E2202" t="s">
        <v>6728</v>
      </c>
      <c r="F2202" t="s">
        <v>3482</v>
      </c>
      <c r="G2202" t="s">
        <v>3501</v>
      </c>
      <c r="I2202" t="s">
        <v>3483</v>
      </c>
      <c r="J2202" t="s">
        <v>6690</v>
      </c>
      <c r="K2202" t="s">
        <v>6729</v>
      </c>
      <c r="L2202">
        <v>400</v>
      </c>
      <c r="M2202">
        <v>1</v>
      </c>
      <c r="N2202" t="s">
        <v>3486</v>
      </c>
      <c r="O2202" t="s">
        <v>3502</v>
      </c>
      <c r="Q2202">
        <v>1</v>
      </c>
      <c r="S2202">
        <v>428</v>
      </c>
      <c r="T2202">
        <v>428</v>
      </c>
      <c r="U2202">
        <v>428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SC</vt:lpstr>
      <vt:lpstr>Sponsor</vt:lpstr>
      <vt:lpstr>Setting</vt:lpstr>
      <vt:lpstr>Data</vt:lpstr>
      <vt:lpstr>Cut Sheets</vt:lpstr>
      <vt:lpstr>Service Center</vt:lpstr>
      <vt:lpstr>Converter</vt:lpstr>
      <vt:lpstr>Pre-Inspection</vt:lpstr>
      <vt:lpstr>Post-Inspection</vt:lpstr>
      <vt:lpstr>NC-Inspection</vt:lpstr>
      <vt:lpstr>Field-Report</vt:lpstr>
      <vt:lpstr>Pre-Logging</vt:lpstr>
      <vt:lpstr>Post-Logging</vt:lpstr>
      <vt:lpstr>NC-Logging</vt:lpstr>
      <vt:lpstr>CWT</vt:lpstr>
      <vt:lpstr>'Service Center'!C_CV_sel</vt:lpstr>
      <vt:lpstr>'Service Center'!Conf_sel</vt:lpstr>
      <vt:lpstr>'Service Center'!E_CV_sel</vt:lpstr>
      <vt:lpstr>'Service Center'!iFormTypeValue</vt:lpstr>
      <vt:lpstr>'Service Center'!iToolVersion</vt:lpstr>
      <vt:lpstr>lue</vt:lpstr>
      <vt:lpstr>'Service Center'!P_value</vt:lpstr>
      <vt:lpstr>'Service Center'!Post_inspect</vt:lpstr>
      <vt:lpstr>'Service Center'!Pre_inspect</vt:lpstr>
      <vt:lpstr>'Service Center'!Prec_sel</vt:lpstr>
      <vt:lpstr>'NC-Inspection'!Print_Area</vt:lpstr>
      <vt:lpstr>'Post-Inspection'!Print_Area</vt:lpstr>
      <vt:lpstr>'Service Center'!Prompt_hours</vt:lpstr>
      <vt:lpstr>'Service Center'!Sample_type</vt:lpstr>
      <vt:lpstr>'Service Center'!Savings_type</vt:lpstr>
      <vt:lpstr>'Service Center'!ScaleFactor</vt:lpstr>
      <vt:lpstr>'Service Center'!Select_samples</vt:lpstr>
      <vt:lpstr>'Service Center'!Z_value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cp:lastPrinted>2014-07-02T16:45:52Z</cp:lastPrinted>
  <dcterms:created xsi:type="dcterms:W3CDTF">2014-01-19T05:22:44Z</dcterms:created>
  <dcterms:modified xsi:type="dcterms:W3CDTF">2015-01-02T15:59:32Z</dcterms:modified>
</cp:coreProperties>
</file>